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Coding Ninjas\India CPI inflation Case Study\"/>
    </mc:Choice>
  </mc:AlternateContent>
  <xr:revisionPtr revIDLastSave="0" documentId="13_ncr:1_{797BCBF1-D8E0-45E8-8645-56606813F024}" xr6:coauthVersionLast="47" xr6:coauthVersionMax="47" xr10:uidLastSave="{00000000-0000-0000-0000-000000000000}"/>
  <bookViews>
    <workbookView xWindow="-108" yWindow="-108" windowWidth="23256" windowHeight="12456" activeTab="2" xr2:uid="{C26664D5-44B2-421B-AD3F-84C8FCE056B1}"/>
  </bookViews>
  <sheets>
    <sheet name="All_India_Index_Upto_April23 (1" sheetId="1" r:id="rId1"/>
    <sheet name="Main Data" sheetId="2" r:id="rId2"/>
    <sheet name="Cleaned Data" sheetId="4" r:id="rId3"/>
    <sheet name="PS1" sheetId="3" r:id="rId4"/>
    <sheet name="PS2" sheetId="11" r:id="rId5"/>
    <sheet name="PS3" sheetId="6" r:id="rId6"/>
    <sheet name="PS4" sheetId="7" r:id="rId7"/>
    <sheet name="PS5" sheetId="10" r:id="rId8"/>
  </sheets>
  <definedNames>
    <definedName name="_xlnm._FilterDatabase" localSheetId="0" hidden="1">'All_India_Index_Upto_April23 (1'!$A$1:$AD$1</definedName>
    <definedName name="_xlnm._FilterDatabase" localSheetId="2" hidden="1">'Cleaned Data'!$A$1:$AD$373</definedName>
    <definedName name="_xlnm._FilterDatabase" localSheetId="1" hidden="1">'Main Data'!$A$6:$AU$378</definedName>
    <definedName name="_xlnm._FilterDatabase" localSheetId="4" hidden="1">'PS2'!$A$1:$AD$14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2" i="11" l="1"/>
  <c r="AG3" i="11"/>
  <c r="AG4" i="11"/>
  <c r="AG5" i="11"/>
  <c r="AG6" i="11"/>
  <c r="AG7" i="11"/>
  <c r="B3" i="10"/>
  <c r="B22" i="10"/>
  <c r="B27" i="10"/>
  <c r="B26" i="10"/>
  <c r="B25" i="10"/>
  <c r="B24" i="10"/>
  <c r="B23" i="10"/>
  <c r="B21" i="10"/>
  <c r="B20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2" i="10"/>
  <c r="AI378" i="3"/>
  <c r="AG305" i="3"/>
  <c r="AG276" i="3"/>
  <c r="S3" i="7"/>
  <c r="S4" i="7"/>
  <c r="S5" i="7"/>
  <c r="S6" i="7"/>
  <c r="S7" i="7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2" i="7"/>
  <c r="D2" i="7"/>
  <c r="D14" i="7"/>
  <c r="D4" i="7"/>
  <c r="D5" i="7"/>
  <c r="D6" i="7"/>
  <c r="D7" i="7"/>
  <c r="D8" i="7"/>
  <c r="D9" i="7"/>
  <c r="D10" i="7"/>
  <c r="D11" i="7"/>
  <c r="D12" i="7"/>
  <c r="D13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9" i="2"/>
  <c r="AC8" i="2"/>
  <c r="AC7" i="2"/>
  <c r="AJ378" i="3"/>
  <c r="AK378" i="3"/>
  <c r="AL378" i="3"/>
  <c r="AM378" i="3"/>
  <c r="AC376" i="3"/>
  <c r="AI2" i="3"/>
  <c r="AH2" i="3"/>
  <c r="AG2" i="3"/>
  <c r="AG376" i="3" s="1"/>
  <c r="AD2" i="3"/>
  <c r="AC2" i="3"/>
  <c r="W265" i="2"/>
  <c r="E268" i="2"/>
  <c r="U2" i="4"/>
  <c r="U5" i="4"/>
  <c r="AA265" i="2"/>
  <c r="G265" i="2"/>
  <c r="G268" i="2" s="1"/>
  <c r="E270" i="2"/>
  <c r="E269" i="2"/>
  <c r="AD376" i="3"/>
  <c r="AE376" i="3"/>
  <c r="AF376" i="3"/>
  <c r="AG373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76" i="3" s="1"/>
  <c r="AI376" i="3" s="1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U296" i="4"/>
  <c r="U293" i="4"/>
  <c r="U371" i="4"/>
  <c r="U368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V263" i="4"/>
  <c r="W263" i="4"/>
  <c r="X263" i="4"/>
  <c r="Y263" i="4"/>
  <c r="Z263" i="4"/>
  <c r="AA263" i="4"/>
  <c r="AB263" i="4"/>
  <c r="AC263" i="4"/>
  <c r="AD263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G264" i="4"/>
  <c r="G263" i="4"/>
  <c r="G265" i="4"/>
  <c r="S268" i="2"/>
  <c r="S270" i="2"/>
  <c r="S269" i="2"/>
  <c r="O269" i="2"/>
  <c r="O268" i="2"/>
  <c r="I268" i="2"/>
  <c r="J268" i="2"/>
  <c r="K268" i="2"/>
  <c r="L268" i="2"/>
  <c r="M268" i="2"/>
  <c r="N268" i="2"/>
  <c r="P268" i="2"/>
  <c r="I269" i="2"/>
  <c r="J269" i="2"/>
  <c r="K269" i="2"/>
  <c r="L269" i="2"/>
  <c r="M269" i="2"/>
  <c r="N269" i="2"/>
  <c r="P269" i="2"/>
  <c r="I270" i="2"/>
  <c r="J270" i="2"/>
  <c r="K270" i="2"/>
  <c r="L270" i="2"/>
  <c r="M270" i="2"/>
  <c r="N270" i="2"/>
  <c r="O270" i="2"/>
  <c r="P270" i="2"/>
  <c r="H268" i="2"/>
  <c r="U365" i="4"/>
  <c r="U362" i="4"/>
  <c r="U359" i="4"/>
  <c r="U356" i="4"/>
  <c r="U353" i="4"/>
  <c r="U350" i="4"/>
  <c r="U347" i="4"/>
  <c r="U344" i="4"/>
  <c r="U341" i="4"/>
  <c r="U338" i="4"/>
  <c r="U335" i="4"/>
  <c r="U332" i="4"/>
  <c r="U329" i="4"/>
  <c r="U326" i="4"/>
  <c r="U323" i="4"/>
  <c r="U320" i="4"/>
  <c r="U317" i="4"/>
  <c r="U314" i="4"/>
  <c r="U311" i="4"/>
  <c r="U308" i="4"/>
  <c r="U305" i="4"/>
  <c r="U302" i="4"/>
  <c r="U299" i="4"/>
  <c r="U290" i="4"/>
  <c r="U287" i="4"/>
  <c r="U284" i="4"/>
  <c r="U281" i="4"/>
  <c r="U278" i="4"/>
  <c r="U275" i="4"/>
  <c r="U272" i="4"/>
  <c r="U269" i="4"/>
  <c r="U266" i="4"/>
  <c r="U260" i="4"/>
  <c r="U257" i="4"/>
  <c r="U254" i="4"/>
  <c r="U251" i="4"/>
  <c r="U248" i="4"/>
  <c r="U245" i="4"/>
  <c r="U242" i="4"/>
  <c r="U239" i="4"/>
  <c r="U236" i="4"/>
  <c r="U233" i="4"/>
  <c r="U230" i="4"/>
  <c r="U227" i="4"/>
  <c r="U224" i="4"/>
  <c r="U221" i="4"/>
  <c r="U218" i="4"/>
  <c r="U215" i="4"/>
  <c r="U212" i="4"/>
  <c r="U209" i="4"/>
  <c r="U206" i="4"/>
  <c r="U203" i="4"/>
  <c r="U200" i="4"/>
  <c r="U197" i="4"/>
  <c r="U194" i="4"/>
  <c r="U191" i="4"/>
  <c r="U188" i="4"/>
  <c r="U185" i="4"/>
  <c r="U182" i="4"/>
  <c r="U179" i="4"/>
  <c r="U176" i="4"/>
  <c r="U173" i="4"/>
  <c r="U170" i="4"/>
  <c r="U167" i="4"/>
  <c r="U164" i="4"/>
  <c r="U161" i="4"/>
  <c r="U158" i="4"/>
  <c r="U155" i="4"/>
  <c r="U152" i="4"/>
  <c r="U149" i="4"/>
  <c r="U146" i="4"/>
  <c r="U143" i="4"/>
  <c r="U140" i="4"/>
  <c r="U137" i="4"/>
  <c r="U134" i="4"/>
  <c r="U131" i="4"/>
  <c r="U128" i="4"/>
  <c r="U125" i="4"/>
  <c r="U122" i="4"/>
  <c r="U119" i="4"/>
  <c r="U116" i="4"/>
  <c r="U113" i="4"/>
  <c r="U110" i="4"/>
  <c r="U107" i="4"/>
  <c r="U104" i="4"/>
  <c r="U101" i="4"/>
  <c r="U98" i="4"/>
  <c r="U95" i="4"/>
  <c r="U92" i="4"/>
  <c r="U89" i="4"/>
  <c r="U86" i="4"/>
  <c r="U83" i="4"/>
  <c r="U80" i="4"/>
  <c r="U77" i="4"/>
  <c r="U74" i="4"/>
  <c r="U71" i="4"/>
  <c r="U68" i="4"/>
  <c r="U65" i="4"/>
  <c r="U62" i="4"/>
  <c r="U59" i="4"/>
  <c r="U56" i="4"/>
  <c r="U53" i="4"/>
  <c r="U50" i="4"/>
  <c r="U47" i="4"/>
  <c r="U44" i="4"/>
  <c r="U41" i="4"/>
  <c r="U38" i="4"/>
  <c r="U35" i="4"/>
  <c r="U32" i="4"/>
  <c r="U29" i="4"/>
  <c r="U26" i="4"/>
  <c r="U23" i="4"/>
  <c r="U20" i="4"/>
  <c r="U17" i="4"/>
  <c r="U14" i="4"/>
  <c r="U11" i="4"/>
  <c r="U8" i="4"/>
  <c r="R265" i="2"/>
  <c r="AU267" i="2"/>
  <c r="AU266" i="2"/>
  <c r="AU265" i="2"/>
  <c r="AS265" i="2"/>
  <c r="AS267" i="2"/>
  <c r="AS266" i="2"/>
  <c r="AQ267" i="2"/>
  <c r="AQ266" i="2"/>
  <c r="AQ265" i="2"/>
  <c r="AO266" i="2"/>
  <c r="AO267" i="2"/>
  <c r="AO265" i="2"/>
  <c r="AM265" i="2"/>
  <c r="AM266" i="2"/>
  <c r="AM267" i="2"/>
  <c r="AK266" i="2"/>
  <c r="AK267" i="2"/>
  <c r="AK265" i="2"/>
  <c r="AH267" i="2"/>
  <c r="AH266" i="2"/>
  <c r="AH265" i="2"/>
  <c r="AA266" i="2"/>
  <c r="AA267" i="2"/>
  <c r="Y266" i="2"/>
  <c r="Y267" i="2"/>
  <c r="Y265" i="2"/>
  <c r="W267" i="2"/>
  <c r="W266" i="2"/>
  <c r="U266" i="2"/>
  <c r="U267" i="2"/>
  <c r="U265" i="2"/>
  <c r="T1" i="2"/>
  <c r="R267" i="2"/>
  <c r="R266" i="2"/>
  <c r="Q3" i="2"/>
  <c r="X3" i="2"/>
  <c r="Z3" i="2"/>
  <c r="AB3" i="2"/>
  <c r="AE1" i="2"/>
  <c r="AG2" i="2"/>
  <c r="AI2" i="2"/>
  <c r="AJ2" i="2"/>
  <c r="AR3" i="2"/>
  <c r="AT3" i="2"/>
  <c r="H270" i="2"/>
  <c r="H269" i="2"/>
  <c r="G267" i="2"/>
  <c r="G270" i="2" s="1"/>
  <c r="G266" i="2"/>
  <c r="G269" i="2" s="1"/>
  <c r="C3" i="2"/>
  <c r="D3" i="2"/>
  <c r="F3" i="2"/>
  <c r="V3" i="2"/>
  <c r="AL3" i="2"/>
  <c r="AN3" i="2"/>
  <c r="AP3" i="2"/>
  <c r="B3" i="2"/>
  <c r="C2" i="2"/>
  <c r="D2" i="2"/>
  <c r="F2" i="2"/>
  <c r="V2" i="2"/>
  <c r="X2" i="2"/>
  <c r="Z2" i="2"/>
  <c r="AB2" i="2"/>
  <c r="AE2" i="2"/>
  <c r="AL2" i="2"/>
  <c r="AN2" i="2"/>
  <c r="AP2" i="2"/>
  <c r="AR2" i="2"/>
  <c r="B2" i="2"/>
  <c r="C1" i="2"/>
  <c r="D1" i="2"/>
  <c r="F1" i="2"/>
  <c r="V1" i="2"/>
  <c r="X1" i="2"/>
  <c r="Z1" i="2"/>
  <c r="AB1" i="2"/>
  <c r="AL1" i="2"/>
  <c r="AN1" i="2"/>
  <c r="AP1" i="2"/>
  <c r="AR1" i="2"/>
  <c r="AT1" i="2"/>
  <c r="B1" i="2"/>
  <c r="B19" i="10" l="1"/>
  <c r="AJ376" i="3"/>
  <c r="AJ2" i="3"/>
  <c r="N1" i="2"/>
  <c r="M3" i="2"/>
  <c r="L3" i="2"/>
  <c r="O3" i="2"/>
  <c r="L1" i="2"/>
  <c r="K2" i="2"/>
  <c r="J2" i="2"/>
  <c r="S2" i="2"/>
  <c r="I2" i="2"/>
  <c r="P1" i="2"/>
  <c r="M1" i="2"/>
  <c r="AK9" i="3"/>
  <c r="AM283" i="3"/>
  <c r="AJ284" i="3"/>
  <c r="AL229" i="3"/>
  <c r="AK284" i="3"/>
  <c r="AK116" i="3"/>
  <c r="AJ364" i="3"/>
  <c r="AL365" i="3"/>
  <c r="AM229" i="3"/>
  <c r="AL284" i="3"/>
  <c r="AL71" i="3"/>
  <c r="AM116" i="3"/>
  <c r="AM173" i="3"/>
  <c r="AL174" i="3"/>
  <c r="AM55" i="3"/>
  <c r="AL323" i="3"/>
  <c r="AI335" i="3"/>
  <c r="AK229" i="3"/>
  <c r="AJ56" i="3"/>
  <c r="AI331" i="3"/>
  <c r="AM65" i="3"/>
  <c r="AL335" i="3"/>
  <c r="AM357" i="3"/>
  <c r="AK365" i="3"/>
  <c r="AJ117" i="3"/>
  <c r="AK174" i="3"/>
  <c r="AM174" i="3"/>
  <c r="AL116" i="3"/>
  <c r="AJ231" i="3"/>
  <c r="AL357" i="3"/>
  <c r="AK226" i="3"/>
  <c r="AK106" i="3"/>
  <c r="AM104" i="3"/>
  <c r="AJ159" i="3"/>
  <c r="AJ37" i="3"/>
  <c r="AJ354" i="3"/>
  <c r="AM36" i="3"/>
  <c r="AJ257" i="3"/>
  <c r="AJ99" i="3"/>
  <c r="AK348" i="3"/>
  <c r="AJ311" i="3"/>
  <c r="AM256" i="3"/>
  <c r="AM200" i="3"/>
  <c r="AL146" i="3"/>
  <c r="AM90" i="3"/>
  <c r="AK36" i="3"/>
  <c r="AJ116" i="3"/>
  <c r="AJ216" i="3"/>
  <c r="AM215" i="3"/>
  <c r="AL356" i="3"/>
  <c r="AI47" i="3"/>
  <c r="AK356" i="3"/>
  <c r="AI159" i="3"/>
  <c r="AJ157" i="3"/>
  <c r="AM312" i="3"/>
  <c r="AL36" i="3"/>
  <c r="AJ348" i="3"/>
  <c r="AI311" i="3"/>
  <c r="AL256" i="3"/>
  <c r="AL200" i="3"/>
  <c r="AK146" i="3"/>
  <c r="AM89" i="3"/>
  <c r="AJ36" i="3"/>
  <c r="AJ172" i="3"/>
  <c r="AL159" i="3"/>
  <c r="AM54" i="3"/>
  <c r="AL215" i="3"/>
  <c r="AK104" i="3"/>
  <c r="AL313" i="3"/>
  <c r="AJ101" i="3"/>
  <c r="AL348" i="3"/>
  <c r="AJ201" i="3"/>
  <c r="AJ147" i="3"/>
  <c r="AL345" i="3"/>
  <c r="AJ309" i="3"/>
  <c r="AK256" i="3"/>
  <c r="AM199" i="3"/>
  <c r="AM145" i="3"/>
  <c r="AL89" i="3"/>
  <c r="AM19" i="3"/>
  <c r="AK357" i="3"/>
  <c r="AK282" i="3"/>
  <c r="AJ323" i="3"/>
  <c r="AL322" i="3"/>
  <c r="AJ271" i="3"/>
  <c r="AI271" i="3"/>
  <c r="AJ267" i="3"/>
  <c r="AL306" i="3"/>
  <c r="AL199" i="3"/>
  <c r="AM88" i="3"/>
  <c r="AI344" i="3"/>
  <c r="AL299" i="3"/>
  <c r="AK242" i="3"/>
  <c r="AL189" i="3"/>
  <c r="AJ132" i="3"/>
  <c r="AJ87" i="3"/>
  <c r="AK19" i="3"/>
  <c r="AL55" i="3"/>
  <c r="AJ272" i="3"/>
  <c r="AJ357" i="3"/>
  <c r="AK271" i="3"/>
  <c r="AK322" i="3"/>
  <c r="AL104" i="3"/>
  <c r="AK319" i="3"/>
  <c r="AI215" i="3"/>
  <c r="AM214" i="3"/>
  <c r="AK345" i="3"/>
  <c r="AJ256" i="3"/>
  <c r="AK142" i="3"/>
  <c r="AL19" i="3"/>
  <c r="AK369" i="3"/>
  <c r="AJ337" i="3"/>
  <c r="AK299" i="3"/>
  <c r="AM241" i="3"/>
  <c r="AM188" i="3"/>
  <c r="AM131" i="3"/>
  <c r="AL74" i="3"/>
  <c r="AJ19" i="3"/>
  <c r="AK323" i="3"/>
  <c r="AK159" i="3"/>
  <c r="AL368" i="3"/>
  <c r="AM336" i="3"/>
  <c r="AJ299" i="3"/>
  <c r="AL241" i="3"/>
  <c r="AJ187" i="3"/>
  <c r="AL131" i="3"/>
  <c r="AK74" i="3"/>
  <c r="AJ17" i="3"/>
  <c r="AJ72" i="3"/>
  <c r="AI55" i="3"/>
  <c r="AK368" i="3"/>
  <c r="AL336" i="3"/>
  <c r="AI299" i="3"/>
  <c r="AK241" i="3"/>
  <c r="AI187" i="3"/>
  <c r="AK131" i="3"/>
  <c r="AJ368" i="3"/>
  <c r="AM335" i="3"/>
  <c r="AJ297" i="3"/>
  <c r="AJ241" i="3"/>
  <c r="AL184" i="3"/>
  <c r="AJ131" i="3"/>
  <c r="AM71" i="3"/>
  <c r="AM35" i="3"/>
  <c r="AM34" i="3"/>
  <c r="AL364" i="3"/>
  <c r="AM321" i="3"/>
  <c r="AM295" i="3"/>
  <c r="AL266" i="3"/>
  <c r="AL254" i="3"/>
  <c r="AM239" i="3"/>
  <c r="AM224" i="3"/>
  <c r="AM211" i="3"/>
  <c r="AI171" i="3"/>
  <c r="AJ84" i="3"/>
  <c r="AL51" i="3"/>
  <c r="AL34" i="3"/>
  <c r="AJ345" i="3"/>
  <c r="AJ322" i="3"/>
  <c r="AM308" i="3"/>
  <c r="AK296" i="3"/>
  <c r="AM281" i="3"/>
  <c r="AI267" i="3"/>
  <c r="AI255" i="3"/>
  <c r="AM240" i="3"/>
  <c r="AM225" i="3"/>
  <c r="AM213" i="3"/>
  <c r="AK199" i="3"/>
  <c r="AK184" i="3"/>
  <c r="AK171" i="3"/>
  <c r="AM156" i="3"/>
  <c r="AM141" i="3"/>
  <c r="AM129" i="3"/>
  <c r="AM115" i="3"/>
  <c r="AL100" i="3"/>
  <c r="AI87" i="3"/>
  <c r="AI71" i="3"/>
  <c r="AL54" i="3"/>
  <c r="AM16" i="3"/>
  <c r="AJ365" i="3"/>
  <c r="AJ356" i="3"/>
  <c r="AL344" i="3"/>
  <c r="AL333" i="3"/>
  <c r="AI322" i="3"/>
  <c r="AL308" i="3"/>
  <c r="AJ296" i="3"/>
  <c r="AL281" i="3"/>
  <c r="AM266" i="3"/>
  <c r="AM254" i="3"/>
  <c r="AL240" i="3"/>
  <c r="AL225" i="3"/>
  <c r="AJ212" i="3"/>
  <c r="AJ199" i="3"/>
  <c r="AJ184" i="3"/>
  <c r="AJ171" i="3"/>
  <c r="AL156" i="3"/>
  <c r="AL141" i="3"/>
  <c r="AL129" i="3"/>
  <c r="AL115" i="3"/>
  <c r="AM99" i="3"/>
  <c r="AL84" i="3"/>
  <c r="AM70" i="3"/>
  <c r="AM51" i="3"/>
  <c r="AJ16" i="3"/>
  <c r="AM355" i="3"/>
  <c r="AK344" i="3"/>
  <c r="AK333" i="3"/>
  <c r="AK308" i="3"/>
  <c r="AK281" i="3"/>
  <c r="AI199" i="3"/>
  <c r="AM183" i="3"/>
  <c r="AK156" i="3"/>
  <c r="AK141" i="3"/>
  <c r="AK129" i="3"/>
  <c r="AI115" i="3"/>
  <c r="AL99" i="3"/>
  <c r="AM69" i="3"/>
  <c r="AM15" i="3"/>
  <c r="AK364" i="3"/>
  <c r="AK354" i="3"/>
  <c r="AJ344" i="3"/>
  <c r="AJ331" i="3"/>
  <c r="AJ320" i="3"/>
  <c r="AM306" i="3"/>
  <c r="AJ292" i="3"/>
  <c r="AJ281" i="3"/>
  <c r="AK266" i="3"/>
  <c r="AJ251" i="3"/>
  <c r="AL239" i="3"/>
  <c r="AL224" i="3"/>
  <c r="AL209" i="3"/>
  <c r="AJ197" i="3"/>
  <c r="AK182" i="3"/>
  <c r="AJ167" i="3"/>
  <c r="AJ156" i="3"/>
  <c r="AJ141" i="3"/>
  <c r="AK126" i="3"/>
  <c r="AM114" i="3"/>
  <c r="AK99" i="3"/>
  <c r="AM83" i="3"/>
  <c r="AL66" i="3"/>
  <c r="AK51" i="3"/>
  <c r="AK34" i="3"/>
  <c r="AL15" i="3"/>
  <c r="AL65" i="3"/>
  <c r="AJ27" i="3"/>
  <c r="AI372" i="3"/>
  <c r="AJ362" i="3"/>
  <c r="AM351" i="3"/>
  <c r="AM341" i="3"/>
  <c r="AM328" i="3"/>
  <c r="AK315" i="3"/>
  <c r="AM304" i="3"/>
  <c r="AM275" i="3"/>
  <c r="AM263" i="3"/>
  <c r="AK249" i="3"/>
  <c r="AL234" i="3"/>
  <c r="AK221" i="3"/>
  <c r="AI207" i="3"/>
  <c r="AM191" i="3"/>
  <c r="AM179" i="3"/>
  <c r="AM165" i="3"/>
  <c r="AI151" i="3"/>
  <c r="AI139" i="3"/>
  <c r="AK124" i="3"/>
  <c r="AK109" i="3"/>
  <c r="AJ96" i="3"/>
  <c r="AJ81" i="3"/>
  <c r="AK64" i="3"/>
  <c r="AM45" i="3"/>
  <c r="AI27" i="3"/>
  <c r="AL9" i="3"/>
  <c r="AM279" i="3"/>
  <c r="AI251" i="3"/>
  <c r="AK224" i="3"/>
  <c r="AK196" i="3"/>
  <c r="AI167" i="3"/>
  <c r="AM140" i="3"/>
  <c r="AM113" i="3"/>
  <c r="AJ11" i="3"/>
  <c r="AK352" i="3"/>
  <c r="AM330" i="3"/>
  <c r="AK306" i="3"/>
  <c r="AL265" i="3"/>
  <c r="AJ237" i="3"/>
  <c r="AJ209" i="3"/>
  <c r="AL181" i="3"/>
  <c r="AM154" i="3"/>
  <c r="AJ112" i="3"/>
  <c r="AM81" i="3"/>
  <c r="AK29" i="3"/>
  <c r="AK372" i="3"/>
  <c r="AK342" i="3"/>
  <c r="AI319" i="3"/>
  <c r="AK291" i="3"/>
  <c r="AM264" i="3"/>
  <c r="AM236" i="3"/>
  <c r="AM208" i="3"/>
  <c r="AK181" i="3"/>
  <c r="AL154" i="3"/>
  <c r="AM124" i="3"/>
  <c r="AL81" i="3"/>
  <c r="AM10" i="3"/>
  <c r="AJ372" i="3"/>
  <c r="AK362" i="3"/>
  <c r="AI352" i="3"/>
  <c r="AJ342" i="3"/>
  <c r="AJ329" i="3"/>
  <c r="AL315" i="3"/>
  <c r="AI306" i="3"/>
  <c r="AJ291" i="3"/>
  <c r="AJ276" i="3"/>
  <c r="AL264" i="3"/>
  <c r="AL249" i="3"/>
  <c r="AM234" i="3"/>
  <c r="AK222" i="3"/>
  <c r="AJ207" i="3"/>
  <c r="AJ192" i="3"/>
  <c r="AJ181" i="3"/>
  <c r="AK166" i="3"/>
  <c r="AJ151" i="3"/>
  <c r="AL139" i="3"/>
  <c r="AL124" i="3"/>
  <c r="AL109" i="3"/>
  <c r="AK96" i="3"/>
  <c r="AK81" i="3"/>
  <c r="AL64" i="3"/>
  <c r="AK46" i="3"/>
  <c r="AM9" i="3"/>
  <c r="AI291" i="3"/>
  <c r="AM371" i="3"/>
  <c r="AM361" i="3"/>
  <c r="AK350" i="3"/>
  <c r="AL341" i="3"/>
  <c r="AL328" i="3"/>
  <c r="AJ315" i="3"/>
  <c r="AL304" i="3"/>
  <c r="AM290" i="3"/>
  <c r="AL275" i="3"/>
  <c r="AK262" i="3"/>
  <c r="AJ249" i="3"/>
  <c r="AK234" i="3"/>
  <c r="AJ221" i="3"/>
  <c r="AM206" i="3"/>
  <c r="AL191" i="3"/>
  <c r="AL179" i="3"/>
  <c r="AL165" i="3"/>
  <c r="AM150" i="3"/>
  <c r="AJ137" i="3"/>
  <c r="AJ124" i="3"/>
  <c r="AJ109" i="3"/>
  <c r="AM95" i="3"/>
  <c r="AM79" i="3"/>
  <c r="AJ64" i="3"/>
  <c r="AL45" i="3"/>
  <c r="AM26" i="3"/>
  <c r="AI6" i="3"/>
  <c r="AI10" i="3"/>
  <c r="AI14" i="3"/>
  <c r="AI18" i="3"/>
  <c r="AI22" i="3"/>
  <c r="AI26" i="3"/>
  <c r="AI30" i="3"/>
  <c r="AI34" i="3"/>
  <c r="AI38" i="3"/>
  <c r="AI42" i="3"/>
  <c r="AI46" i="3"/>
  <c r="AI50" i="3"/>
  <c r="AI54" i="3"/>
  <c r="AI58" i="3"/>
  <c r="AI62" i="3"/>
  <c r="AI66" i="3"/>
  <c r="AI70" i="3"/>
  <c r="AI74" i="3"/>
  <c r="AI78" i="3"/>
  <c r="AI82" i="3"/>
  <c r="AI86" i="3"/>
  <c r="AI90" i="3"/>
  <c r="AI94" i="3"/>
  <c r="AI98" i="3"/>
  <c r="AI102" i="3"/>
  <c r="AI106" i="3"/>
  <c r="AI110" i="3"/>
  <c r="AI114" i="3"/>
  <c r="AI118" i="3"/>
  <c r="AI122" i="3"/>
  <c r="AI126" i="3"/>
  <c r="AI130" i="3"/>
  <c r="AI134" i="3"/>
  <c r="AI138" i="3"/>
  <c r="AI142" i="3"/>
  <c r="AI146" i="3"/>
  <c r="AI150" i="3"/>
  <c r="AI154" i="3"/>
  <c r="AI158" i="3"/>
  <c r="AI162" i="3"/>
  <c r="AI166" i="3"/>
  <c r="AI170" i="3"/>
  <c r="AI174" i="3"/>
  <c r="AI178" i="3"/>
  <c r="AI182" i="3"/>
  <c r="AI186" i="3"/>
  <c r="AI190" i="3"/>
  <c r="AI194" i="3"/>
  <c r="AI198" i="3"/>
  <c r="AI202" i="3"/>
  <c r="AI206" i="3"/>
  <c r="AI210" i="3"/>
  <c r="AI214" i="3"/>
  <c r="AI218" i="3"/>
  <c r="AI222" i="3"/>
  <c r="AI226" i="3"/>
  <c r="AI230" i="3"/>
  <c r="AI234" i="3"/>
  <c r="AI238" i="3"/>
  <c r="AI242" i="3"/>
  <c r="AI246" i="3"/>
  <c r="AI250" i="3"/>
  <c r="AI254" i="3"/>
  <c r="AI258" i="3"/>
  <c r="AI262" i="3"/>
  <c r="AI266" i="3"/>
  <c r="AI270" i="3"/>
  <c r="AI274" i="3"/>
  <c r="AI278" i="3"/>
  <c r="AI282" i="3"/>
  <c r="AI286" i="3"/>
  <c r="AI290" i="3"/>
  <c r="AI294" i="3"/>
  <c r="AI298" i="3"/>
  <c r="AI302" i="3"/>
  <c r="AJ6" i="3"/>
  <c r="AJ10" i="3"/>
  <c r="AJ14" i="3"/>
  <c r="AJ18" i="3"/>
  <c r="AJ22" i="3"/>
  <c r="AJ26" i="3"/>
  <c r="AJ30" i="3"/>
  <c r="AJ34" i="3"/>
  <c r="AJ38" i="3"/>
  <c r="AJ42" i="3"/>
  <c r="AJ46" i="3"/>
  <c r="AJ50" i="3"/>
  <c r="AJ54" i="3"/>
  <c r="AJ58" i="3"/>
  <c r="AJ62" i="3"/>
  <c r="AJ66" i="3"/>
  <c r="AJ70" i="3"/>
  <c r="AJ74" i="3"/>
  <c r="AJ78" i="3"/>
  <c r="AJ82" i="3"/>
  <c r="AJ86" i="3"/>
  <c r="AJ90" i="3"/>
  <c r="AJ94" i="3"/>
  <c r="AJ98" i="3"/>
  <c r="AJ102" i="3"/>
  <c r="AJ106" i="3"/>
  <c r="AJ110" i="3"/>
  <c r="AJ114" i="3"/>
  <c r="AJ118" i="3"/>
  <c r="AJ122" i="3"/>
  <c r="AJ126" i="3"/>
  <c r="AJ130" i="3"/>
  <c r="AJ134" i="3"/>
  <c r="AJ138" i="3"/>
  <c r="AJ142" i="3"/>
  <c r="AJ146" i="3"/>
  <c r="AJ150" i="3"/>
  <c r="AJ154" i="3"/>
  <c r="AJ158" i="3"/>
  <c r="AJ162" i="3"/>
  <c r="AJ166" i="3"/>
  <c r="AJ170" i="3"/>
  <c r="AJ174" i="3"/>
  <c r="AJ178" i="3"/>
  <c r="AJ182" i="3"/>
  <c r="AJ186" i="3"/>
  <c r="AJ190" i="3"/>
  <c r="AJ194" i="3"/>
  <c r="AJ198" i="3"/>
  <c r="AJ202" i="3"/>
  <c r="AJ206" i="3"/>
  <c r="AJ210" i="3"/>
  <c r="AJ214" i="3"/>
  <c r="AJ218" i="3"/>
  <c r="AJ222" i="3"/>
  <c r="AJ226" i="3"/>
  <c r="AJ230" i="3"/>
  <c r="AJ234" i="3"/>
  <c r="AJ238" i="3"/>
  <c r="AJ242" i="3"/>
  <c r="AJ246" i="3"/>
  <c r="AJ250" i="3"/>
  <c r="AJ254" i="3"/>
  <c r="AJ258" i="3"/>
  <c r="AJ262" i="3"/>
  <c r="AJ266" i="3"/>
  <c r="AJ270" i="3"/>
  <c r="AJ274" i="3"/>
  <c r="AJ278" i="3"/>
  <c r="AJ282" i="3"/>
  <c r="AJ286" i="3"/>
  <c r="AJ290" i="3"/>
  <c r="AJ294" i="3"/>
  <c r="AJ298" i="3"/>
  <c r="AJ302" i="3"/>
  <c r="AK6" i="3"/>
  <c r="AM3" i="3"/>
  <c r="AI4" i="3"/>
  <c r="AI8" i="3"/>
  <c r="AI12" i="3"/>
  <c r="AI16" i="3"/>
  <c r="AI20" i="3"/>
  <c r="AI24" i="3"/>
  <c r="AI28" i="3"/>
  <c r="AI32" i="3"/>
  <c r="AI36" i="3"/>
  <c r="AI40" i="3"/>
  <c r="AI44" i="3"/>
  <c r="AI48" i="3"/>
  <c r="AI52" i="3"/>
  <c r="AI56" i="3"/>
  <c r="AI60" i="3"/>
  <c r="AI64" i="3"/>
  <c r="AI68" i="3"/>
  <c r="AI72" i="3"/>
  <c r="AI76" i="3"/>
  <c r="AI80" i="3"/>
  <c r="AI84" i="3"/>
  <c r="AI88" i="3"/>
  <c r="AI92" i="3"/>
  <c r="AI96" i="3"/>
  <c r="AI100" i="3"/>
  <c r="AI104" i="3"/>
  <c r="AI108" i="3"/>
  <c r="AI112" i="3"/>
  <c r="AI116" i="3"/>
  <c r="AI120" i="3"/>
  <c r="AI124" i="3"/>
  <c r="AI128" i="3"/>
  <c r="AI132" i="3"/>
  <c r="AI136" i="3"/>
  <c r="AI140" i="3"/>
  <c r="AI144" i="3"/>
  <c r="AI148" i="3"/>
  <c r="AI152" i="3"/>
  <c r="AI156" i="3"/>
  <c r="AI160" i="3"/>
  <c r="AI164" i="3"/>
  <c r="AI168" i="3"/>
  <c r="AI172" i="3"/>
  <c r="AI176" i="3"/>
  <c r="AI180" i="3"/>
  <c r="AI184" i="3"/>
  <c r="AI188" i="3"/>
  <c r="AI192" i="3"/>
  <c r="AI196" i="3"/>
  <c r="AI200" i="3"/>
  <c r="AI204" i="3"/>
  <c r="AI208" i="3"/>
  <c r="AI212" i="3"/>
  <c r="AI216" i="3"/>
  <c r="AI220" i="3"/>
  <c r="AI224" i="3"/>
  <c r="AI228" i="3"/>
  <c r="AI232" i="3"/>
  <c r="AI236" i="3"/>
  <c r="AI240" i="3"/>
  <c r="AI244" i="3"/>
  <c r="AI248" i="3"/>
  <c r="AI252" i="3"/>
  <c r="AI256" i="3"/>
  <c r="AI260" i="3"/>
  <c r="AI264" i="3"/>
  <c r="AI268" i="3"/>
  <c r="AI272" i="3"/>
  <c r="AI276" i="3"/>
  <c r="AI280" i="3"/>
  <c r="AI284" i="3"/>
  <c r="AI288" i="3"/>
  <c r="AI292" i="3"/>
  <c r="AI296" i="3"/>
  <c r="AI300" i="3"/>
  <c r="AI304" i="3"/>
  <c r="AI308" i="3"/>
  <c r="AI312" i="3"/>
  <c r="AI316" i="3"/>
  <c r="AI320" i="3"/>
  <c r="AI324" i="3"/>
  <c r="AI328" i="3"/>
  <c r="AI332" i="3"/>
  <c r="AI336" i="3"/>
  <c r="AI340" i="3"/>
  <c r="AI5" i="3"/>
  <c r="AI9" i="3"/>
  <c r="AI13" i="3"/>
  <c r="AI17" i="3"/>
  <c r="AI21" i="3"/>
  <c r="AI25" i="3"/>
  <c r="AI29" i="3"/>
  <c r="AI33" i="3"/>
  <c r="AI37" i="3"/>
  <c r="AI41" i="3"/>
  <c r="AI45" i="3"/>
  <c r="AI49" i="3"/>
  <c r="AI53" i="3"/>
  <c r="AI57" i="3"/>
  <c r="AI61" i="3"/>
  <c r="AI65" i="3"/>
  <c r="AI69" i="3"/>
  <c r="AI73" i="3"/>
  <c r="AI77" i="3"/>
  <c r="AI81" i="3"/>
  <c r="AI85" i="3"/>
  <c r="AI89" i="3"/>
  <c r="AI93" i="3"/>
  <c r="AI97" i="3"/>
  <c r="AI101" i="3"/>
  <c r="AI105" i="3"/>
  <c r="AI109" i="3"/>
  <c r="AI113" i="3"/>
  <c r="AI117" i="3"/>
  <c r="AI121" i="3"/>
  <c r="AI125" i="3"/>
  <c r="AI129" i="3"/>
  <c r="AI133" i="3"/>
  <c r="AI137" i="3"/>
  <c r="AI141" i="3"/>
  <c r="AI145" i="3"/>
  <c r="AI149" i="3"/>
  <c r="AI153" i="3"/>
  <c r="AI157" i="3"/>
  <c r="AI161" i="3"/>
  <c r="AI165" i="3"/>
  <c r="AI169" i="3"/>
  <c r="AI173" i="3"/>
  <c r="AI177" i="3"/>
  <c r="AI181" i="3"/>
  <c r="AI185" i="3"/>
  <c r="AI189" i="3"/>
  <c r="AI193" i="3"/>
  <c r="AI197" i="3"/>
  <c r="AI201" i="3"/>
  <c r="AI205" i="3"/>
  <c r="AI209" i="3"/>
  <c r="AI213" i="3"/>
  <c r="AI217" i="3"/>
  <c r="AI221" i="3"/>
  <c r="AI225" i="3"/>
  <c r="AI229" i="3"/>
  <c r="AI233" i="3"/>
  <c r="AI237" i="3"/>
  <c r="AI241" i="3"/>
  <c r="AI245" i="3"/>
  <c r="AI249" i="3"/>
  <c r="AI253" i="3"/>
  <c r="AI257" i="3"/>
  <c r="AI261" i="3"/>
  <c r="AI265" i="3"/>
  <c r="AI269" i="3"/>
  <c r="AI273" i="3"/>
  <c r="AI277" i="3"/>
  <c r="AI281" i="3"/>
  <c r="AI285" i="3"/>
  <c r="AI289" i="3"/>
  <c r="AI293" i="3"/>
  <c r="AI297" i="3"/>
  <c r="AI301" i="3"/>
  <c r="AI305" i="3"/>
  <c r="AI309" i="3"/>
  <c r="AI313" i="3"/>
  <c r="AI317" i="3"/>
  <c r="AI321" i="3"/>
  <c r="AI325" i="3"/>
  <c r="AI329" i="3"/>
  <c r="AI333" i="3"/>
  <c r="AI337" i="3"/>
  <c r="AI341" i="3"/>
  <c r="AK7" i="3"/>
  <c r="AK12" i="3"/>
  <c r="AK17" i="3"/>
  <c r="AL22" i="3"/>
  <c r="AK27" i="3"/>
  <c r="AK32" i="3"/>
  <c r="AK37" i="3"/>
  <c r="AL42" i="3"/>
  <c r="AK47" i="3"/>
  <c r="AK52" i="3"/>
  <c r="AK57" i="3"/>
  <c r="AL62" i="3"/>
  <c r="AK67" i="3"/>
  <c r="AK72" i="3"/>
  <c r="AK77" i="3"/>
  <c r="AL82" i="3"/>
  <c r="AK87" i="3"/>
  <c r="AK92" i="3"/>
  <c r="AK97" i="3"/>
  <c r="AL102" i="3"/>
  <c r="AK107" i="3"/>
  <c r="AK112" i="3"/>
  <c r="AK117" i="3"/>
  <c r="AL122" i="3"/>
  <c r="AK127" i="3"/>
  <c r="AK132" i="3"/>
  <c r="AK137" i="3"/>
  <c r="AL142" i="3"/>
  <c r="AK147" i="3"/>
  <c r="AK152" i="3"/>
  <c r="AK157" i="3"/>
  <c r="AL162" i="3"/>
  <c r="AK167" i="3"/>
  <c r="AK172" i="3"/>
  <c r="AK177" i="3"/>
  <c r="AL182" i="3"/>
  <c r="AK187" i="3"/>
  <c r="AK192" i="3"/>
  <c r="AK197" i="3"/>
  <c r="AL202" i="3"/>
  <c r="AK207" i="3"/>
  <c r="AK212" i="3"/>
  <c r="AK217" i="3"/>
  <c r="AL222" i="3"/>
  <c r="AK227" i="3"/>
  <c r="AK232" i="3"/>
  <c r="AK237" i="3"/>
  <c r="AL242" i="3"/>
  <c r="AK247" i="3"/>
  <c r="AK252" i="3"/>
  <c r="AK257" i="3"/>
  <c r="AL262" i="3"/>
  <c r="AK267" i="3"/>
  <c r="AK272" i="3"/>
  <c r="AK277" i="3"/>
  <c r="AL282" i="3"/>
  <c r="AK287" i="3"/>
  <c r="AK292" i="3"/>
  <c r="AK297" i="3"/>
  <c r="AL302" i="3"/>
  <c r="AI307" i="3"/>
  <c r="AK311" i="3"/>
  <c r="AM315" i="3"/>
  <c r="AK320" i="3"/>
  <c r="AM324" i="3"/>
  <c r="AK329" i="3"/>
  <c r="AM333" i="3"/>
  <c r="AJ338" i="3"/>
  <c r="AL342" i="3"/>
  <c r="AL346" i="3"/>
  <c r="AL350" i="3"/>
  <c r="AL354" i="3"/>
  <c r="AL358" i="3"/>
  <c r="AL362" i="3"/>
  <c r="AL366" i="3"/>
  <c r="AL370" i="3"/>
  <c r="AK338" i="3"/>
  <c r="AL7" i="3"/>
  <c r="AL12" i="3"/>
  <c r="AL17" i="3"/>
  <c r="AM22" i="3"/>
  <c r="AL27" i="3"/>
  <c r="AL32" i="3"/>
  <c r="AL37" i="3"/>
  <c r="AM42" i="3"/>
  <c r="AL47" i="3"/>
  <c r="AL52" i="3"/>
  <c r="AL57" i="3"/>
  <c r="AM62" i="3"/>
  <c r="AL67" i="3"/>
  <c r="AL72" i="3"/>
  <c r="AL77" i="3"/>
  <c r="AM82" i="3"/>
  <c r="AL87" i="3"/>
  <c r="AL92" i="3"/>
  <c r="AL97" i="3"/>
  <c r="AM102" i="3"/>
  <c r="AL107" i="3"/>
  <c r="AL112" i="3"/>
  <c r="AL117" i="3"/>
  <c r="AM122" i="3"/>
  <c r="AL127" i="3"/>
  <c r="AL132" i="3"/>
  <c r="AL137" i="3"/>
  <c r="AM142" i="3"/>
  <c r="AL147" i="3"/>
  <c r="AL152" i="3"/>
  <c r="AL157" i="3"/>
  <c r="AM162" i="3"/>
  <c r="AL167" i="3"/>
  <c r="AL172" i="3"/>
  <c r="AL177" i="3"/>
  <c r="AM182" i="3"/>
  <c r="AL187" i="3"/>
  <c r="AL192" i="3"/>
  <c r="AL197" i="3"/>
  <c r="AM202" i="3"/>
  <c r="AL207" i="3"/>
  <c r="AL212" i="3"/>
  <c r="AL217" i="3"/>
  <c r="AM222" i="3"/>
  <c r="AL227" i="3"/>
  <c r="AL232" i="3"/>
  <c r="AL237" i="3"/>
  <c r="AM242" i="3"/>
  <c r="AL247" i="3"/>
  <c r="AL252" i="3"/>
  <c r="AL257" i="3"/>
  <c r="AM262" i="3"/>
  <c r="AL267" i="3"/>
  <c r="AL272" i="3"/>
  <c r="AL277" i="3"/>
  <c r="AM282" i="3"/>
  <c r="AL287" i="3"/>
  <c r="AL292" i="3"/>
  <c r="AL297" i="3"/>
  <c r="AM302" i="3"/>
  <c r="AJ307" i="3"/>
  <c r="AL311" i="3"/>
  <c r="AJ316" i="3"/>
  <c r="AL320" i="3"/>
  <c r="AJ325" i="3"/>
  <c r="AL329" i="3"/>
  <c r="AI334" i="3"/>
  <c r="AM342" i="3"/>
  <c r="AM346" i="3"/>
  <c r="AM350" i="3"/>
  <c r="AM354" i="3"/>
  <c r="AM358" i="3"/>
  <c r="AM362" i="3"/>
  <c r="AM366" i="3"/>
  <c r="AM370" i="3"/>
  <c r="AM7" i="3"/>
  <c r="AM12" i="3"/>
  <c r="AM17" i="3"/>
  <c r="AI23" i="3"/>
  <c r="AM27" i="3"/>
  <c r="AM32" i="3"/>
  <c r="AM37" i="3"/>
  <c r="AI43" i="3"/>
  <c r="AM47" i="3"/>
  <c r="AM52" i="3"/>
  <c r="AM57" i="3"/>
  <c r="AI63" i="3"/>
  <c r="AM67" i="3"/>
  <c r="AM72" i="3"/>
  <c r="AM77" i="3"/>
  <c r="AI83" i="3"/>
  <c r="AM87" i="3"/>
  <c r="AM92" i="3"/>
  <c r="AM97" i="3"/>
  <c r="AI103" i="3"/>
  <c r="AM107" i="3"/>
  <c r="AM112" i="3"/>
  <c r="AM117" i="3"/>
  <c r="AI123" i="3"/>
  <c r="AM127" i="3"/>
  <c r="AM132" i="3"/>
  <c r="AM137" i="3"/>
  <c r="AI143" i="3"/>
  <c r="AM147" i="3"/>
  <c r="AM152" i="3"/>
  <c r="AM157" i="3"/>
  <c r="AI163" i="3"/>
  <c r="AM167" i="3"/>
  <c r="AM172" i="3"/>
  <c r="AM177" i="3"/>
  <c r="AI183" i="3"/>
  <c r="AM187" i="3"/>
  <c r="AM192" i="3"/>
  <c r="AM197" i="3"/>
  <c r="AI203" i="3"/>
  <c r="AM207" i="3"/>
  <c r="AM212" i="3"/>
  <c r="AM217" i="3"/>
  <c r="AI223" i="3"/>
  <c r="AM227" i="3"/>
  <c r="AM232" i="3"/>
  <c r="AM237" i="3"/>
  <c r="AI243" i="3"/>
  <c r="AM247" i="3"/>
  <c r="AM252" i="3"/>
  <c r="AM257" i="3"/>
  <c r="AI263" i="3"/>
  <c r="AM267" i="3"/>
  <c r="AM272" i="3"/>
  <c r="AM277" i="3"/>
  <c r="AI283" i="3"/>
  <c r="AM287" i="3"/>
  <c r="AM292" i="3"/>
  <c r="AM297" i="3"/>
  <c r="AI303" i="3"/>
  <c r="AK307" i="3"/>
  <c r="AM311" i="3"/>
  <c r="AK316" i="3"/>
  <c r="AM320" i="3"/>
  <c r="AK325" i="3"/>
  <c r="AM329" i="3"/>
  <c r="AJ334" i="3"/>
  <c r="AL338" i="3"/>
  <c r="AI343" i="3"/>
  <c r="AI347" i="3"/>
  <c r="AI351" i="3"/>
  <c r="AI355" i="3"/>
  <c r="AI359" i="3"/>
  <c r="AI363" i="3"/>
  <c r="AI367" i="3"/>
  <c r="AI371" i="3"/>
  <c r="AL334" i="3"/>
  <c r="AK3" i="3"/>
  <c r="AM33" i="3"/>
  <c r="AM53" i="3"/>
  <c r="AM73" i="3"/>
  <c r="AJ8" i="3"/>
  <c r="AJ13" i="3"/>
  <c r="AK18" i="3"/>
  <c r="AJ23" i="3"/>
  <c r="AJ28" i="3"/>
  <c r="AJ33" i="3"/>
  <c r="AK38" i="3"/>
  <c r="AJ43" i="3"/>
  <c r="AJ48" i="3"/>
  <c r="AJ53" i="3"/>
  <c r="AK58" i="3"/>
  <c r="AJ63" i="3"/>
  <c r="AJ68" i="3"/>
  <c r="AJ73" i="3"/>
  <c r="AK78" i="3"/>
  <c r="AJ83" i="3"/>
  <c r="AJ88" i="3"/>
  <c r="AJ93" i="3"/>
  <c r="AK98" i="3"/>
  <c r="AJ103" i="3"/>
  <c r="AJ108" i="3"/>
  <c r="AJ113" i="3"/>
  <c r="AK118" i="3"/>
  <c r="AJ123" i="3"/>
  <c r="AJ128" i="3"/>
  <c r="AJ133" i="3"/>
  <c r="AK138" i="3"/>
  <c r="AJ143" i="3"/>
  <c r="AJ148" i="3"/>
  <c r="AJ153" i="3"/>
  <c r="AK158" i="3"/>
  <c r="AJ163" i="3"/>
  <c r="AJ168" i="3"/>
  <c r="AJ173" i="3"/>
  <c r="AK178" i="3"/>
  <c r="AJ183" i="3"/>
  <c r="AJ188" i="3"/>
  <c r="AJ193" i="3"/>
  <c r="AK198" i="3"/>
  <c r="AJ203" i="3"/>
  <c r="AJ208" i="3"/>
  <c r="AJ213" i="3"/>
  <c r="AK218" i="3"/>
  <c r="AJ223" i="3"/>
  <c r="AJ228" i="3"/>
  <c r="AJ233" i="3"/>
  <c r="AK238" i="3"/>
  <c r="AJ243" i="3"/>
  <c r="AJ248" i="3"/>
  <c r="AJ253" i="3"/>
  <c r="AK258" i="3"/>
  <c r="AJ263" i="3"/>
  <c r="AJ268" i="3"/>
  <c r="AJ273" i="3"/>
  <c r="AK278" i="3"/>
  <c r="AJ283" i="3"/>
  <c r="AJ288" i="3"/>
  <c r="AJ293" i="3"/>
  <c r="AK298" i="3"/>
  <c r="AJ303" i="3"/>
  <c r="AL307" i="3"/>
  <c r="AJ312" i="3"/>
  <c r="AL316" i="3"/>
  <c r="AJ321" i="3"/>
  <c r="AL325" i="3"/>
  <c r="AI330" i="3"/>
  <c r="AK334" i="3"/>
  <c r="AM338" i="3"/>
  <c r="AJ343" i="3"/>
  <c r="AJ347" i="3"/>
  <c r="AJ351" i="3"/>
  <c r="AJ355" i="3"/>
  <c r="AJ359" i="3"/>
  <c r="AJ363" i="3"/>
  <c r="AJ367" i="3"/>
  <c r="AJ371" i="3"/>
  <c r="AM307" i="3"/>
  <c r="AI19" i="3"/>
  <c r="AI3" i="3"/>
  <c r="AK8" i="3"/>
  <c r="AK13" i="3"/>
  <c r="AL18" i="3"/>
  <c r="AK23" i="3"/>
  <c r="AK28" i="3"/>
  <c r="AK33" i="3"/>
  <c r="AL38" i="3"/>
  <c r="AK43" i="3"/>
  <c r="AK48" i="3"/>
  <c r="AK53" i="3"/>
  <c r="AL58" i="3"/>
  <c r="AK63" i="3"/>
  <c r="AK68" i="3"/>
  <c r="AK73" i="3"/>
  <c r="AL78" i="3"/>
  <c r="AK83" i="3"/>
  <c r="AK88" i="3"/>
  <c r="AK93" i="3"/>
  <c r="AL98" i="3"/>
  <c r="AK103" i="3"/>
  <c r="AK108" i="3"/>
  <c r="AK113" i="3"/>
  <c r="AL118" i="3"/>
  <c r="AK123" i="3"/>
  <c r="AK128" i="3"/>
  <c r="AK133" i="3"/>
  <c r="AL138" i="3"/>
  <c r="AK143" i="3"/>
  <c r="AK148" i="3"/>
  <c r="AK153" i="3"/>
  <c r="AL158" i="3"/>
  <c r="AK163" i="3"/>
  <c r="AK168" i="3"/>
  <c r="AK173" i="3"/>
  <c r="AL178" i="3"/>
  <c r="AK183" i="3"/>
  <c r="AK188" i="3"/>
  <c r="AK193" i="3"/>
  <c r="AL198" i="3"/>
  <c r="AK203" i="3"/>
  <c r="AK208" i="3"/>
  <c r="AK213" i="3"/>
  <c r="AL218" i="3"/>
  <c r="AK223" i="3"/>
  <c r="AK228" i="3"/>
  <c r="AK233" i="3"/>
  <c r="AL238" i="3"/>
  <c r="AK243" i="3"/>
  <c r="AK248" i="3"/>
  <c r="AK253" i="3"/>
  <c r="AL258" i="3"/>
  <c r="AK263" i="3"/>
  <c r="AK268" i="3"/>
  <c r="AK273" i="3"/>
  <c r="AL278" i="3"/>
  <c r="AK283" i="3"/>
  <c r="AK288" i="3"/>
  <c r="AK293" i="3"/>
  <c r="AL298" i="3"/>
  <c r="AK303" i="3"/>
  <c r="AK312" i="3"/>
  <c r="AM316" i="3"/>
  <c r="AK321" i="3"/>
  <c r="AM325" i="3"/>
  <c r="AJ330" i="3"/>
  <c r="AI339" i="3"/>
  <c r="AK343" i="3"/>
  <c r="AK347" i="3"/>
  <c r="AK351" i="3"/>
  <c r="AK355" i="3"/>
  <c r="AK359" i="3"/>
  <c r="AK363" i="3"/>
  <c r="AK367" i="3"/>
  <c r="AK371" i="3"/>
  <c r="AM13" i="3"/>
  <c r="AM23" i="3"/>
  <c r="AM28" i="3"/>
  <c r="AI39" i="3"/>
  <c r="AM43" i="3"/>
  <c r="AM48" i="3"/>
  <c r="AI59" i="3"/>
  <c r="AM63" i="3"/>
  <c r="AM68" i="3"/>
  <c r="AI79" i="3"/>
  <c r="AJ3" i="3"/>
  <c r="AL8" i="3"/>
  <c r="AL13" i="3"/>
  <c r="AM18" i="3"/>
  <c r="AL23" i="3"/>
  <c r="AL28" i="3"/>
  <c r="AL33" i="3"/>
  <c r="AM38" i="3"/>
  <c r="AL43" i="3"/>
  <c r="AL48" i="3"/>
  <c r="AL53" i="3"/>
  <c r="AM58" i="3"/>
  <c r="AL63" i="3"/>
  <c r="AL68" i="3"/>
  <c r="AL73" i="3"/>
  <c r="AM78" i="3"/>
  <c r="AL83" i="3"/>
  <c r="AL88" i="3"/>
  <c r="AL93" i="3"/>
  <c r="AM98" i="3"/>
  <c r="AL103" i="3"/>
  <c r="AL108" i="3"/>
  <c r="AL113" i="3"/>
  <c r="AM118" i="3"/>
  <c r="AL123" i="3"/>
  <c r="AL128" i="3"/>
  <c r="AL133" i="3"/>
  <c r="AM138" i="3"/>
  <c r="AL143" i="3"/>
  <c r="AL148" i="3"/>
  <c r="AL153" i="3"/>
  <c r="AM158" i="3"/>
  <c r="AL163" i="3"/>
  <c r="AL168" i="3"/>
  <c r="AL173" i="3"/>
  <c r="AM178" i="3"/>
  <c r="AL183" i="3"/>
  <c r="AL188" i="3"/>
  <c r="AL193" i="3"/>
  <c r="AM198" i="3"/>
  <c r="AL203" i="3"/>
  <c r="AL208" i="3"/>
  <c r="AL213" i="3"/>
  <c r="AM218" i="3"/>
  <c r="AL223" i="3"/>
  <c r="AL228" i="3"/>
  <c r="AL233" i="3"/>
  <c r="AM238" i="3"/>
  <c r="AL243" i="3"/>
  <c r="AL248" i="3"/>
  <c r="AL253" i="3"/>
  <c r="AM258" i="3"/>
  <c r="AL263" i="3"/>
  <c r="AL268" i="3"/>
  <c r="AL273" i="3"/>
  <c r="AM278" i="3"/>
  <c r="AL283" i="3"/>
  <c r="AL288" i="3"/>
  <c r="AL293" i="3"/>
  <c r="AM298" i="3"/>
  <c r="AL303" i="3"/>
  <c r="AJ308" i="3"/>
  <c r="AL312" i="3"/>
  <c r="AJ317" i="3"/>
  <c r="AL321" i="3"/>
  <c r="AI326" i="3"/>
  <c r="AK330" i="3"/>
  <c r="AM334" i="3"/>
  <c r="AJ339" i="3"/>
  <c r="AL343" i="3"/>
  <c r="AL347" i="3"/>
  <c r="AL351" i="3"/>
  <c r="AL355" i="3"/>
  <c r="AL359" i="3"/>
  <c r="AL363" i="3"/>
  <c r="AL367" i="3"/>
  <c r="AL371" i="3"/>
  <c r="AM4" i="3"/>
  <c r="AK10" i="3"/>
  <c r="AJ15" i="3"/>
  <c r="AJ20" i="3"/>
  <c r="AJ25" i="3"/>
  <c r="AK30" i="3"/>
  <c r="AJ35" i="3"/>
  <c r="AJ40" i="3"/>
  <c r="AJ45" i="3"/>
  <c r="AK50" i="3"/>
  <c r="AJ55" i="3"/>
  <c r="AJ60" i="3"/>
  <c r="AJ65" i="3"/>
  <c r="AK70" i="3"/>
  <c r="AJ75" i="3"/>
  <c r="AJ80" i="3"/>
  <c r="AJ85" i="3"/>
  <c r="AK90" i="3"/>
  <c r="AJ95" i="3"/>
  <c r="AJ100" i="3"/>
  <c r="AJ105" i="3"/>
  <c r="AK110" i="3"/>
  <c r="AJ115" i="3"/>
  <c r="AJ120" i="3"/>
  <c r="AJ125" i="3"/>
  <c r="AK130" i="3"/>
  <c r="AJ135" i="3"/>
  <c r="AJ140" i="3"/>
  <c r="AJ145" i="3"/>
  <c r="AK150" i="3"/>
  <c r="AJ155" i="3"/>
  <c r="AJ160" i="3"/>
  <c r="AJ165" i="3"/>
  <c r="AK170" i="3"/>
  <c r="AJ175" i="3"/>
  <c r="AJ180" i="3"/>
  <c r="AJ185" i="3"/>
  <c r="AK190" i="3"/>
  <c r="AJ195" i="3"/>
  <c r="AJ200" i="3"/>
  <c r="AJ205" i="3"/>
  <c r="AK210" i="3"/>
  <c r="AJ215" i="3"/>
  <c r="AJ220" i="3"/>
  <c r="AJ225" i="3"/>
  <c r="AK230" i="3"/>
  <c r="AJ235" i="3"/>
  <c r="AJ240" i="3"/>
  <c r="AJ245" i="3"/>
  <c r="AK250" i="3"/>
  <c r="AJ255" i="3"/>
  <c r="AJ260" i="3"/>
  <c r="AJ265" i="3"/>
  <c r="AK270" i="3"/>
  <c r="AJ275" i="3"/>
  <c r="AJ280" i="3"/>
  <c r="AJ285" i="3"/>
  <c r="AK290" i="3"/>
  <c r="AJ295" i="3"/>
  <c r="AJ300" i="3"/>
  <c r="AJ305" i="3"/>
  <c r="AL309" i="3"/>
  <c r="AI314" i="3"/>
  <c r="AK318" i="3"/>
  <c r="AM322" i="3"/>
  <c r="AJ327" i="3"/>
  <c r="AL331" i="3"/>
  <c r="AJ336" i="3"/>
  <c r="AL340" i="3"/>
  <c r="AM344" i="3"/>
  <c r="AM348" i="3"/>
  <c r="AM352" i="3"/>
  <c r="AM356" i="3"/>
  <c r="AM360" i="3"/>
  <c r="AM364" i="3"/>
  <c r="AM368" i="3"/>
  <c r="AM372" i="3"/>
  <c r="AL2" i="3"/>
  <c r="AK220" i="3"/>
  <c r="AJ5" i="3"/>
  <c r="AL10" i="3"/>
  <c r="AK15" i="3"/>
  <c r="AK20" i="3"/>
  <c r="AK25" i="3"/>
  <c r="AL30" i="3"/>
  <c r="AK35" i="3"/>
  <c r="AK40" i="3"/>
  <c r="AK45" i="3"/>
  <c r="AL50" i="3"/>
  <c r="AK55" i="3"/>
  <c r="AK60" i="3"/>
  <c r="AK65" i="3"/>
  <c r="AL70" i="3"/>
  <c r="AK75" i="3"/>
  <c r="AK80" i="3"/>
  <c r="AK85" i="3"/>
  <c r="AL90" i="3"/>
  <c r="AK95" i="3"/>
  <c r="AK100" i="3"/>
  <c r="AK105" i="3"/>
  <c r="AL110" i="3"/>
  <c r="AK115" i="3"/>
  <c r="AK120" i="3"/>
  <c r="AK125" i="3"/>
  <c r="AL130" i="3"/>
  <c r="AK135" i="3"/>
  <c r="AK140" i="3"/>
  <c r="AK145" i="3"/>
  <c r="AL150" i="3"/>
  <c r="AK155" i="3"/>
  <c r="AK160" i="3"/>
  <c r="AK165" i="3"/>
  <c r="AL170" i="3"/>
  <c r="AK175" i="3"/>
  <c r="AK180" i="3"/>
  <c r="AK185" i="3"/>
  <c r="AL190" i="3"/>
  <c r="AK195" i="3"/>
  <c r="AK200" i="3"/>
  <c r="AK205" i="3"/>
  <c r="AL210" i="3"/>
  <c r="AK215" i="3"/>
  <c r="AK225" i="3"/>
  <c r="AL230" i="3"/>
  <c r="AK235" i="3"/>
  <c r="AK240" i="3"/>
  <c r="AK245" i="3"/>
  <c r="AL250" i="3"/>
  <c r="AK255" i="3"/>
  <c r="AK260" i="3"/>
  <c r="AK265" i="3"/>
  <c r="AL270" i="3"/>
  <c r="AK275" i="3"/>
  <c r="AK280" i="3"/>
  <c r="AK285" i="3"/>
  <c r="AL290" i="3"/>
  <c r="AK295" i="3"/>
  <c r="AK300" i="3"/>
  <c r="AK305" i="3"/>
  <c r="AM309" i="3"/>
  <c r="AJ314" i="3"/>
  <c r="AL318" i="3"/>
  <c r="AI323" i="3"/>
  <c r="AK327" i="3"/>
  <c r="AM331" i="3"/>
  <c r="AK336" i="3"/>
  <c r="AM340" i="3"/>
  <c r="AI345" i="3"/>
  <c r="AI349" i="3"/>
  <c r="AI353" i="3"/>
  <c r="AI357" i="3"/>
  <c r="AI361" i="3"/>
  <c r="AI365" i="3"/>
  <c r="AI369" i="3"/>
  <c r="AI373" i="3"/>
  <c r="AM2" i="3"/>
  <c r="AK11" i="3"/>
  <c r="AM20" i="3"/>
  <c r="AM29" i="3"/>
  <c r="AK39" i="3"/>
  <c r="AJ47" i="3"/>
  <c r="AL56" i="3"/>
  <c r="AK66" i="3"/>
  <c r="AL75" i="3"/>
  <c r="AK84" i="3"/>
  <c r="AM91" i="3"/>
  <c r="AM100" i="3"/>
  <c r="AL3" i="3"/>
  <c r="AL11" i="3"/>
  <c r="AJ21" i="3"/>
  <c r="AM30" i="3"/>
  <c r="AL39" i="3"/>
  <c r="AJ49" i="3"/>
  <c r="AM56" i="3"/>
  <c r="AJ4" i="3"/>
  <c r="AM11" i="3"/>
  <c r="AK21" i="3"/>
  <c r="AI31" i="3"/>
  <c r="AM39" i="3"/>
  <c r="AK49" i="3"/>
  <c r="AJ57" i="3"/>
  <c r="AM66" i="3"/>
  <c r="AJ76" i="3"/>
  <c r="AM84" i="3"/>
  <c r="AM93" i="3"/>
  <c r="AK101" i="3"/>
  <c r="AM109" i="3"/>
  <c r="AI119" i="3"/>
  <c r="AL126" i="3"/>
  <c r="AI135" i="3"/>
  <c r="AM143" i="3"/>
  <c r="AK151" i="3"/>
  <c r="AM159" i="3"/>
  <c r="AM168" i="3"/>
  <c r="AK176" i="3"/>
  <c r="AM184" i="3"/>
  <c r="AM193" i="3"/>
  <c r="AK201" i="3"/>
  <c r="AM209" i="3"/>
  <c r="AI219" i="3"/>
  <c r="AL226" i="3"/>
  <c r="AI235" i="3"/>
  <c r="AM243" i="3"/>
  <c r="AK251" i="3"/>
  <c r="AM259" i="3"/>
  <c r="AM268" i="3"/>
  <c r="AK276" i="3"/>
  <c r="AM284" i="3"/>
  <c r="AM293" i="3"/>
  <c r="AK301" i="3"/>
  <c r="AK309" i="3"/>
  <c r="AK317" i="3"/>
  <c r="AM323" i="3"/>
  <c r="AK331" i="3"/>
  <c r="AK339" i="3"/>
  <c r="AM345" i="3"/>
  <c r="AL352" i="3"/>
  <c r="AM359" i="3"/>
  <c r="AM365" i="3"/>
  <c r="AL372" i="3"/>
  <c r="AK310" i="3"/>
  <c r="AJ32" i="3"/>
  <c r="AM318" i="3"/>
  <c r="AK4" i="3"/>
  <c r="AJ12" i="3"/>
  <c r="AL21" i="3"/>
  <c r="AJ31" i="3"/>
  <c r="AL40" i="3"/>
  <c r="AL49" i="3"/>
  <c r="AJ59" i="3"/>
  <c r="AI67" i="3"/>
  <c r="AK76" i="3"/>
  <c r="AL85" i="3"/>
  <c r="AK94" i="3"/>
  <c r="AL101" i="3"/>
  <c r="AM110" i="3"/>
  <c r="AJ119" i="3"/>
  <c r="AM126" i="3"/>
  <c r="AL135" i="3"/>
  <c r="AJ144" i="3"/>
  <c r="AL151" i="3"/>
  <c r="AL160" i="3"/>
  <c r="AJ169" i="3"/>
  <c r="AL176" i="3"/>
  <c r="AL185" i="3"/>
  <c r="AK194" i="3"/>
  <c r="AL201" i="3"/>
  <c r="AM210" i="3"/>
  <c r="AJ219" i="3"/>
  <c r="AM226" i="3"/>
  <c r="AL235" i="3"/>
  <c r="AJ244" i="3"/>
  <c r="AL251" i="3"/>
  <c r="AL260" i="3"/>
  <c r="AJ269" i="3"/>
  <c r="AL276" i="3"/>
  <c r="AL285" i="3"/>
  <c r="AK294" i="3"/>
  <c r="AL301" i="3"/>
  <c r="AI310" i="3"/>
  <c r="AL317" i="3"/>
  <c r="AJ324" i="3"/>
  <c r="AJ332" i="3"/>
  <c r="AL339" i="3"/>
  <c r="AI346" i="3"/>
  <c r="AJ353" i="3"/>
  <c r="AI360" i="3"/>
  <c r="AI366" i="3"/>
  <c r="AJ373" i="3"/>
  <c r="AM294" i="3"/>
  <c r="AK346" i="3"/>
  <c r="AK366" i="3"/>
  <c r="AI15" i="3"/>
  <c r="AL261" i="3"/>
  <c r="AJ361" i="3"/>
  <c r="AL4" i="3"/>
  <c r="AK14" i="3"/>
  <c r="AM21" i="3"/>
  <c r="AK31" i="3"/>
  <c r="AM40" i="3"/>
  <c r="AM49" i="3"/>
  <c r="AK59" i="3"/>
  <c r="AJ67" i="3"/>
  <c r="AL76" i="3"/>
  <c r="AM85" i="3"/>
  <c r="AL94" i="3"/>
  <c r="AM101" i="3"/>
  <c r="AI111" i="3"/>
  <c r="AK119" i="3"/>
  <c r="AI127" i="3"/>
  <c r="AM135" i="3"/>
  <c r="AK144" i="3"/>
  <c r="AM151" i="3"/>
  <c r="AM160" i="3"/>
  <c r="AK169" i="3"/>
  <c r="AM176" i="3"/>
  <c r="AM185" i="3"/>
  <c r="AL194" i="3"/>
  <c r="AM201" i="3"/>
  <c r="AI211" i="3"/>
  <c r="AK219" i="3"/>
  <c r="AI227" i="3"/>
  <c r="AM235" i="3"/>
  <c r="AK244" i="3"/>
  <c r="AM251" i="3"/>
  <c r="AM260" i="3"/>
  <c r="AK269" i="3"/>
  <c r="AM276" i="3"/>
  <c r="AM285" i="3"/>
  <c r="AL294" i="3"/>
  <c r="AM301" i="3"/>
  <c r="AJ310" i="3"/>
  <c r="AM317" i="3"/>
  <c r="AK324" i="3"/>
  <c r="AK332" i="3"/>
  <c r="AM339" i="3"/>
  <c r="AJ346" i="3"/>
  <c r="AK353" i="3"/>
  <c r="AJ360" i="3"/>
  <c r="AJ366" i="3"/>
  <c r="AK373" i="3"/>
  <c r="AK286" i="3"/>
  <c r="AL353" i="3"/>
  <c r="AL373" i="3"/>
  <c r="AK24" i="3"/>
  <c r="AL245" i="3"/>
  <c r="AI354" i="3"/>
  <c r="AK5" i="3"/>
  <c r="AL14" i="3"/>
  <c r="AK22" i="3"/>
  <c r="AL31" i="3"/>
  <c r="AJ41" i="3"/>
  <c r="AM50" i="3"/>
  <c r="AL59" i="3"/>
  <c r="AJ69" i="3"/>
  <c r="AM76" i="3"/>
  <c r="AK86" i="3"/>
  <c r="AM94" i="3"/>
  <c r="AK102" i="3"/>
  <c r="AJ111" i="3"/>
  <c r="AL119" i="3"/>
  <c r="AJ127" i="3"/>
  <c r="AJ136" i="3"/>
  <c r="AL144" i="3"/>
  <c r="AJ152" i="3"/>
  <c r="AJ161" i="3"/>
  <c r="AL169" i="3"/>
  <c r="AJ177" i="3"/>
  <c r="AK186" i="3"/>
  <c r="AM194" i="3"/>
  <c r="AK202" i="3"/>
  <c r="AJ211" i="3"/>
  <c r="AL219" i="3"/>
  <c r="AJ227" i="3"/>
  <c r="AJ236" i="3"/>
  <c r="AL244" i="3"/>
  <c r="AJ252" i="3"/>
  <c r="AJ261" i="3"/>
  <c r="AL269" i="3"/>
  <c r="AJ277" i="3"/>
  <c r="AK302" i="3"/>
  <c r="AI318" i="3"/>
  <c r="AL324" i="3"/>
  <c r="AL332" i="3"/>
  <c r="AJ340" i="3"/>
  <c r="AK360" i="3"/>
  <c r="AJ129" i="3"/>
  <c r="AL5" i="3"/>
  <c r="AM14" i="3"/>
  <c r="AJ24" i="3"/>
  <c r="AM31" i="3"/>
  <c r="AK41" i="3"/>
  <c r="AI51" i="3"/>
  <c r="AM59" i="3"/>
  <c r="AK69" i="3"/>
  <c r="AJ77" i="3"/>
  <c r="AL86" i="3"/>
  <c r="AI95" i="3"/>
  <c r="AM103" i="3"/>
  <c r="AK111" i="3"/>
  <c r="AM119" i="3"/>
  <c r="AM128" i="3"/>
  <c r="AK136" i="3"/>
  <c r="AM144" i="3"/>
  <c r="AM153" i="3"/>
  <c r="AK161" i="3"/>
  <c r="AM169" i="3"/>
  <c r="AI179" i="3"/>
  <c r="AL186" i="3"/>
  <c r="AI195" i="3"/>
  <c r="AM203" i="3"/>
  <c r="AK211" i="3"/>
  <c r="AM219" i="3"/>
  <c r="AM228" i="3"/>
  <c r="AK236" i="3"/>
  <c r="AM244" i="3"/>
  <c r="AM253" i="3"/>
  <c r="AK261" i="3"/>
  <c r="AM269" i="3"/>
  <c r="AI279" i="3"/>
  <c r="AL286" i="3"/>
  <c r="AI295" i="3"/>
  <c r="AM303" i="3"/>
  <c r="AL310" i="3"/>
  <c r="AJ318" i="3"/>
  <c r="AJ326" i="3"/>
  <c r="AM332" i="3"/>
  <c r="AK340" i="3"/>
  <c r="AM347" i="3"/>
  <c r="AM353" i="3"/>
  <c r="AL360" i="3"/>
  <c r="AM367" i="3"/>
  <c r="AM373" i="3"/>
  <c r="AM5" i="3"/>
  <c r="AL41" i="3"/>
  <c r="AJ51" i="3"/>
  <c r="AL60" i="3"/>
  <c r="AL69" i="3"/>
  <c r="AJ79" i="3"/>
  <c r="AM86" i="3"/>
  <c r="AL95" i="3"/>
  <c r="AJ104" i="3"/>
  <c r="AL111" i="3"/>
  <c r="AL120" i="3"/>
  <c r="AL136" i="3"/>
  <c r="AL145" i="3"/>
  <c r="AK154" i="3"/>
  <c r="AL161" i="3"/>
  <c r="AM170" i="3"/>
  <c r="AJ179" i="3"/>
  <c r="AM186" i="3"/>
  <c r="AL195" i="3"/>
  <c r="AJ204" i="3"/>
  <c r="AL211" i="3"/>
  <c r="AL220" i="3"/>
  <c r="AJ229" i="3"/>
  <c r="AL236" i="3"/>
  <c r="AK254" i="3"/>
  <c r="AM270" i="3"/>
  <c r="AJ279" i="3"/>
  <c r="AM286" i="3"/>
  <c r="AL295" i="3"/>
  <c r="AJ304" i="3"/>
  <c r="AM310" i="3"/>
  <c r="AK326" i="3"/>
  <c r="AJ333" i="3"/>
  <c r="AJ341" i="3"/>
  <c r="AI348" i="3"/>
  <c r="AI368" i="3"/>
  <c r="AJ7" i="3"/>
  <c r="AK16" i="3"/>
  <c r="AM25" i="3"/>
  <c r="AI35" i="3"/>
  <c r="AK44" i="3"/>
  <c r="AJ52" i="3"/>
  <c r="AL61" i="3"/>
  <c r="AJ71" i="3"/>
  <c r="AL80" i="3"/>
  <c r="AJ89" i="3"/>
  <c r="AL96" i="3"/>
  <c r="AL105" i="3"/>
  <c r="AK114" i="3"/>
  <c r="AL121" i="3"/>
  <c r="AM130" i="3"/>
  <c r="AJ139" i="3"/>
  <c r="AM146" i="3"/>
  <c r="AL155" i="3"/>
  <c r="AJ164" i="3"/>
  <c r="AL171" i="3"/>
  <c r="AL180" i="3"/>
  <c r="AJ189" i="3"/>
  <c r="AL196" i="3"/>
  <c r="AL205" i="3"/>
  <c r="AK214" i="3"/>
  <c r="AL221" i="3"/>
  <c r="AM230" i="3"/>
  <c r="AJ239" i="3"/>
  <c r="AM246" i="3"/>
  <c r="AL255" i="3"/>
  <c r="AJ264" i="3"/>
  <c r="AL271" i="3"/>
  <c r="AL280" i="3"/>
  <c r="AJ289" i="3"/>
  <c r="AL296" i="3"/>
  <c r="AL305" i="3"/>
  <c r="AJ313" i="3"/>
  <c r="AL319" i="3"/>
  <c r="AL327" i="3"/>
  <c r="AJ335" i="3"/>
  <c r="AI342" i="3"/>
  <c r="AJ349" i="3"/>
  <c r="AI356" i="3"/>
  <c r="AI362" i="3"/>
  <c r="AJ369" i="3"/>
  <c r="AM8" i="3"/>
  <c r="AL16" i="3"/>
  <c r="AK26" i="3"/>
  <c r="AL35" i="3"/>
  <c r="AL44" i="3"/>
  <c r="AK54" i="3"/>
  <c r="AM61" i="3"/>
  <c r="AK71" i="3"/>
  <c r="AM80" i="3"/>
  <c r="AK89" i="3"/>
  <c r="AM96" i="3"/>
  <c r="AM105" i="3"/>
  <c r="AL114" i="3"/>
  <c r="AM121" i="3"/>
  <c r="AI131" i="3"/>
  <c r="AK139" i="3"/>
  <c r="AI147" i="3"/>
  <c r="AM155" i="3"/>
  <c r="AK164" i="3"/>
  <c r="AM171" i="3"/>
  <c r="AM180" i="3"/>
  <c r="AK189" i="3"/>
  <c r="AM196" i="3"/>
  <c r="AM205" i="3"/>
  <c r="AL214" i="3"/>
  <c r="AM221" i="3"/>
  <c r="AI231" i="3"/>
  <c r="AK239" i="3"/>
  <c r="AI247" i="3"/>
  <c r="AM255" i="3"/>
  <c r="AK264" i="3"/>
  <c r="AM271" i="3"/>
  <c r="AM280" i="3"/>
  <c r="AK289" i="3"/>
  <c r="AM296" i="3"/>
  <c r="AM305" i="3"/>
  <c r="AK313" i="3"/>
  <c r="AM319" i="3"/>
  <c r="AM327" i="3"/>
  <c r="AK335" i="3"/>
  <c r="AJ370" i="3"/>
  <c r="AK361" i="3"/>
  <c r="AI350" i="3"/>
  <c r="AI338" i="3"/>
  <c r="AJ328" i="3"/>
  <c r="AM314" i="3"/>
  <c r="AJ301" i="3"/>
  <c r="AL289" i="3"/>
  <c r="AM274" i="3"/>
  <c r="AL259" i="3"/>
  <c r="AJ247" i="3"/>
  <c r="AJ232" i="3"/>
  <c r="AJ217" i="3"/>
  <c r="AK206" i="3"/>
  <c r="AJ191" i="3"/>
  <c r="AJ176" i="3"/>
  <c r="AL164" i="3"/>
  <c r="AL149" i="3"/>
  <c r="AM134" i="3"/>
  <c r="AK122" i="3"/>
  <c r="AJ107" i="3"/>
  <c r="AL91" i="3"/>
  <c r="AK79" i="3"/>
  <c r="AK61" i="3"/>
  <c r="AJ44" i="3"/>
  <c r="AL25" i="3"/>
  <c r="AI7" i="3"/>
  <c r="AI364" i="3"/>
  <c r="AL279" i="3"/>
  <c r="AJ196" i="3"/>
  <c r="AL125" i="3"/>
  <c r="AM46" i="3"/>
  <c r="AJ352" i="3"/>
  <c r="AL46" i="3"/>
  <c r="AJ350" i="3"/>
  <c r="AM289" i="3"/>
  <c r="AM164" i="3"/>
  <c r="AL26" i="3"/>
  <c r="AK2" i="3"/>
  <c r="AI370" i="3"/>
  <c r="AK358" i="3"/>
  <c r="AM349" i="3"/>
  <c r="AM337" i="3"/>
  <c r="AI327" i="3"/>
  <c r="AL314" i="3"/>
  <c r="AM300" i="3"/>
  <c r="AM288" i="3"/>
  <c r="AL274" i="3"/>
  <c r="AK259" i="3"/>
  <c r="AL246" i="3"/>
  <c r="AM231" i="3"/>
  <c r="AM216" i="3"/>
  <c r="AM204" i="3"/>
  <c r="AI191" i="3"/>
  <c r="AM175" i="3"/>
  <c r="AM163" i="3"/>
  <c r="AK149" i="3"/>
  <c r="AL134" i="3"/>
  <c r="AK121" i="3"/>
  <c r="AI107" i="3"/>
  <c r="AK91" i="3"/>
  <c r="AM75" i="3"/>
  <c r="AJ61" i="3"/>
  <c r="AK42" i="3"/>
  <c r="AM24" i="3"/>
  <c r="AM6" i="3"/>
  <c r="AM291" i="3"/>
  <c r="AM265" i="3"/>
  <c r="AI239" i="3"/>
  <c r="AK209" i="3"/>
  <c r="AM181" i="3"/>
  <c r="AI155" i="3"/>
  <c r="AM125" i="3"/>
  <c r="AK82" i="3"/>
  <c r="AL29" i="3"/>
  <c r="AM343" i="3"/>
  <c r="AJ319" i="3"/>
  <c r="AL291" i="3"/>
  <c r="AM250" i="3"/>
  <c r="AJ224" i="3"/>
  <c r="AM166" i="3"/>
  <c r="AL140" i="3"/>
  <c r="AI99" i="3"/>
  <c r="AI11" i="3"/>
  <c r="AM363" i="3"/>
  <c r="AL330" i="3"/>
  <c r="AJ306" i="3"/>
  <c r="AK279" i="3"/>
  <c r="AM249" i="3"/>
  <c r="AM223" i="3"/>
  <c r="AM195" i="3"/>
  <c r="AL166" i="3"/>
  <c r="AM139" i="3"/>
  <c r="AM111" i="3"/>
  <c r="AJ97" i="3"/>
  <c r="AM64" i="3"/>
  <c r="AJ29" i="3"/>
  <c r="AK370" i="3"/>
  <c r="AL361" i="3"/>
  <c r="AK341" i="3"/>
  <c r="AK328" i="3"/>
  <c r="AI315" i="3"/>
  <c r="AK304" i="3"/>
  <c r="AI275" i="3"/>
  <c r="AM261" i="3"/>
  <c r="AM248" i="3"/>
  <c r="AM233" i="3"/>
  <c r="AM220" i="3"/>
  <c r="AL206" i="3"/>
  <c r="AK191" i="3"/>
  <c r="AK179" i="3"/>
  <c r="AM149" i="3"/>
  <c r="AM136" i="3"/>
  <c r="AM123" i="3"/>
  <c r="AM108" i="3"/>
  <c r="AJ92" i="3"/>
  <c r="AL79" i="3"/>
  <c r="AK62" i="3"/>
  <c r="AM44" i="3"/>
  <c r="AJ9" i="3"/>
  <c r="AM369" i="3"/>
  <c r="AJ358" i="3"/>
  <c r="AL349" i="3"/>
  <c r="AL337" i="3"/>
  <c r="AM326" i="3"/>
  <c r="AK314" i="3"/>
  <c r="AL300" i="3"/>
  <c r="AJ287" i="3"/>
  <c r="AK274" i="3"/>
  <c r="AJ259" i="3"/>
  <c r="AK246" i="3"/>
  <c r="AL231" i="3"/>
  <c r="AL216" i="3"/>
  <c r="AL204" i="3"/>
  <c r="AM190" i="3"/>
  <c r="AL175" i="3"/>
  <c r="AK162" i="3"/>
  <c r="AJ149" i="3"/>
  <c r="AK134" i="3"/>
  <c r="AJ121" i="3"/>
  <c r="AM106" i="3"/>
  <c r="AJ91" i="3"/>
  <c r="AI75" i="3"/>
  <c r="AM60" i="3"/>
  <c r="AM41" i="3"/>
  <c r="AL24" i="3"/>
  <c r="AL6" i="3"/>
  <c r="AL369" i="3"/>
  <c r="AI358" i="3"/>
  <c r="AK349" i="3"/>
  <c r="AK337" i="3"/>
  <c r="AL326" i="3"/>
  <c r="AM313" i="3"/>
  <c r="AM299" i="3"/>
  <c r="AI287" i="3"/>
  <c r="AM273" i="3"/>
  <c r="AI259" i="3"/>
  <c r="AM245" i="3"/>
  <c r="AK231" i="3"/>
  <c r="AK216" i="3"/>
  <c r="AK204" i="3"/>
  <c r="AM189" i="3"/>
  <c r="AI175" i="3"/>
  <c r="AM161" i="3"/>
  <c r="AM148" i="3"/>
  <c r="AM133" i="3"/>
  <c r="AM120" i="3"/>
  <c r="AL106" i="3"/>
  <c r="AI91" i="3"/>
  <c r="AM74" i="3"/>
  <c r="AK56" i="3"/>
  <c r="AJ39" i="3"/>
  <c r="AL20" i="3"/>
  <c r="U263" i="4"/>
  <c r="S1" i="2"/>
  <c r="S3" i="2"/>
  <c r="K1" i="2"/>
  <c r="J1" i="2"/>
  <c r="J3" i="2"/>
  <c r="K3" i="2"/>
  <c r="H1" i="2"/>
  <c r="H2" i="2"/>
  <c r="T3" i="2"/>
  <c r="T2" i="2"/>
  <c r="I3" i="2"/>
  <c r="I1" i="2"/>
  <c r="AJ3" i="2"/>
  <c r="Q2" i="2"/>
  <c r="AI3" i="2"/>
  <c r="P2" i="2"/>
  <c r="AG3" i="2"/>
  <c r="AJ1" i="2"/>
  <c r="O2" i="2"/>
  <c r="AE3" i="2"/>
  <c r="AI1" i="2"/>
  <c r="N2" i="2"/>
  <c r="AG1" i="2"/>
  <c r="M2" i="2"/>
  <c r="AT2" i="2"/>
  <c r="L2" i="2"/>
  <c r="P3" i="2"/>
  <c r="Q1" i="2"/>
  <c r="O1" i="2"/>
  <c r="N3" i="2"/>
  <c r="H3" i="2"/>
  <c r="AL376" i="3" l="1"/>
  <c r="AK376" i="3"/>
  <c r="AM376" i="3"/>
  <c r="AN376" i="3" l="1"/>
</calcChain>
</file>

<file path=xl/sharedStrings.xml><?xml version="1.0" encoding="utf-8"?>
<sst xmlns="http://schemas.openxmlformats.org/spreadsheetml/2006/main" count="3891" uniqueCount="91">
  <si>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</si>
  <si>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</si>
  <si>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</si>
  <si>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</si>
  <si>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</si>
  <si>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</si>
  <si>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</si>
  <si>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</si>
  <si>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</si>
  <si>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</si>
  <si>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</si>
  <si>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</si>
  <si>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</si>
  <si>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</si>
  <si>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</si>
  <si>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</si>
  <si>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</si>
  <si>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</si>
  <si>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</si>
  <si>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</si>
  <si>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</si>
  <si>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</si>
  <si>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</si>
  <si>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</si>
  <si>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</si>
  <si>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</si>
  <si>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</si>
  <si>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</si>
  <si>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</si>
  <si>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</si>
  <si>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</si>
  <si>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</si>
  <si>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</si>
  <si>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</si>
  <si>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</si>
  <si>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</si>
  <si>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</si>
  <si>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</si>
  <si>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</si>
  <si>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</si>
  <si>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</si>
  <si>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</si>
  <si>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</si>
  <si>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</si>
  <si>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</si>
  <si>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</si>
  <si>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</si>
  <si>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</si>
  <si>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</si>
  <si>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Mean</t>
  </si>
  <si>
    <t>Median</t>
  </si>
  <si>
    <t>Mode</t>
  </si>
  <si>
    <t>Food</t>
  </si>
  <si>
    <t>Clothing &amp; Footwear</t>
  </si>
  <si>
    <t>Miscellneaous</t>
  </si>
  <si>
    <t>Total CPI</t>
  </si>
  <si>
    <t>Row Labels</t>
  </si>
  <si>
    <t>Grand Total</t>
  </si>
  <si>
    <t>Average of Food</t>
  </si>
  <si>
    <t>Food %</t>
  </si>
  <si>
    <t>C &amp;F %</t>
  </si>
  <si>
    <t>Housing %</t>
  </si>
  <si>
    <t>Fuel &amp; Light%</t>
  </si>
  <si>
    <t>Miscellneous %</t>
  </si>
  <si>
    <t>(Multiple Items)</t>
  </si>
  <si>
    <t>Average of Vegetables</t>
  </si>
  <si>
    <t>Average of Food and beverages</t>
  </si>
  <si>
    <t>Average of Meat and fish</t>
  </si>
  <si>
    <t>Average of Egg</t>
  </si>
  <si>
    <t>Average of Sugar and Confectionery</t>
  </si>
  <si>
    <t>Average of Pan, tobacco and intoxicants</t>
  </si>
  <si>
    <t>Average of Spices</t>
  </si>
  <si>
    <t>Average of Prepared meals, snacks, sweets etc.</t>
  </si>
  <si>
    <r>
      <t xml:space="preserve">Based on the analysis and visualization of food inflation trends, it is evident that the </t>
    </r>
    <r>
      <rPr>
        <sz val="14"/>
        <color rgb="FFFF0000"/>
        <rFont val="Calibri"/>
        <family val="2"/>
        <scheme val="minor"/>
      </rPr>
      <t>Meat and Fish subcategory has made the most significant contribution</t>
    </r>
    <r>
      <rPr>
        <sz val="14"/>
        <color theme="1"/>
        <rFont val="Calibri"/>
        <family val="2"/>
        <scheme val="minor"/>
      </rPr>
      <t xml:space="preserve"> to the overall inflation within the Food category during the observed period. This highlights the substantial impact of meat and fish prices on food inflation trends, underscoring its importance as a key driver in the food basket. This finding can be valuable for further research or policy measures aimed at mitigating food price inflation</t>
    </r>
  </si>
  <si>
    <t>Also I have removed some sub-categories which were not really showing any impact on the graph for clean and clear visualization.</t>
  </si>
  <si>
    <t>Inflation %</t>
  </si>
  <si>
    <t>Avg of Health</t>
  </si>
  <si>
    <t>Avg of Personal care and effects</t>
  </si>
  <si>
    <t>Avg of Food</t>
  </si>
  <si>
    <t>Avg of Education</t>
  </si>
  <si>
    <t>These three(Health, Personal Care and effects and Food) categories are the most affected categories among the others where food is combined category for all food related items.</t>
  </si>
  <si>
    <r>
      <t>Since we took March 2020 as the base year, we can observe that inflation increased by 10-15% by the end of 2021 in the categories of</t>
    </r>
    <r>
      <rPr>
        <sz val="12"/>
        <color rgb="FFFF0000"/>
        <rFont val="Calibri"/>
        <family val="2"/>
        <scheme val="minor"/>
      </rPr>
      <t xml:space="preserve"> Health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rgb="FFFF0000"/>
        <rFont val="Calibri"/>
        <family val="2"/>
        <scheme val="minor"/>
      </rPr>
      <t>Personal Care and Effects</t>
    </r>
    <r>
      <rPr>
        <sz val="12"/>
        <color theme="1"/>
        <rFont val="Calibri"/>
        <family val="2"/>
        <scheme val="minor"/>
      </rPr>
      <t xml:space="preserve">, and </t>
    </r>
    <r>
      <rPr>
        <sz val="12"/>
        <color rgb="FFFF0000"/>
        <rFont val="Calibri"/>
        <family val="2"/>
        <scheme val="minor"/>
      </rPr>
      <t>Food</t>
    </r>
    <r>
      <rPr>
        <sz val="12"/>
        <color theme="1"/>
        <rFont val="Calibri"/>
        <family val="2"/>
        <scheme val="minor"/>
      </rPr>
      <t xml:space="preserve">. This indicates that these three categories were the </t>
    </r>
    <r>
      <rPr>
        <u/>
        <sz val="12"/>
        <color theme="1"/>
        <rFont val="Calibri"/>
        <family val="2"/>
        <scheme val="minor"/>
      </rPr>
      <t>most affected</t>
    </r>
    <r>
      <rPr>
        <sz val="12"/>
        <color theme="1"/>
        <rFont val="Calibri"/>
        <family val="2"/>
        <scheme val="minor"/>
      </rPr>
      <t xml:space="preserve"> by the COVID-19 pandemic, experiencing notable inflationary pressure in the post-pandemic period.</t>
    </r>
  </si>
  <si>
    <t>Column Labels</t>
  </si>
  <si>
    <t>Average of Fuel and light</t>
  </si>
  <si>
    <t>Average of Transport and communication</t>
  </si>
  <si>
    <r>
      <t>Fuel and Light prices have the strongest correlation with</t>
    </r>
    <r>
      <rPr>
        <sz val="11"/>
        <color rgb="FFFF0000"/>
        <rFont val="Calibri"/>
        <family val="2"/>
        <scheme val="minor"/>
      </rPr>
      <t xml:space="preserve"> General Index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Housing, Clothing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0000"/>
        <rFont val="Calibri"/>
        <family val="2"/>
        <scheme val="minor"/>
      </rPr>
      <t>Health, and Recreation &amp; Amusement</t>
    </r>
    <r>
      <rPr>
        <sz val="11"/>
        <color theme="1"/>
        <rFont val="Calibri"/>
        <family val="2"/>
        <scheme val="minor"/>
      </rPr>
      <t>. This suggests that fuel price fluctuations significantly impact living costs, essential services, and leisure spending.</t>
    </r>
  </si>
  <si>
    <r>
      <t xml:space="preserve">Food-related categories like </t>
    </r>
    <r>
      <rPr>
        <sz val="11"/>
        <color rgb="FFFF0000"/>
        <rFont val="Calibri"/>
        <family val="2"/>
        <scheme val="minor"/>
      </rPr>
      <t>Vegetables, Eggs, and Oils &amp; Fats</t>
    </r>
    <r>
      <rPr>
        <sz val="11"/>
        <color theme="1"/>
        <rFont val="Calibri"/>
        <family val="2"/>
        <scheme val="minor"/>
      </rPr>
      <t xml:space="preserve"> have </t>
    </r>
    <r>
      <rPr>
        <sz val="11"/>
        <color rgb="FF002060"/>
        <rFont val="Calibri"/>
        <family val="2"/>
        <scheme val="minor"/>
      </rPr>
      <t>weak</t>
    </r>
    <r>
      <rPr>
        <sz val="11"/>
        <color theme="1"/>
        <rFont val="Calibri"/>
        <family val="2"/>
        <scheme val="minor"/>
      </rPr>
      <t xml:space="preserve"> correlation, indicating their price changes are more influenced by factors other than fuel costs, such as weather conditions or supply disruptions.</t>
    </r>
  </si>
  <si>
    <t>CORRELATION WITH Fuel and Light</t>
  </si>
  <si>
    <t>cpi inflation combined</t>
  </si>
  <si>
    <t>It is clearly visible that the year 2019 exhibited the highest inflation rate overall</t>
  </si>
  <si>
    <t xml:space="preserve">Avg % distribution for may-2023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</si>
</sst>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33" borderId="0" xfId="0" applyNumberFormat="1" applyFill="1"/>
    <xf numFmtId="164" fontId="14" fillId="0" borderId="0" xfId="0" applyNumberFormat="1" applyFont="1"/>
    <xf numFmtId="0" fontId="16" fillId="34" borderId="0" xfId="0" applyFont="1" applyFill="1"/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horizontal="left" vertical="top"/>
    </xf>
    <xf numFmtId="2" fontId="16" fillId="0" borderId="0" xfId="0" applyNumberFormat="1" applyFont="1"/>
    <xf numFmtId="164" fontId="13" fillId="38" borderId="11" xfId="0" applyNumberFormat="1" applyFont="1" applyFill="1" applyBorder="1"/>
    <xf numFmtId="1" fontId="13" fillId="38" borderId="10" xfId="0" applyNumberFormat="1" applyFont="1" applyFill="1" applyBorder="1"/>
    <xf numFmtId="164" fontId="13" fillId="38" borderId="10" xfId="0" applyNumberFormat="1" applyFont="1" applyFill="1" applyBorder="1"/>
    <xf numFmtId="164" fontId="13" fillId="38" borderId="12" xfId="0" applyNumberFormat="1" applyFont="1" applyFill="1" applyBorder="1"/>
    <xf numFmtId="164" fontId="13" fillId="38" borderId="0" xfId="0" applyNumberFormat="1" applyFont="1" applyFill="1"/>
    <xf numFmtId="0" fontId="0" fillId="0" borderId="0" xfId="0" applyAlignment="1">
      <alignment vertical="top"/>
    </xf>
    <xf numFmtId="164" fontId="0" fillId="37" borderId="11" xfId="0" applyNumberFormat="1" applyFill="1" applyBorder="1"/>
    <xf numFmtId="1" fontId="0" fillId="37" borderId="10" xfId="0" applyNumberFormat="1" applyFill="1" applyBorder="1"/>
    <xf numFmtId="164" fontId="0" fillId="37" borderId="10" xfId="0" applyNumberFormat="1" applyFill="1" applyBorder="1"/>
    <xf numFmtId="164" fontId="0" fillId="37" borderId="12" xfId="0" applyNumberFormat="1" applyFill="1" applyBorder="1"/>
    <xf numFmtId="164" fontId="0" fillId="0" borderId="11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64" fontId="0" fillId="0" borderId="12" xfId="0" applyNumberFormat="1" applyBorder="1"/>
    <xf numFmtId="0" fontId="0" fillId="37" borderId="0" xfId="0" applyFill="1"/>
    <xf numFmtId="164" fontId="0" fillId="33" borderId="13" xfId="0" applyNumberFormat="1" applyFill="1" applyBorder="1"/>
    <xf numFmtId="17" fontId="16" fillId="0" borderId="13" xfId="0" applyNumberFormat="1" applyFont="1" applyBorder="1"/>
    <xf numFmtId="164" fontId="0" fillId="0" borderId="13" xfId="0" applyNumberFormat="1" applyBorder="1"/>
    <xf numFmtId="2" fontId="0" fillId="0" borderId="14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0" fontId="0" fillId="0" borderId="0" xfId="0" applyAlignment="1">
      <alignment horizontal="center" vertical="top" wrapText="1"/>
    </xf>
    <xf numFmtId="0" fontId="20" fillId="36" borderId="0" xfId="0" applyFont="1" applyFill="1" applyAlignment="1">
      <alignment horizontal="left" vertical="top" wrapText="1"/>
    </xf>
    <xf numFmtId="0" fontId="18" fillId="35" borderId="0" xfId="0" applyFont="1" applyFill="1" applyAlignment="1">
      <alignment horizontal="left" vertical="top" wrapText="1"/>
    </xf>
    <xf numFmtId="0" fontId="19" fillId="36" borderId="0" xfId="0" applyFont="1" applyFill="1" applyAlignment="1">
      <alignment horizontal="left" vertical="top" wrapText="1"/>
    </xf>
    <xf numFmtId="0" fontId="18" fillId="39" borderId="0" xfId="0" applyFont="1" applyFill="1" applyAlignment="1">
      <alignment horizontal="center" vertical="top" wrapText="1"/>
    </xf>
    <xf numFmtId="0" fontId="20" fillId="36" borderId="0" xfId="0" applyFont="1" applyFill="1" applyAlignment="1">
      <alignment horizontal="center" vertical="center" wrapText="1"/>
    </xf>
    <xf numFmtId="0" fontId="0" fillId="36" borderId="0" xfId="0" applyFill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5">
    <dxf>
      <font>
        <color rgb="FF006100"/>
      </font>
      <fill>
        <patternFill>
          <bgColor rgb="FFC6EFCE"/>
        </patternFill>
      </fill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634011373578298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'PS2'!$AG$1</c:f>
              <c:strCache>
                <c:ptCount val="1"/>
                <c:pt idx="0">
                  <c:v>cpi inflation combined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'PS2'!$AF$2:$AF$7</c:f>
              <c:numCache>
                <c:formatCode>General</c:formatCode>
                <c:ptCount val="6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</c:numCache>
            </c:numRef>
          </c:cat>
          <c:val>
            <c:numRef>
              <c:f>'PS2'!$AG$2:$AG$7</c:f>
              <c:numCache>
                <c:formatCode>0.00</c:formatCode>
                <c:ptCount val="6"/>
                <c:pt idx="0">
                  <c:v>4.3507760156051134</c:v>
                </c:pt>
                <c:pt idx="1">
                  <c:v>2.0258527047577268</c:v>
                </c:pt>
                <c:pt idx="2">
                  <c:v>7.0493991989319591</c:v>
                </c:pt>
                <c:pt idx="3">
                  <c:v>6.5521882165287524</c:v>
                </c:pt>
                <c:pt idx="4">
                  <c:v>5.8088650479954751</c:v>
                </c:pt>
                <c:pt idx="5">
                  <c:v>6.0126934639795548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28-4629-8FBB-794F1AD421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6184144"/>
        <c:axId val="1796189424"/>
      </c:lineChart>
      <c:catAx>
        <c:axId val="17961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89424"/>
        <c:crosses val="autoZero"/>
        <c:auto val="1"/>
        <c:lblAlgn val="ctr"/>
        <c:lblOffset val="100"/>
        <c:noMultiLvlLbl val="0"/>
      </c:catAx>
      <c:valAx>
        <c:axId val="179618942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crossAx val="179618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'PS3'!$A$4:$A$23</c:f>
              <c:multiLvlStrCache>
                <c:ptCount val="17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</c:lvl>
              </c:multiLvlStrCache>
            </c:multiLvlStrRef>
          </c:cat>
          <c:val>
            <c:numRef>
              <c:f>'PS3'!$B$4:$B$23</c:f>
              <c:numCache>
                <c:formatCode>0.0</c:formatCode>
                <c:ptCount val="17"/>
                <c:pt idx="0">
                  <c:v>168.64761904761903</c:v>
                </c:pt>
                <c:pt idx="1">
                  <c:v>168.47380952380954</c:v>
                </c:pt>
                <c:pt idx="2">
                  <c:v>170.07380952380956</c:v>
                </c:pt>
                <c:pt idx="3">
                  <c:v>172.26428571428573</c:v>
                </c:pt>
                <c:pt idx="4">
                  <c:v>174.10476190476194</c:v>
                </c:pt>
                <c:pt idx="5">
                  <c:v>175.7904761904762</c:v>
                </c:pt>
                <c:pt idx="6">
                  <c:v>176.11428571428573</c:v>
                </c:pt>
                <c:pt idx="7">
                  <c:v>176.33571428571429</c:v>
                </c:pt>
                <c:pt idx="8">
                  <c:v>177.26666666666665</c:v>
                </c:pt>
                <c:pt idx="9">
                  <c:v>178.46190476190478</c:v>
                </c:pt>
                <c:pt idx="10">
                  <c:v>178.37857142857146</c:v>
                </c:pt>
                <c:pt idx="11">
                  <c:v>177.39523809523806</c:v>
                </c:pt>
                <c:pt idx="12">
                  <c:v>178.16190476190476</c:v>
                </c:pt>
                <c:pt idx="13">
                  <c:v>177.34523809523807</c:v>
                </c:pt>
                <c:pt idx="14">
                  <c:v>177.35714285714286</c:v>
                </c:pt>
                <c:pt idx="15">
                  <c:v>178.2166666666667</c:v>
                </c:pt>
                <c:pt idx="16">
                  <c:v>179.47142857142862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E6-4DE0-9C79-135372DBF4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6865967"/>
        <c:axId val="1846867887"/>
      </c:barChart>
      <c:catAx>
        <c:axId val="1846865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867887"/>
        <c:crosses val="autoZero"/>
        <c:auto val="1"/>
        <c:lblAlgn val="ctr"/>
        <c:lblOffset val="100"/>
        <c:noMultiLvlLbl val="0"/>
      </c:catAx>
      <c:valAx>
        <c:axId val="184686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86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(1).xlsx]PS3!PivotTable4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'PS3'!$B$27</c:f>
              <c:strCache>
                <c:ptCount val="1"/>
                <c:pt idx="0">
                  <c:v>Average of Vegetables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'PS3'!$B$28:$B$40</c:f>
              <c:numCache>
                <c:formatCode>General</c:formatCode>
                <c:ptCount val="12"/>
                <c:pt idx="0">
                  <c:v>168.20000000000002</c:v>
                </c:pt>
                <c:pt idx="1">
                  <c:v>165.38333333333333</c:v>
                </c:pt>
                <c:pt idx="2">
                  <c:v>163.45000000000002</c:v>
                </c:pt>
                <c:pt idx="3">
                  <c:v>164.76666666666668</c:v>
                </c:pt>
                <c:pt idx="4">
                  <c:v>172.20000000000002</c:v>
                </c:pt>
                <c:pt idx="5">
                  <c:v>187.03333333333333</c:v>
                </c:pt>
                <c:pt idx="6">
                  <c:v>186.4</c:v>
                </c:pt>
                <c:pt idx="7">
                  <c:v>190.96666666666667</c:v>
                </c:pt>
                <c:pt idx="8">
                  <c:v>196.5</c:v>
                </c:pt>
                <c:pt idx="9">
                  <c:v>204.36666666666665</c:v>
                </c:pt>
                <c:pt idx="10">
                  <c:v>186.73333333333335</c:v>
                </c:pt>
                <c:pt idx="11">
                  <c:v>162.93333333333334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5-4E68-86D6-93A8AC1AB257}"/>
            </c:ext>
          </c:extLst>
        </c:ser>
        <c:ser>
          <c:idx val="1"/>
          <c:order val="1"/>
          <c:tx>
            <c:strRef>
              <c:f>'PS3'!$C$27</c:f>
              <c:strCache>
                <c:ptCount val="1"/>
                <c:pt idx="0">
                  <c:v>Average of Prepared meals, snacks, sweets etc.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'PS3'!$C$28:$C$40</c:f>
              <c:numCache>
                <c:formatCode>General</c:formatCode>
                <c:ptCount val="12"/>
                <c:pt idx="0">
                  <c:v>184.35</c:v>
                </c:pt>
                <c:pt idx="1">
                  <c:v>185.63333333333333</c:v>
                </c:pt>
                <c:pt idx="2">
                  <c:v>186.28333333333333</c:v>
                </c:pt>
                <c:pt idx="3">
                  <c:v>187.35000000000002</c:v>
                </c:pt>
                <c:pt idx="4">
                  <c:v>188.46666666666667</c:v>
                </c:pt>
                <c:pt idx="5">
                  <c:v>184.03333333333333</c:v>
                </c:pt>
                <c:pt idx="6">
                  <c:v>185.33333333333334</c:v>
                </c:pt>
                <c:pt idx="7">
                  <c:v>186.4</c:v>
                </c:pt>
                <c:pt idx="8">
                  <c:v>187.53333333333333</c:v>
                </c:pt>
                <c:pt idx="9">
                  <c:v>188.46666666666667</c:v>
                </c:pt>
                <c:pt idx="10">
                  <c:v>189.6</c:v>
                </c:pt>
                <c:pt idx="11">
                  <c:v>190.43333333333331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5-4E68-86D6-93A8AC1AB257}"/>
            </c:ext>
          </c:extLst>
        </c:ser>
        <c:ser>
          <c:idx val="2"/>
          <c:order val="2"/>
          <c:tx>
            <c:strRef>
              <c:f>'PS3'!$D$27</c:f>
              <c:strCache>
                <c:ptCount val="1"/>
                <c:pt idx="0">
                  <c:v>Average of Spices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'PS3'!$D$28:$D$40</c:f>
              <c:numCache>
                <c:formatCode>General</c:formatCode>
                <c:ptCount val="12"/>
                <c:pt idx="0">
                  <c:v>189.73333333333335</c:v>
                </c:pt>
                <c:pt idx="1">
                  <c:v>191.41666666666671</c:v>
                </c:pt>
                <c:pt idx="2">
                  <c:v>192.9</c:v>
                </c:pt>
                <c:pt idx="3">
                  <c:v>196.4</c:v>
                </c:pt>
                <c:pt idx="4">
                  <c:v>200.63333333333333</c:v>
                </c:pt>
                <c:pt idx="5">
                  <c:v>186.5</c:v>
                </c:pt>
                <c:pt idx="6">
                  <c:v>189.36666666666667</c:v>
                </c:pt>
                <c:pt idx="7">
                  <c:v>192.96666666666667</c:v>
                </c:pt>
                <c:pt idx="8">
                  <c:v>196.66666666666666</c:v>
                </c:pt>
                <c:pt idx="9">
                  <c:v>199.29999999999998</c:v>
                </c:pt>
                <c:pt idx="10">
                  <c:v>202.13333333333335</c:v>
                </c:pt>
                <c:pt idx="11">
                  <c:v>204.4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65-4E68-86D6-93A8AC1AB257}"/>
            </c:ext>
          </c:extLst>
        </c:ser>
        <c:ser>
          <c:idx val="3"/>
          <c:order val="3"/>
          <c:tx>
            <c:strRef>
              <c:f>'PS3'!$E$27</c:f>
              <c:strCache>
                <c:ptCount val="1"/>
                <c:pt idx="0">
                  <c:v>Average of Sugar and Confectionery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'PS3'!$E$28:$E$40</c:f>
              <c:numCache>
                <c:formatCode>General</c:formatCode>
                <c:ptCount val="12"/>
                <c:pt idx="0">
                  <c:v>120.78333333333332</c:v>
                </c:pt>
                <c:pt idx="1">
                  <c:v>119.76666666666667</c:v>
                </c:pt>
                <c:pt idx="2">
                  <c:v>119.7</c:v>
                </c:pt>
                <c:pt idx="3">
                  <c:v>120.41666666666667</c:v>
                </c:pt>
                <c:pt idx="4">
                  <c:v>121.43333333333334</c:v>
                </c:pt>
                <c:pt idx="5">
                  <c:v>120.13333333333333</c:v>
                </c:pt>
                <c:pt idx="6">
                  <c:v>120.23333333333333</c:v>
                </c:pt>
                <c:pt idx="7">
                  <c:v>121.10000000000001</c:v>
                </c:pt>
                <c:pt idx="8">
                  <c:v>121.83333333333333</c:v>
                </c:pt>
                <c:pt idx="9">
                  <c:v>122.13333333333333</c:v>
                </c:pt>
                <c:pt idx="10">
                  <c:v>122.33333333333333</c:v>
                </c:pt>
                <c:pt idx="11">
                  <c:v>122.03333333333332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65-4E68-86D6-93A8AC1AB257}"/>
            </c:ext>
          </c:extLst>
        </c:ser>
        <c:ser>
          <c:idx val="4"/>
          <c:order val="4"/>
          <c:tx>
            <c:strRef>
              <c:f>'PS3'!$F$27</c:f>
              <c:strCache>
                <c:ptCount val="1"/>
                <c:pt idx="0">
                  <c:v>Average of Pan, tobacco and intoxicants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'PS3'!$F$28:$F$40</c:f>
              <c:numCache>
                <c:formatCode>General</c:formatCode>
                <c:ptCount val="12"/>
                <c:pt idx="0">
                  <c:v>195.99999999999997</c:v>
                </c:pt>
                <c:pt idx="1">
                  <c:v>196.88333333333333</c:v>
                </c:pt>
                <c:pt idx="2">
                  <c:v>197.35</c:v>
                </c:pt>
                <c:pt idx="3">
                  <c:v>197.9</c:v>
                </c:pt>
                <c:pt idx="4">
                  <c:v>198.26666666666668</c:v>
                </c:pt>
                <c:pt idx="5">
                  <c:v>195.16666666666666</c:v>
                </c:pt>
                <c:pt idx="6">
                  <c:v>195.46666666666667</c:v>
                </c:pt>
                <c:pt idx="7">
                  <c:v>195.79999999999998</c:v>
                </c:pt>
                <c:pt idx="8">
                  <c:v>196.70000000000002</c:v>
                </c:pt>
                <c:pt idx="9">
                  <c:v>197.1</c:v>
                </c:pt>
                <c:pt idx="10">
                  <c:v>197.66666666666666</c:v>
                </c:pt>
                <c:pt idx="11">
                  <c:v>198.1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65-4E68-86D6-93A8AC1AB257}"/>
            </c:ext>
          </c:extLst>
        </c:ser>
        <c:ser>
          <c:idx val="5"/>
          <c:order val="5"/>
          <c:tx>
            <c:strRef>
              <c:f>'PS3'!$G$27</c:f>
              <c:strCache>
                <c:ptCount val="1"/>
                <c:pt idx="0">
                  <c:v>Average of Egg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'PS3'!$G$28:$G$40</c:f>
              <c:numCache>
                <c:formatCode>General</c:formatCode>
                <c:ptCount val="12"/>
                <c:pt idx="0">
                  <c:v>186.88333333333335</c:v>
                </c:pt>
                <c:pt idx="1">
                  <c:v>175.66666666666666</c:v>
                </c:pt>
                <c:pt idx="2">
                  <c:v>171.61666666666667</c:v>
                </c:pt>
                <c:pt idx="3">
                  <c:v>167.25</c:v>
                </c:pt>
                <c:pt idx="4">
                  <c:v>168.13333333333333</c:v>
                </c:pt>
                <c:pt idx="5">
                  <c:v>171.06666666666669</c:v>
                </c:pt>
                <c:pt idx="6">
                  <c:v>175.36666666666665</c:v>
                </c:pt>
                <c:pt idx="7">
                  <c:v>169.36666666666665</c:v>
                </c:pt>
                <c:pt idx="8">
                  <c:v>169.86666666666667</c:v>
                </c:pt>
                <c:pt idx="9">
                  <c:v>171.03333333333333</c:v>
                </c:pt>
                <c:pt idx="10">
                  <c:v>181.6</c:v>
                </c:pt>
                <c:pt idx="11">
                  <c:v>190.4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65-4E68-86D6-93A8AC1AB257}"/>
            </c:ext>
          </c:extLst>
        </c:ser>
        <c:ser>
          <c:idx val="6"/>
          <c:order val="6"/>
          <c:tx>
            <c:strRef>
              <c:f>'PS3'!$H$27</c:f>
              <c:strCache>
                <c:ptCount val="1"/>
                <c:pt idx="0">
                  <c:v>Average of Food and beverages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'PS3'!$H$28:$H$40</c:f>
              <c:numCache>
                <c:formatCode>General</c:formatCode>
                <c:ptCount val="12"/>
                <c:pt idx="0">
                  <c:v>172</c:v>
                </c:pt>
                <c:pt idx="1">
                  <c:v>172.13333333333335</c:v>
                </c:pt>
                <c:pt idx="2">
                  <c:v>173.18333333333331</c:v>
                </c:pt>
                <c:pt idx="3">
                  <c:v>174.89999999999998</c:v>
                </c:pt>
                <c:pt idx="4">
                  <c:v>176.76666666666665</c:v>
                </c:pt>
                <c:pt idx="5">
                  <c:v>175.53333333333333</c:v>
                </c:pt>
                <c:pt idx="6">
                  <c:v>175.63333333333333</c:v>
                </c:pt>
                <c:pt idx="7">
                  <c:v>176.86666666666667</c:v>
                </c:pt>
                <c:pt idx="8">
                  <c:v>178.36666666666667</c:v>
                </c:pt>
                <c:pt idx="9">
                  <c:v>180.1</c:v>
                </c:pt>
                <c:pt idx="10">
                  <c:v>178.73333333333335</c:v>
                </c:pt>
                <c:pt idx="11">
                  <c:v>176.29999999999998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865-4E68-86D6-93A8AC1AB257}"/>
            </c:ext>
          </c:extLst>
        </c:ser>
        <c:ser>
          <c:idx val="7"/>
          <c:order val="7"/>
          <c:tx>
            <c:strRef>
              <c:f>'PS3'!$I$27</c:f>
              <c:strCache>
                <c:ptCount val="1"/>
                <c:pt idx="0">
                  <c:v>Average of Meat and fish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'PS3'!$A$28:$A$40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'PS3'!$I$28:$I$40</c:f>
              <c:numCache>
                <c:formatCode>General</c:formatCode>
                <c:ptCount val="12"/>
                <c:pt idx="0">
                  <c:v>205.31666666666669</c:v>
                </c:pt>
                <c:pt idx="1">
                  <c:v>204.83333333333329</c:v>
                </c:pt>
                <c:pt idx="2">
                  <c:v>209.93333333333331</c:v>
                </c:pt>
                <c:pt idx="3">
                  <c:v>211.20000000000002</c:v>
                </c:pt>
                <c:pt idx="4">
                  <c:v>216.35000000000002</c:v>
                </c:pt>
                <c:pt idx="5">
                  <c:v>220</c:v>
                </c:pt>
                <c:pt idx="6">
                  <c:v>213.63333333333335</c:v>
                </c:pt>
                <c:pt idx="7">
                  <c:v>207.16666666666666</c:v>
                </c:pt>
                <c:pt idx="8">
                  <c:v>209.86666666666665</c:v>
                </c:pt>
                <c:pt idx="9">
                  <c:v>211.53333333333333</c:v>
                </c:pt>
                <c:pt idx="10">
                  <c:v>210</c:v>
                </c:pt>
                <c:pt idx="11">
                  <c:v>209.6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865-4E68-86D6-93A8AC1AB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6897647"/>
        <c:axId val="1846894767"/>
      </c:lineChart>
      <c:catAx>
        <c:axId val="184689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894767"/>
        <c:crosses val="autoZero"/>
        <c:auto val="1"/>
        <c:lblAlgn val="ctr"/>
        <c:lblOffset val="100"/>
        <c:noMultiLvlLbl val="0"/>
      </c:catAx>
      <c:valAx>
        <c:axId val="184689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689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'PS4'!$B$1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'PS4'!$A$2:$A$40</c:f>
              <c:multiLvlStrCache>
                <c:ptCount val="3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</c:lvl>
              </c:multiLvlStrCache>
            </c:multiLvlStrRef>
          </c:cat>
          <c:val>
            <c:numRef>
              <c:f>'PS4'!$B$2:$B$40</c:f>
              <c:numCache>
                <c:formatCode>0.0</c:formatCode>
                <c:ptCount val="35"/>
                <c:pt idx="0">
                  <c:v>144.16666666666666</c:v>
                </c:pt>
                <c:pt idx="1">
                  <c:v>144.66666666666666</c:v>
                </c:pt>
                <c:pt idx="2">
                  <c:v>145.26666666666665</c:v>
                </c:pt>
                <c:pt idx="3">
                  <c:v>146.00000000000003</c:v>
                </c:pt>
                <c:pt idx="4">
                  <c:v>146.46666666666667</c:v>
                </c:pt>
                <c:pt idx="5">
                  <c:v>146.96666666666667</c:v>
                </c:pt>
                <c:pt idx="6">
                  <c:v>147.56666666666666</c:v>
                </c:pt>
                <c:pt idx="7">
                  <c:v>148.1</c:v>
                </c:pt>
                <c:pt idx="8">
                  <c:v>148.5</c:v>
                </c:pt>
                <c:pt idx="9">
                  <c:v>149.00000000000003</c:v>
                </c:pt>
                <c:pt idx="10">
                  <c:v>149.46666666666667</c:v>
                </c:pt>
                <c:pt idx="11">
                  <c:v>150.23333333333332</c:v>
                </c:pt>
                <c:pt idx="12">
                  <c:v>150.76666666666668</c:v>
                </c:pt>
                <c:pt idx="13">
                  <c:v>151.33333333333334</c:v>
                </c:pt>
                <c:pt idx="14">
                  <c:v>149.93333333333334</c:v>
                </c:pt>
                <c:pt idx="15">
                  <c:v>152.2222222222222</c:v>
                </c:pt>
                <c:pt idx="16">
                  <c:v>153.56666666666666</c:v>
                </c:pt>
                <c:pt idx="17">
                  <c:v>153.56666666666666</c:v>
                </c:pt>
                <c:pt idx="18">
                  <c:v>154.16666666666666</c:v>
                </c:pt>
                <c:pt idx="19">
                  <c:v>154.9</c:v>
                </c:pt>
                <c:pt idx="20">
                  <c:v>155.6</c:v>
                </c:pt>
                <c:pt idx="21">
                  <c:v>156.53333333333333</c:v>
                </c:pt>
                <c:pt idx="22">
                  <c:v>157.60000000000002</c:v>
                </c:pt>
                <c:pt idx="23">
                  <c:v>158.63333333333333</c:v>
                </c:pt>
                <c:pt idx="24">
                  <c:v>160.63333333333335</c:v>
                </c:pt>
                <c:pt idx="25">
                  <c:v>161.06666666666669</c:v>
                </c:pt>
                <c:pt idx="26">
                  <c:v>161.70000000000002</c:v>
                </c:pt>
                <c:pt idx="27">
                  <c:v>165.10000000000002</c:v>
                </c:pt>
                <c:pt idx="28">
                  <c:v>165.6</c:v>
                </c:pt>
                <c:pt idx="29">
                  <c:v>166.29999999999998</c:v>
                </c:pt>
                <c:pt idx="30">
                  <c:v>167.43333333333337</c:v>
                </c:pt>
                <c:pt idx="31">
                  <c:v>167.70000000000002</c:v>
                </c:pt>
                <c:pt idx="32">
                  <c:v>168.36666666666667</c:v>
                </c:pt>
                <c:pt idx="33">
                  <c:v>169.16666666666666</c:v>
                </c:pt>
                <c:pt idx="34">
                  <c:v>169.9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7-443F-84E9-230B105F1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3800975"/>
        <c:axId val="1993802415"/>
      </c:barChart>
      <c:catAx>
        <c:axId val="1993800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802415"/>
        <c:crosses val="autoZero"/>
        <c:auto val="1"/>
        <c:lblAlgn val="ctr"/>
        <c:lblOffset val="100"/>
        <c:noMultiLvlLbl val="0"/>
      </c:catAx>
      <c:valAx>
        <c:axId val="1993802415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3800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(1).xlsx]PS4!PivotTable2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'PS4'!$G$1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'PS4'!$F$2:$F$40</c:f>
              <c:multiLvlStrCache>
                <c:ptCount val="3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</c:lvl>
              </c:multiLvlStrCache>
            </c:multiLvlStrRef>
          </c:cat>
          <c:val>
            <c:numRef>
              <c:f>'PS4'!$G$2:$G$40</c:f>
              <c:numCache>
                <c:formatCode>0.0</c:formatCode>
                <c:ptCount val="35"/>
                <c:pt idx="0">
                  <c:v>132.66666666666666</c:v>
                </c:pt>
                <c:pt idx="1">
                  <c:v>134</c:v>
                </c:pt>
                <c:pt idx="2">
                  <c:v>133.29999999999998</c:v>
                </c:pt>
                <c:pt idx="3">
                  <c:v>133.29999999999998</c:v>
                </c:pt>
                <c:pt idx="4">
                  <c:v>134.26666666666668</c:v>
                </c:pt>
                <c:pt idx="5">
                  <c:v>135.63333333333333</c:v>
                </c:pt>
                <c:pt idx="6">
                  <c:v>138.33333333333334</c:v>
                </c:pt>
                <c:pt idx="7">
                  <c:v>139.63333333333333</c:v>
                </c:pt>
                <c:pt idx="8">
                  <c:v>139.93333333333334</c:v>
                </c:pt>
                <c:pt idx="9">
                  <c:v>140.23333333333335</c:v>
                </c:pt>
                <c:pt idx="10">
                  <c:v>140.4</c:v>
                </c:pt>
                <c:pt idx="11">
                  <c:v>142.29999999999998</c:v>
                </c:pt>
                <c:pt idx="12">
                  <c:v>143.43333333333331</c:v>
                </c:pt>
                <c:pt idx="13">
                  <c:v>145.20000000000002</c:v>
                </c:pt>
                <c:pt idx="14">
                  <c:v>147.00476190476192</c:v>
                </c:pt>
                <c:pt idx="15">
                  <c:v>148.88968253968255</c:v>
                </c:pt>
                <c:pt idx="16">
                  <c:v>151.66666666666666</c:v>
                </c:pt>
                <c:pt idx="17">
                  <c:v>151.66666666666666</c:v>
                </c:pt>
                <c:pt idx="18">
                  <c:v>154.36666666666667</c:v>
                </c:pt>
                <c:pt idx="19">
                  <c:v>158.53333333333333</c:v>
                </c:pt>
                <c:pt idx="20">
                  <c:v>157.1</c:v>
                </c:pt>
                <c:pt idx="21">
                  <c:v>157</c:v>
                </c:pt>
                <c:pt idx="22">
                  <c:v>157.20000000000002</c:v>
                </c:pt>
                <c:pt idx="23">
                  <c:v>156.9</c:v>
                </c:pt>
                <c:pt idx="24">
                  <c:v>155.9</c:v>
                </c:pt>
                <c:pt idx="25">
                  <c:v>153.93333333333337</c:v>
                </c:pt>
                <c:pt idx="26">
                  <c:v>155.53333333333333</c:v>
                </c:pt>
                <c:pt idx="27">
                  <c:v>158.46666666666667</c:v>
                </c:pt>
                <c:pt idx="28">
                  <c:v>158.73333333333335</c:v>
                </c:pt>
                <c:pt idx="29">
                  <c:v>160.03333333333333</c:v>
                </c:pt>
                <c:pt idx="30">
                  <c:v>159.96666666666667</c:v>
                </c:pt>
                <c:pt idx="31">
                  <c:v>159.93333333333334</c:v>
                </c:pt>
                <c:pt idx="32">
                  <c:v>160.73333333333335</c:v>
                </c:pt>
                <c:pt idx="33">
                  <c:v>162.13333333333333</c:v>
                </c:pt>
                <c:pt idx="34">
                  <c:v>162.6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EA-4B38-91BC-8CF81F482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7087615"/>
        <c:axId val="1787088095"/>
      </c:barChart>
      <c:catAx>
        <c:axId val="1787087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88095"/>
        <c:crosses val="autoZero"/>
        <c:auto val="1"/>
        <c:lblAlgn val="ctr"/>
        <c:lblOffset val="100"/>
        <c:noMultiLvlLbl val="0"/>
      </c:catAx>
      <c:valAx>
        <c:axId val="1787088095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7087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(1).xlsx]PS4!PivotTable3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'PS4'!$L$1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'PS4'!$K$2:$K$40</c:f>
              <c:multiLvlStrCache>
                <c:ptCount val="3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</c:lvl>
              </c:multiLvlStrCache>
            </c:multiLvlStrRef>
          </c:cat>
          <c:val>
            <c:numRef>
              <c:f>'PS4'!$L$2:$L$40</c:f>
              <c:numCache>
                <c:formatCode>0.0</c:formatCode>
                <c:ptCount val="35"/>
                <c:pt idx="0">
                  <c:v>136.85476190476192</c:v>
                </c:pt>
                <c:pt idx="1">
                  <c:v>137.20000000000002</c:v>
                </c:pt>
                <c:pt idx="2">
                  <c:v>137.71904761904761</c:v>
                </c:pt>
                <c:pt idx="3">
                  <c:v>139.97857142857143</c:v>
                </c:pt>
                <c:pt idx="4">
                  <c:v>141.60476190476189</c:v>
                </c:pt>
                <c:pt idx="5">
                  <c:v>143.30238095238096</c:v>
                </c:pt>
                <c:pt idx="6">
                  <c:v>144.02142857142857</c:v>
                </c:pt>
                <c:pt idx="7">
                  <c:v>144.81190476190474</c:v>
                </c:pt>
                <c:pt idx="8">
                  <c:v>146.85238095238097</c:v>
                </c:pt>
                <c:pt idx="9">
                  <c:v>148.67857142857142</c:v>
                </c:pt>
                <c:pt idx="10">
                  <c:v>151.20238095238096</c:v>
                </c:pt>
                <c:pt idx="11">
                  <c:v>150.78571428571431</c:v>
                </c:pt>
                <c:pt idx="12">
                  <c:v>148.79761904761904</c:v>
                </c:pt>
                <c:pt idx="13">
                  <c:v>147.70238095238093</c:v>
                </c:pt>
                <c:pt idx="14">
                  <c:v>152.78061224489795</c:v>
                </c:pt>
                <c:pt idx="15">
                  <c:v>152.18248299319728</c:v>
                </c:pt>
                <c:pt idx="16">
                  <c:v>153.93809523809526</c:v>
                </c:pt>
                <c:pt idx="17">
                  <c:v>153.93809523809526</c:v>
                </c:pt>
                <c:pt idx="18">
                  <c:v>155.93809523809523</c:v>
                </c:pt>
                <c:pt idx="19">
                  <c:v>156.95238095238093</c:v>
                </c:pt>
                <c:pt idx="20">
                  <c:v>159.89047619047619</c:v>
                </c:pt>
                <c:pt idx="21">
                  <c:v>163.2309523809524</c:v>
                </c:pt>
                <c:pt idx="22">
                  <c:v>164.14761904761906</c:v>
                </c:pt>
                <c:pt idx="23">
                  <c:v>161.95476190476191</c:v>
                </c:pt>
                <c:pt idx="24">
                  <c:v>159.49285714285713</c:v>
                </c:pt>
                <c:pt idx="25">
                  <c:v>159.4595238095238</c:v>
                </c:pt>
                <c:pt idx="26">
                  <c:v>161.26666666666665</c:v>
                </c:pt>
                <c:pt idx="27">
                  <c:v>164.41428571428571</c:v>
                </c:pt>
                <c:pt idx="28">
                  <c:v>166.33809523809524</c:v>
                </c:pt>
                <c:pt idx="29">
                  <c:v>167.32380952380953</c:v>
                </c:pt>
                <c:pt idx="30">
                  <c:v>166.89285714285714</c:v>
                </c:pt>
                <c:pt idx="31">
                  <c:v>166.96666666666667</c:v>
                </c:pt>
                <c:pt idx="32">
                  <c:v>169.5</c:v>
                </c:pt>
                <c:pt idx="33">
                  <c:v>170.84047619047621</c:v>
                </c:pt>
                <c:pt idx="34">
                  <c:v>169.89047619047619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B7-410B-972F-0B084EC2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9199887"/>
        <c:axId val="1909198447"/>
      </c:lineChart>
      <c:catAx>
        <c:axId val="1909199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98447"/>
        <c:crosses val="autoZero"/>
        <c:auto val="1"/>
        <c:lblAlgn val="ctr"/>
        <c:lblOffset val="100"/>
        <c:noMultiLvlLbl val="0"/>
      </c:catAx>
      <c:valAx>
        <c:axId val="1909198447"/>
        <c:scaling>
          <c:orientation val="minMax"/>
          <c:min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9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(1).xlsx]PS4!PivotTable4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'PS4'!$Q$1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'PS4'!$P$2:$P$40</c:f>
              <c:multiLvlStrCache>
                <c:ptCount val="3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May</c:v>
                  </c:pt>
                  <c:pt idx="4">
                    <c:v>June</c:v>
                  </c:pt>
                  <c:pt idx="5">
                    <c:v>July</c:v>
                  </c:pt>
                  <c:pt idx="6">
                    <c:v>August</c:v>
                  </c:pt>
                  <c:pt idx="7">
                    <c:v>September</c:v>
                  </c:pt>
                  <c:pt idx="8">
                    <c:v>October</c:v>
                  </c:pt>
                  <c:pt idx="9">
                    <c:v>November</c:v>
                  </c:pt>
                  <c:pt idx="10">
                    <c:v>December</c:v>
                  </c:pt>
                  <c:pt idx="11">
                    <c:v>January</c:v>
                  </c:pt>
                  <c:pt idx="12">
                    <c:v>February</c:v>
                  </c:pt>
                  <c:pt idx="13">
                    <c:v>March</c:v>
                  </c:pt>
                  <c:pt idx="14">
                    <c:v>April</c:v>
                  </c:pt>
                  <c:pt idx="15">
                    <c:v>May</c:v>
                  </c:pt>
                  <c:pt idx="16">
                    <c:v>June</c:v>
                  </c:pt>
                  <c:pt idx="17">
                    <c:v>July</c:v>
                  </c:pt>
                  <c:pt idx="18">
                    <c:v>August</c:v>
                  </c:pt>
                  <c:pt idx="19">
                    <c:v>September</c:v>
                  </c:pt>
                  <c:pt idx="20">
                    <c:v>October</c:v>
                  </c:pt>
                  <c:pt idx="21">
                    <c:v>November</c:v>
                  </c:pt>
                  <c:pt idx="22">
                    <c:v>December</c:v>
                  </c:pt>
                  <c:pt idx="23">
                    <c:v>January</c:v>
                  </c:pt>
                  <c:pt idx="24">
                    <c:v>February</c:v>
                  </c:pt>
                  <c:pt idx="25">
                    <c:v>March</c:v>
                  </c:pt>
                  <c:pt idx="26">
                    <c:v>April</c:v>
                  </c:pt>
                  <c:pt idx="27">
                    <c:v>May</c:v>
                  </c:pt>
                  <c:pt idx="28">
                    <c:v>June</c:v>
                  </c:pt>
                  <c:pt idx="29">
                    <c:v>July</c:v>
                  </c:pt>
                  <c:pt idx="30">
                    <c:v>August</c:v>
                  </c:pt>
                  <c:pt idx="31">
                    <c:v>September</c:v>
                  </c:pt>
                  <c:pt idx="32">
                    <c:v>October</c:v>
                  </c:pt>
                  <c:pt idx="33">
                    <c:v>November</c:v>
                  </c:pt>
                  <c:pt idx="34">
                    <c:v>December</c:v>
                  </c:pt>
                </c:lvl>
                <c:lvl>
                  <c:pt idx="0">
                    <c:v>2019</c:v>
                  </c:pt>
                  <c:pt idx="11">
                    <c:v>2020</c:v>
                  </c:pt>
                  <c:pt idx="23">
                    <c:v>2021</c:v>
                  </c:pt>
                </c:lvl>
              </c:multiLvlStrCache>
            </c:multiLvlStrRef>
          </c:cat>
          <c:val>
            <c:numRef>
              <c:f>'PS4'!$Q$2:$Q$40</c:f>
              <c:numCache>
                <c:formatCode>0.0</c:formatCode>
                <c:ptCount val="35"/>
                <c:pt idx="0">
                  <c:v>150.66666666666666</c:v>
                </c:pt>
                <c:pt idx="1">
                  <c:v>150.79999999999998</c:v>
                </c:pt>
                <c:pt idx="2">
                  <c:v>150.83333333333334</c:v>
                </c:pt>
                <c:pt idx="3">
                  <c:v>152.1</c:v>
                </c:pt>
                <c:pt idx="4">
                  <c:v>153.03333333333333</c:v>
                </c:pt>
                <c:pt idx="5">
                  <c:v>154.5</c:v>
                </c:pt>
                <c:pt idx="6">
                  <c:v>155.36666666666665</c:v>
                </c:pt>
                <c:pt idx="7">
                  <c:v>155.66666666666666</c:v>
                </c:pt>
                <c:pt idx="8">
                  <c:v>155.93333333333334</c:v>
                </c:pt>
                <c:pt idx="9">
                  <c:v>156.03333333333333</c:v>
                </c:pt>
                <c:pt idx="10">
                  <c:v>156.23333333333335</c:v>
                </c:pt>
                <c:pt idx="11">
                  <c:v>156.63333333333333</c:v>
                </c:pt>
                <c:pt idx="12">
                  <c:v>156.76666666666665</c:v>
                </c:pt>
                <c:pt idx="13">
                  <c:v>156.6</c:v>
                </c:pt>
                <c:pt idx="14">
                  <c:v>156.99047619047619</c:v>
                </c:pt>
                <c:pt idx="15">
                  <c:v>157.1761904761905</c:v>
                </c:pt>
                <c:pt idx="16">
                  <c:v>156.9</c:v>
                </c:pt>
                <c:pt idx="17">
                  <c:v>156.9</c:v>
                </c:pt>
                <c:pt idx="18">
                  <c:v>158.9</c:v>
                </c:pt>
                <c:pt idx="19">
                  <c:v>157.83333333333334</c:v>
                </c:pt>
                <c:pt idx="20">
                  <c:v>158.9</c:v>
                </c:pt>
                <c:pt idx="21">
                  <c:v>158.86666666666667</c:v>
                </c:pt>
                <c:pt idx="22">
                  <c:v>159.73333333333335</c:v>
                </c:pt>
                <c:pt idx="23">
                  <c:v>159.6</c:v>
                </c:pt>
                <c:pt idx="24">
                  <c:v>159.9</c:v>
                </c:pt>
                <c:pt idx="25">
                  <c:v>160.53333333333333</c:v>
                </c:pt>
                <c:pt idx="26">
                  <c:v>160.66666666666666</c:v>
                </c:pt>
                <c:pt idx="27">
                  <c:v>161.79999999999998</c:v>
                </c:pt>
                <c:pt idx="28">
                  <c:v>162.19999999999999</c:v>
                </c:pt>
                <c:pt idx="29">
                  <c:v>163.56666666666666</c:v>
                </c:pt>
                <c:pt idx="30">
                  <c:v>163.9</c:v>
                </c:pt>
                <c:pt idx="31">
                  <c:v>164.16666666666666</c:v>
                </c:pt>
                <c:pt idx="32">
                  <c:v>164.4</c:v>
                </c:pt>
                <c:pt idx="33">
                  <c:v>164.8</c:v>
                </c:pt>
                <c:pt idx="34">
                  <c:v>164.9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0-42CF-98D8-C761F3F4F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6489200"/>
        <c:axId val="1426472880"/>
      </c:barChart>
      <c:catAx>
        <c:axId val="142648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72880"/>
        <c:crosses val="autoZero"/>
        <c:auto val="1"/>
        <c:lblAlgn val="ctr"/>
        <c:lblOffset val="100"/>
        <c:noMultiLvlLbl val="0"/>
      </c:catAx>
      <c:valAx>
        <c:axId val="1426472880"/>
        <c:scaling>
          <c:orientation val="minMax"/>
          <c:min val="1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648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(1).xlsx]PS5!PivotTable5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'PS5'!$G$5:$G$6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'PS5'!$F$7:$F$19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'PS5'!$G$7:$G$19</c:f>
              <c:numCache>
                <c:formatCode>0.0</c:formatCode>
                <c:ptCount val="12"/>
                <c:pt idx="0">
                  <c:v>147.23333333333335</c:v>
                </c:pt>
                <c:pt idx="1">
                  <c:v>151.96666666666667</c:v>
                </c:pt>
                <c:pt idx="2">
                  <c:v>155.43333333333334</c:v>
                </c:pt>
                <c:pt idx="3">
                  <c:v>155.5</c:v>
                </c:pt>
                <c:pt idx="4">
                  <c:v>158.86666666666665</c:v>
                </c:pt>
                <c:pt idx="5">
                  <c:v>159.33333333333334</c:v>
                </c:pt>
                <c:pt idx="6">
                  <c:v>160.29999999999998</c:v>
                </c:pt>
                <c:pt idx="7">
                  <c:v>162.13333333333333</c:v>
                </c:pt>
                <c:pt idx="8">
                  <c:v>162.36666666666665</c:v>
                </c:pt>
                <c:pt idx="9">
                  <c:v>163.96666666666667</c:v>
                </c:pt>
                <c:pt idx="10">
                  <c:v>163.6</c:v>
                </c:pt>
                <c:pt idx="11">
                  <c:v>163.79999999999998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3-405C-88F3-CD5470E1F978}"/>
            </c:ext>
          </c:extLst>
        </c:ser>
        <c:ser>
          <c:idx val="1"/>
          <c:order val="1"/>
          <c:tx>
            <c:strRef>
              <c:f>'PS5'!$H$5:$H$6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'PS5'!$F$7:$F$19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'PS5'!$H$7:$H$19</c:f>
              <c:numCache>
                <c:formatCode>0.0</c:formatCode>
                <c:ptCount val="12"/>
                <c:pt idx="0">
                  <c:v>163.86666666666665</c:v>
                </c:pt>
                <c:pt idx="1">
                  <c:v>165.36666666666667</c:v>
                </c:pt>
                <c:pt idx="2">
                  <c:v>166.86666666666667</c:v>
                </c:pt>
                <c:pt idx="3">
                  <c:v>172</c:v>
                </c:pt>
                <c:pt idx="4">
                  <c:v>174.4666666666667</c:v>
                </c:pt>
                <c:pt idx="5">
                  <c:v>175.86666666666665</c:v>
                </c:pt>
                <c:pt idx="6">
                  <c:v>179.56666666666669</c:v>
                </c:pt>
                <c:pt idx="7">
                  <c:v>178.76666666666668</c:v>
                </c:pt>
                <c:pt idx="8">
                  <c:v>179.46666666666667</c:v>
                </c:pt>
                <c:pt idx="9">
                  <c:v>180.43333333333331</c:v>
                </c:pt>
                <c:pt idx="10">
                  <c:v>181.16666666666666</c:v>
                </c:pt>
                <c:pt idx="11">
                  <c:v>181.80000000000004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73-405C-88F3-CD5470E1F978}"/>
            </c:ext>
          </c:extLst>
        </c:ser>
        <c:ser>
          <c:idx val="2"/>
          <c:order val="2"/>
          <c:tx>
            <c:strRef>
              <c:f>'PS5'!$I$5:$I$6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'PS5'!$F$7:$F$19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'PS5'!$I$7:$I$19</c:f>
              <c:numCache>
                <c:formatCode>0.0</c:formatCode>
                <c:ptCount val="12"/>
                <c:pt idx="0">
                  <c:v>181.76666666666665</c:v>
                </c:pt>
                <c:pt idx="1">
                  <c:v>182.16666666666666</c:v>
                </c:pt>
                <c:pt idx="2">
                  <c:v>181.96666666666667</c:v>
                </c:pt>
                <c:pt idx="3">
                  <c:v>181.76666666666665</c:v>
                </c:pt>
                <c:pt idx="4">
                  <c:v>182.9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73-405C-88F3-CD5470E1F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199504"/>
        <c:axId val="1796201904"/>
      </c:lineChart>
      <c:catAx>
        <c:axId val="179619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201904"/>
        <c:crosses val="autoZero"/>
        <c:auto val="1"/>
        <c:lblAlgn val="ctr"/>
        <c:lblOffset val="100"/>
        <c:noMultiLvlLbl val="0"/>
      </c:catAx>
      <c:valAx>
        <c:axId val="1796201904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9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[All_India_Index_Upto_April23 (1).xlsx]PS5!PivotTable6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'PS5'!$N$5:$N$6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'PS5'!$M$7:$M$19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'PS5'!$N$7:$N$19</c:f>
              <c:numCache>
                <c:formatCode>0.0</c:formatCode>
                <c:ptCount val="12"/>
                <c:pt idx="0">
                  <c:v>142.1</c:v>
                </c:pt>
                <c:pt idx="1">
                  <c:v>145.26666666666668</c:v>
                </c:pt>
                <c:pt idx="2">
                  <c:v>146.4</c:v>
                </c:pt>
                <c:pt idx="3">
                  <c:v>146.79999999999998</c:v>
                </c:pt>
                <c:pt idx="4">
                  <c:v>149.03333333333333</c:v>
                </c:pt>
                <c:pt idx="5">
                  <c:v>150.79999999999998</c:v>
                </c:pt>
                <c:pt idx="6">
                  <c:v>153.23333333333335</c:v>
                </c:pt>
                <c:pt idx="7">
                  <c:v>154.03333333333333</c:v>
                </c:pt>
                <c:pt idx="8">
                  <c:v>154.1</c:v>
                </c:pt>
                <c:pt idx="9">
                  <c:v>155.79999999999998</c:v>
                </c:pt>
                <c:pt idx="10">
                  <c:v>154.96666666666667</c:v>
                </c:pt>
                <c:pt idx="11">
                  <c:v>155.86666666666667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44-4393-A717-0846393614CD}"/>
            </c:ext>
          </c:extLst>
        </c:ser>
        <c:ser>
          <c:idx val="1"/>
          <c:order val="1"/>
          <c:tx>
            <c:strRef>
              <c:f>'PS5'!$O$5:$O$6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'PS5'!$M$7:$M$19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'PS5'!$O$7:$O$19</c:f>
              <c:numCache>
                <c:formatCode>0.0</c:formatCode>
                <c:ptCount val="12"/>
                <c:pt idx="0">
                  <c:v>156.66666666666666</c:v>
                </c:pt>
                <c:pt idx="1">
                  <c:v>157.06666666666666</c:v>
                </c:pt>
                <c:pt idx="2">
                  <c:v>158.03333333333333</c:v>
                </c:pt>
                <c:pt idx="3">
                  <c:v>162.69999999999999</c:v>
                </c:pt>
                <c:pt idx="4">
                  <c:v>163.16666666666666</c:v>
                </c:pt>
                <c:pt idx="5">
                  <c:v>161.26666666666665</c:v>
                </c:pt>
                <c:pt idx="6">
                  <c:v>161.76666666666668</c:v>
                </c:pt>
                <c:pt idx="7">
                  <c:v>162.06666666666669</c:v>
                </c:pt>
                <c:pt idx="8">
                  <c:v>162.46666666666667</c:v>
                </c:pt>
                <c:pt idx="9">
                  <c:v>163.03333333333333</c:v>
                </c:pt>
                <c:pt idx="10">
                  <c:v>163.13333333333333</c:v>
                </c:pt>
                <c:pt idx="11">
                  <c:v>163.53333333333333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44-4393-A717-0846393614CD}"/>
            </c:ext>
          </c:extLst>
        </c:ser>
        <c:ser>
          <c:idx val="2"/>
          <c:order val="2"/>
          <c:tx>
            <c:strRef>
              <c:f>'PS5'!$P$5:$P$6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'PS5'!$M$7:$M$19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'PS5'!$P$7:$P$19</c:f>
              <c:numCache>
                <c:formatCode>0.0</c:formatCode>
                <c:ptCount val="12"/>
                <c:pt idx="0">
                  <c:v>163.76666666666668</c:v>
                </c:pt>
                <c:pt idx="1">
                  <c:v>164.33333333333334</c:v>
                </c:pt>
                <c:pt idx="2">
                  <c:v>164.33333333333334</c:v>
                </c:pt>
                <c:pt idx="3">
                  <c:v>164.66666666666666</c:v>
                </c:pt>
                <c:pt idx="4">
                  <c:v>164.96666666666667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44-4393-A717-084639361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6146224"/>
        <c:axId val="1796148624"/>
      </c:lineChart>
      <c:catAx>
        <c:axId val="179614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48624"/>
        <c:crosses val="autoZero"/>
        <c:auto val="1"/>
        <c:lblAlgn val="ctr"/>
        <c:lblOffset val="100"/>
        <c:noMultiLvlLbl val="0"/>
      </c:catAx>
      <c:valAx>
        <c:axId val="1796148624"/>
        <c:scaling>
          <c:orientation val="minMax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614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601980</xdr:colOff>
      <xdr:row>8</xdr:row>
      <xdr:rowOff>3810</xdr:rowOff>
    </xdr:from>
    <xdr:to>
      <xdr:col>37</xdr:col>
      <xdr:colOff>144780</xdr:colOff>
      <xdr:row>23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91003-C31D-A293-8522-7F32127C5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495301</xdr:colOff>
      <xdr:row>0</xdr:row>
      <xdr:rowOff>15240</xdr:rowOff>
    </xdr:from>
    <xdr:to>
      <xdr:col>8</xdr:col>
      <xdr:colOff>1302328</xdr:colOff>
      <xdr:row>15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9158B1-7D89-B22A-03FB-330A9BED6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19878</xdr:rowOff>
    </xdr:from>
    <xdr:to>
      <xdr:col>4</xdr:col>
      <xdr:colOff>2188028</xdr:colOff>
      <xdr:row>65</xdr:row>
      <xdr:rowOff>62753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B2D28C4-C5FF-953A-FDF1-E63B9D576C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812477</xdr:colOff>
      <xdr:row>0</xdr:row>
      <xdr:rowOff>0</xdr:rowOff>
    </xdr:from>
    <xdr:to>
      <xdr:col>32</xdr:col>
      <xdr:colOff>327976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DC0ADE-AA5A-7AE6-DD18-9D2D72F9A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811829</xdr:colOff>
      <xdr:row>18</xdr:row>
      <xdr:rowOff>59141</xdr:rowOff>
    </xdr:from>
    <xdr:to>
      <xdr:col>32</xdr:col>
      <xdr:colOff>349624</xdr:colOff>
      <xdr:row>38</xdr:row>
      <xdr:rowOff>162236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6271C0-8717-F55C-F0FB-BBCC263F3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808861</xdr:colOff>
      <xdr:row>38</xdr:row>
      <xdr:rowOff>173996</xdr:rowOff>
    </xdr:from>
    <xdr:to>
      <xdr:col>32</xdr:col>
      <xdr:colOff>322730</xdr:colOff>
      <xdr:row>62</xdr:row>
      <xdr:rowOff>8965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89A606-56B4-F520-8D17-FB1C1ED54C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948466</xdr:colOff>
      <xdr:row>41</xdr:row>
      <xdr:rowOff>103990</xdr:rowOff>
    </xdr:from>
    <xdr:to>
      <xdr:col>21</xdr:col>
      <xdr:colOff>754380</xdr:colOff>
      <xdr:row>60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999A79-91EA-7D58-39A7-E6A09A745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20</xdr:row>
      <xdr:rowOff>7620</xdr:rowOff>
    </xdr:from>
    <xdr:to>
      <xdr:col>11</xdr:col>
      <xdr:colOff>22860</xdr:colOff>
      <xdr:row>35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63EE3-9A11-329C-D53E-CEB7E9B51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</xdr:colOff>
      <xdr:row>20</xdr:row>
      <xdr:rowOff>0</xdr:rowOff>
    </xdr:from>
    <xdr:to>
      <xdr:col>16</xdr:col>
      <xdr:colOff>236220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E779BC3-772E-97E4-473E-0A8814D78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Khote" refreshedDate="45775.667295717591" createdVersion="8" refreshedVersion="8" minRefreshableVersion="3" recordCount="372" xr:uid="{37265A21-1267-4515-A686-55BFEA63E7A9}">
  <cacheSource type="worksheet">
    <worksheetSource name="Table1"/>
  </cacheSource>
  <cacheFields count="30">
    <cacheField name="Sector" numFmtId="164">
      <sharedItems count="3">
        <s v="Rural"/>
        <s v="Urban"/>
        <s v="Rural+Urban"/>
      </sharedItems>
    </cacheField>
    <cacheField name="Year" numFmtId="1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164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ereals and products" numFmtId="164">
      <sharedItems containsSemiMixedTypes="0" containsString="0" containsNumber="1" minValue="107.5" maxValue="174.8"/>
    </cacheField>
    <cacheField name="Meat and fish" numFmtId="164">
      <sharedItems containsSemiMixedTypes="0" containsString="0" containsNumber="1" minValue="106.3" maxValue="223.4"/>
    </cacheField>
    <cacheField name="Egg" numFmtId="164">
      <sharedItems containsSemiMixedTypes="0" containsString="0" containsNumber="1" minValue="102.7" maxValue="197"/>
    </cacheField>
    <cacheField name="Milk and products" numFmtId="164">
      <sharedItems containsSemiMixedTypes="0" containsString="0" containsNumber="1" minValue="103.6" maxValue="179.6"/>
    </cacheField>
    <cacheField name="Oils and fats" numFmtId="164">
      <sharedItems containsSemiMixedTypes="0" containsString="0" containsNumber="1" minValue="101.1" maxValue="209.9"/>
    </cacheField>
    <cacheField name="Fruits" numFmtId="164">
      <sharedItems containsSemiMixedTypes="0" containsString="0" containsNumber="1" minValue="102.3" maxValue="179.5"/>
    </cacheField>
    <cacheField name="Vegetables" numFmtId="164">
      <sharedItems containsSemiMixedTypes="0" containsString="0" containsNumber="1" minValue="101.4" maxValue="245.3"/>
    </cacheField>
    <cacheField name="Pulses and products" numFmtId="164">
      <sharedItems containsSemiMixedTypes="0" containsString="0" containsNumber="1" minValue="103.5" maxValue="191.6"/>
    </cacheField>
    <cacheField name="Sugar and Confectionery" numFmtId="164">
      <sharedItems containsSemiMixedTypes="0" containsString="0" containsNumber="1" minValue="85.3" maxValue="124.2"/>
    </cacheField>
    <cacheField name="Spices" numFmtId="164">
      <sharedItems containsSemiMixedTypes="0" containsString="0" containsNumber="1" minValue="101.8" maxValue="221"/>
    </cacheField>
    <cacheField name="Non-alcoholic beverages" numFmtId="164">
      <sharedItems containsSemiMixedTypes="0" containsString="0" containsNumber="1" minValue="104.8" maxValue="178.7"/>
    </cacheField>
    <cacheField name="Prepared meals, snacks, sweets etc." numFmtId="164">
      <sharedItems containsSemiMixedTypes="0" containsString="0" containsNumber="1" minValue="106.7" maxValue="197.7"/>
    </cacheField>
    <cacheField name="Food and beverages" numFmtId="164">
      <sharedItems containsSemiMixedTypes="0" containsString="0" containsNumber="1" minValue="105.5" maxValue="183.3"/>
    </cacheField>
    <cacheField name="Pan, tobacco and intoxicants" numFmtId="164">
      <sharedItems containsSemiMixedTypes="0" containsString="0" containsNumber="1" minValue="105.1" maxValue="204.2"/>
    </cacheField>
    <cacheField name="Clothing" numFmtId="164">
      <sharedItems containsSemiMixedTypes="0" containsString="0" containsNumber="1" minValue="105.9" maxValue="191.2"/>
    </cacheField>
    <cacheField name="Footwear" numFmtId="164">
      <sharedItems containsSemiMixedTypes="0" containsString="0" containsNumber="1" minValue="105" maxValue="187.9"/>
    </cacheField>
    <cacheField name="Clothing and footwear" numFmtId="164">
      <sharedItems containsSemiMixedTypes="0" containsString="0" containsNumber="1" minValue="105.8" maxValue="190.8"/>
    </cacheField>
    <cacheField name="Housing" numFmtId="164">
      <sharedItems containsSemiMixedTypes="0" containsString="0" containsNumber="1" minValue="100.3" maxValue="175.6"/>
    </cacheField>
    <cacheField name="Fuel and light" numFmtId="164">
      <sharedItems containsSemiMixedTypes="0" containsString="0" containsNumber="1" minValue="105.4" maxValue="183.4" count="276">
        <n v="105.5"/>
        <n v="105.4"/>
        <n v="106.2"/>
        <n v="105.7"/>
        <n v="106"/>
        <n v="106.1"/>
        <n v="106.5"/>
        <n v="106.4"/>
        <n v="107.5"/>
        <n v="107.2"/>
        <n v="107.4"/>
        <n v="108.5"/>
        <n v="108"/>
        <n v="108.3"/>
        <n v="109.5"/>
        <n v="108.6"/>
        <n v="109.2"/>
        <n v="109.9"/>
        <n v="109.3"/>
        <n v="109.7"/>
        <n v="111.1"/>
        <n v="110.5"/>
        <n v="111.6"/>
        <n v="110.9"/>
        <n v="112.6"/>
        <n v="110"/>
        <n v="112.8"/>
        <n v="110.4"/>
        <n v="111.9"/>
        <n v="113"/>
        <n v="111"/>
        <n v="112.2"/>
        <n v="113.2"/>
        <n v="112.4"/>
        <n v="113.4"/>
        <n v="112.5"/>
        <n v="114.4"/>
        <n v="111.2"/>
        <n v="115.3"/>
        <n v="113.9"/>
        <n v="115.4"/>
        <n v="111.8"/>
        <n v="114"/>
        <n v="115.8"/>
        <n v="114.3"/>
        <n v="116.4"/>
        <n v="112"/>
        <n v="114.7"/>
        <n v="117.3"/>
        <n v="115.5"/>
        <n v="117.4"/>
        <n v="115.7"/>
        <n v="118.4"/>
        <n v="116.5"/>
        <n v="120"/>
        <n v="117.7"/>
        <n v="120.6"/>
        <n v="118.3"/>
        <n v="121.2"/>
        <n v="118.7"/>
        <n v="121.9"/>
        <n v="114.9"/>
        <n v="119.2"/>
        <n v="122.6"/>
        <n v="115.1"/>
        <n v="119.8"/>
        <n v="123"/>
        <n v="120.1"/>
        <n v="123.8"/>
        <n v="123.7"/>
        <n v="120.4"/>
        <n v="124.4"/>
        <n v="120.8"/>
        <n v="125.6"/>
        <n v="121.6"/>
        <n v="125.7"/>
        <n v="116"/>
        <n v="122"/>
        <n v="126.2"/>
        <n v="116.9"/>
        <n v="122.7"/>
        <n v="127.5"/>
        <n v="123.1"/>
        <n v="127"/>
        <n v="114.8"/>
        <n v="122.4"/>
        <n v="114.6"/>
        <n v="122.3"/>
        <n v="127.4"/>
        <n v="115"/>
        <n v="128"/>
        <n v="123.3"/>
        <n v="128.19999999999999"/>
        <n v="123.4"/>
        <n v="129.1"/>
        <n v="123.6"/>
        <n v="129.69999999999999"/>
        <n v="124.1"/>
        <n v="129.80000000000001"/>
        <n v="115.2"/>
        <n v="124.3"/>
        <n v="130.30000000000001"/>
        <n v="116.2"/>
        <n v="125"/>
        <n v="132"/>
        <n v="117.8"/>
        <n v="126.6"/>
        <n v="132.1"/>
        <n v="118"/>
        <n v="126.8"/>
        <n v="133.19999999999999"/>
        <n v="127.9"/>
        <n v="134.19999999999999"/>
        <n v="135"/>
        <n v="121.4"/>
        <n v="129.4"/>
        <n v="134.80000000000001"/>
        <n v="119"/>
        <n v="128.80000000000001"/>
        <n v="135.30000000000001"/>
        <n v="119.7"/>
        <n v="136.4"/>
        <n v="118.9"/>
        <n v="137.4"/>
        <n v="131"/>
        <n v="138.1"/>
        <n v="132.19999999999999"/>
        <n v="141.1"/>
        <n v="142.6"/>
        <n v="136.6"/>
        <n v="142.30000000000001"/>
        <n v="127.3"/>
        <n v="142.4"/>
        <n v="136.69999999999999"/>
        <n v="126.4"/>
        <n v="136.5"/>
        <n v="143.80000000000001"/>
        <n v="124.6"/>
        <n v="144.30000000000001"/>
        <n v="124.7"/>
        <n v="136.9"/>
        <n v="145.1"/>
        <n v="126.5"/>
        <n v="146.80000000000001"/>
        <n v="128.1"/>
        <n v="139.69999999999999"/>
        <n v="147.69999999999999"/>
        <n v="140.9"/>
        <n v="149"/>
        <n v="131.19999999999999"/>
        <n v="149.69999999999999"/>
        <n v="133.4"/>
        <n v="145.30000000000001"/>
        <n v="150.30000000000001"/>
        <n v="132.4"/>
        <n v="142.69999999999999"/>
        <n v="146.19999999999999"/>
        <n v="128.6"/>
        <n v="139.5"/>
        <n v="127.1"/>
        <n v="138.4"/>
        <n v="146.4"/>
        <n v="146.9"/>
        <n v="140.30000000000001"/>
        <n v="147.80000000000001"/>
        <n v="130.5"/>
        <n v="141.19999999999999"/>
        <n v="139.30000000000001"/>
        <n v="125.5"/>
        <n v="138.5"/>
        <n v="139.19999999999999"/>
        <n v="128.9"/>
        <n v="140.6"/>
        <n v="148.4"/>
        <n v="149.9"/>
        <n v="133.6"/>
        <n v="143.69999999999999"/>
        <n v="150.4"/>
        <n v="135.1"/>
        <n v="144.6"/>
        <n v="152.30000000000001"/>
        <n v="138.9"/>
        <n v="147.19999999999999"/>
        <n v="153.4"/>
        <n v="141.4"/>
        <n v="148.9"/>
        <n v="137.1"/>
        <n v="144.1"/>
        <n v="148.28333333333333"/>
        <n v="138.31666666666669"/>
        <n v="144.5"/>
        <n v="144.9"/>
        <n v="141.9"/>
        <n v="145.80000000000001"/>
        <n v="138.30000000000001"/>
        <n v="143"/>
        <n v="137.19999999999999"/>
        <n v="142.9"/>
        <n v="143.1"/>
        <n v="147.5"/>
        <n v="137.30000000000001"/>
        <n v="143.6"/>
        <n v="148.69999999999999"/>
        <n v="137.9"/>
        <n v="150.9"/>
        <n v="147.9"/>
        <n v="154.4"/>
        <n v="149.1"/>
        <n v="152.4"/>
        <n v="156"/>
        <n v="154.80000000000001"/>
        <n v="155.5"/>
        <n v="154.9"/>
        <n v="155.6"/>
        <n v="161.69999999999999"/>
        <n v="159.4"/>
        <n v="162.1"/>
        <n v="156.1"/>
        <n v="159.80000000000001"/>
        <n v="162.5"/>
        <n v="157.69999999999999"/>
        <n v="160.69999999999999"/>
        <n v="163.1"/>
        <n v="162.6"/>
        <n v="163.69999999999999"/>
        <n v="160.80000000000001"/>
        <n v="165.5"/>
        <n v="162.19999999999999"/>
        <n v="164.2"/>
        <n v="165.3"/>
        <n v="161.6"/>
        <n v="163.9"/>
        <n v="165.6"/>
        <n v="164.1"/>
        <n v="165.8"/>
        <n v="167.4"/>
        <n v="163"/>
        <n v="165.7"/>
        <n v="168.9"/>
        <n v="164.5"/>
        <n v="167.2"/>
        <n v="173.3"/>
        <n v="170.5"/>
        <n v="172.2"/>
        <n v="175.3"/>
        <n v="173.5"/>
        <n v="174.6"/>
        <n v="176.7"/>
        <n v="174.9"/>
        <n v="176"/>
        <n v="179.6"/>
        <n v="179.5"/>
        <n v="179.1"/>
        <n v="178.4"/>
        <n v="178.8"/>
        <n v="179.7"/>
        <n v="179.2"/>
        <n v="180.8"/>
        <n v="180"/>
        <n v="180.5"/>
        <n v="181.9"/>
        <n v="180.3"/>
        <n v="181.3"/>
        <n v="182.8"/>
        <n v="180.6"/>
        <n v="182"/>
        <n v="183.2"/>
        <n v="180.1"/>
        <n v="181.6"/>
        <n v="182.1"/>
        <n v="181.4"/>
        <n v="182.6"/>
        <n v="181.5"/>
        <n v="181.7"/>
        <n v="182.5"/>
        <n v="183.4"/>
      </sharedItems>
    </cacheField>
    <cacheField name="Household goods and services" numFmtId="164">
      <sharedItems containsSemiMixedTypes="0" containsString="0" containsNumber="1" minValue="104.8" maxValue="179.8"/>
    </cacheField>
    <cacheField name="Health" numFmtId="164">
      <sharedItems containsSemiMixedTypes="0" containsString="0" containsNumber="1" minValue="104" maxValue="187.8"/>
    </cacheField>
    <cacheField name="Transport and communication" numFmtId="164">
      <sharedItems containsSemiMixedTypes="0" containsString="0" containsNumber="1" minValue="103.2" maxValue="169.7"/>
    </cacheField>
    <cacheField name="Recreation and amusement" numFmtId="164">
      <sharedItems containsSemiMixedTypes="0" containsString="0" containsNumber="1" minValue="102.9" maxValue="173.8"/>
    </cacheField>
    <cacheField name="Education" numFmtId="164">
      <sharedItems containsSemiMixedTypes="0" containsString="0" containsNumber="1" minValue="103.5" maxValue="180.3"/>
    </cacheField>
    <cacheField name="Personal care and effects" numFmtId="164">
      <sharedItems containsSemiMixedTypes="0" containsString="0" containsNumber="1" minValue="102.1" maxValue="185.6"/>
    </cacheField>
    <cacheField name="Miscellaneous" numFmtId="164">
      <sharedItems containsSemiMixedTypes="0" containsString="0" containsNumber="1" minValue="103.7" maxValue="179.5"/>
    </cacheField>
    <cacheField name="General index" numFmtId="164">
      <sharedItems containsSemiMixedTypes="0" containsString="0" containsNumber="1" minValue="104" maxValue="179.8" count="290">
        <n v="105.1"/>
        <n v="104"/>
        <n v="104.6"/>
        <n v="105.8"/>
        <n v="104.7"/>
        <n v="105.3"/>
        <n v="106"/>
        <n v="105"/>
        <n v="105.5"/>
        <n v="106.4"/>
        <n v="105.7"/>
        <n v="106.1"/>
        <n v="107.2"/>
        <n v="106.6"/>
        <n v="106.9"/>
        <n v="108.9"/>
        <n v="109.7"/>
        <n v="109.3"/>
        <n v="110.7"/>
        <n v="111.4"/>
        <n v="111"/>
        <n v="112.1"/>
        <n v="112.7"/>
        <n v="112.4"/>
        <n v="114.2"/>
        <n v="113.2"/>
        <n v="113.7"/>
        <n v="115.5"/>
        <n v="114"/>
        <n v="114.8"/>
        <n v="117.4"/>
        <n v="115"/>
        <n v="116.3"/>
        <n v="113.3"/>
        <n v="114.5"/>
        <n v="112.9"/>
        <n v="113.6"/>
        <n v="113.1"/>
        <n v="114.6"/>
        <n v="115.4"/>
        <n v="114.7"/>
        <n v="115.1"/>
        <n v="116"/>
        <n v="115.6"/>
        <n v="115.8"/>
        <n v="117"/>
        <n v="116.4"/>
        <n v="116.7"/>
        <n v="119.5"/>
        <n v="118.9"/>
        <n v="119.2"/>
        <n v="120.7"/>
        <n v="119.9"/>
        <n v="120.3"/>
        <n v="120.9"/>
        <n v="120.1"/>
        <n v="121"/>
        <n v="119.1"/>
        <n v="121.1"/>
        <n v="119"/>
        <n v="118.4"/>
        <n v="119.4"/>
        <n v="118.5"/>
        <n v="120.6"/>
        <n v="118.7"/>
        <n v="119.7"/>
        <n v="120.2"/>
        <n v="121.5"/>
        <n v="122.4"/>
        <n v="121.6"/>
        <n v="124.1"/>
        <n v="121.7"/>
        <n v="123"/>
        <n v="124.7"/>
        <n v="123.6"/>
        <n v="126.1"/>
        <n v="123.2"/>
        <n v="124.8"/>
        <n v="127"/>
        <n v="123.5"/>
        <n v="125.4"/>
        <n v="127.7"/>
        <n v="124.2"/>
        <n v="128.30000000000001"/>
        <n v="124.6"/>
        <n v="126.6"/>
        <n v="127.9"/>
        <n v="124"/>
        <n v="128.1"/>
        <n v="126.3"/>
        <n v="123.8"/>
        <n v="126"/>
        <n v="128"/>
        <n v="129"/>
        <n v="125.3"/>
        <n v="127.3"/>
        <n v="130.30000000000001"/>
        <n v="128.6"/>
        <n v="131.9"/>
        <n v="130.1"/>
        <n v="133"/>
        <n v="131.1"/>
        <n v="133.5"/>
        <n v="128.4"/>
        <n v="133.4"/>
        <n v="130.9"/>
        <n v="133.80000000000001"/>
        <n v="131.4"/>
        <n v="133.6"/>
        <n v="128.5"/>
        <n v="131.19999999999999"/>
        <n v="132.80000000000001"/>
        <n v="127.6"/>
        <n v="130.4"/>
        <n v="132.4"/>
        <n v="127.8"/>
        <n v="132.6"/>
        <n v="128.19999999999999"/>
        <n v="130.6"/>
        <n v="128.69999999999999"/>
        <n v="132.9"/>
        <n v="129.1"/>
        <n v="133.30000000000001"/>
        <n v="129.30000000000001"/>
        <n v="133.9"/>
        <n v="129.9"/>
        <n v="132"/>
        <n v="136.19999999999999"/>
        <n v="131.80000000000001"/>
        <n v="134.19999999999999"/>
        <n v="137.80000000000001"/>
        <n v="132.69999999999999"/>
        <n v="135.4"/>
        <n v="137.6"/>
        <n v="135.19999999999999"/>
        <n v="138.30000000000001"/>
        <n v="136.1"/>
        <n v="140"/>
        <n v="134.80000000000001"/>
        <n v="139.80000000000001"/>
        <n v="134.1"/>
        <n v="137.19999999999999"/>
        <n v="139.30000000000001"/>
        <n v="136.9"/>
        <n v="138.5"/>
        <n v="134"/>
        <n v="136.4"/>
        <n v="138.69999999999999"/>
        <n v="136.5"/>
        <n v="139.1"/>
        <n v="137.1"/>
        <n v="140.5"/>
        <n v="141.80000000000001"/>
        <n v="137.5"/>
        <n v="142.5"/>
        <n v="138"/>
        <n v="140.4"/>
        <n v="142.1"/>
        <n v="138.1"/>
        <n v="140.19999999999999"/>
        <n v="142.19999999999999"/>
        <n v="138.9"/>
        <n v="140.80000000000001"/>
        <n v="142.4"/>
        <n v="139"/>
        <n v="141.9"/>
        <n v="140.1"/>
        <n v="141"/>
        <n v="139.6"/>
        <n v="138.6"/>
        <n v="139.9"/>
        <n v="141.19999999999999"/>
        <n v="139.5"/>
        <n v="141.5"/>
        <n v="142"/>
        <n v="143.6"/>
        <n v="142.9"/>
        <n v="144.9"/>
        <n v="143.30000000000001"/>
        <n v="144.19999999999999"/>
        <n v="145.69999999999999"/>
        <n v="145"/>
        <n v="146.69999999999999"/>
        <n v="144.69999999999999"/>
        <n v="145.80000000000001"/>
        <n v="148.30000000000001"/>
        <n v="146"/>
        <n v="147.19999999999999"/>
        <n v="149.9"/>
        <n v="147"/>
        <n v="148.6"/>
        <n v="152.30000000000001"/>
        <n v="150.4"/>
        <n v="151.9"/>
        <n v="148.19999999999999"/>
        <n v="150.19999999999999"/>
        <n v="147.69999999999999"/>
        <n v="149.1"/>
        <n v="149.80000000000001"/>
        <n v="147.30000000000001"/>
        <n v="152.07142857142861"/>
        <n v="149.42857142857142"/>
        <n v="150.82857142857145"/>
        <n v="152.06190476190477"/>
        <n v="149.82142857142858"/>
        <n v="151.00476190476189"/>
        <n v="152.69999999999999"/>
        <n v="150.80000000000001"/>
        <n v="151.80000000000001"/>
        <n v="154.69999999999999"/>
        <n v="152.9"/>
        <n v="153.9"/>
        <n v="155.4"/>
        <n v="154"/>
        <n v="157.5"/>
        <n v="155.19999999999999"/>
        <n v="156.4"/>
        <n v="159.80000000000001"/>
        <n v="156.69999999999999"/>
        <n v="158.4"/>
        <n v="160.69999999999999"/>
        <n v="156.9"/>
        <n v="158.9"/>
        <n v="158.5"/>
        <n v="156"/>
        <n v="157.30000000000001"/>
        <n v="156.5"/>
        <n v="156.6"/>
        <n v="156.80000000000001"/>
        <n v="157.6"/>
        <n v="158"/>
        <n v="157.80000000000001"/>
        <n v="161.1"/>
        <n v="159.5"/>
        <n v="160.4"/>
        <n v="162.1"/>
        <n v="161.30000000000001"/>
        <n v="163.19999999999999"/>
        <n v="161.80000000000001"/>
        <n v="162.5"/>
        <n v="163.6"/>
        <n v="162.30000000000001"/>
        <n v="164"/>
        <n v="166.3"/>
        <n v="164.6"/>
        <n v="165.5"/>
        <n v="167.6"/>
        <n v="165.6"/>
        <n v="166.7"/>
        <n v="167"/>
        <n v="165.2"/>
        <n v="166.2"/>
        <n v="166.4"/>
        <n v="165"/>
        <n v="165.7"/>
        <n v="166.1"/>
        <n v="168.7"/>
        <n v="166.5"/>
        <n v="167.7"/>
        <n v="170.8"/>
        <n v="169.2"/>
        <n v="170.1"/>
        <n v="172.5"/>
        <n v="171.7"/>
        <n v="173.6"/>
        <n v="171.4"/>
        <n v="172.6"/>
        <n v="174.3"/>
        <n v="172.3"/>
        <n v="173.4"/>
        <n v="175.3"/>
        <n v="173.1"/>
        <n v="176.4"/>
        <n v="174.1"/>
        <n v="177.9"/>
        <n v="176.7"/>
        <n v="177.8"/>
        <n v="176.5"/>
        <n v="177.1"/>
        <n v="175.7"/>
        <n v="174.9"/>
        <n v="178"/>
        <n v="176.3"/>
        <n v="177.2"/>
        <n v="178.8"/>
        <n v="177.4"/>
        <n v="178.1"/>
        <n v="179.8"/>
        <n v="178.2"/>
        <n v="179.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chin Khote" refreshedDate="45775.671303703704" createdVersion="8" refreshedVersion="8" minRefreshableVersion="3" recordCount="372" xr:uid="{552F43DD-917B-46EE-88BB-55DE4D8A00B3}">
  <cacheSource type="worksheet">
    <worksheetSource ref="A1:AH373" sheet="PS1"/>
  </cacheSource>
  <cacheFields count="34">
    <cacheField name="Sector" numFmtId="0">
      <sharedItems count="3">
        <s v="Rural"/>
        <s v="Urban"/>
        <s v="Rural+Urban"/>
      </sharedItems>
    </cacheField>
    <cacheField name="Year" numFmtId="0">
      <sharedItems containsSemiMixedTypes="0" containsString="0" containsNumber="1" containsInteger="1" minValue="2013" maxValue="2023" count="11"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Cereals and products" numFmtId="0">
      <sharedItems containsSemiMixedTypes="0" containsString="0" containsNumber="1" minValue="107.5" maxValue="174.8" count="255">
        <n v="107.5"/>
        <n v="110.5"/>
        <n v="108.4"/>
        <n v="109.2"/>
        <n v="112.9"/>
        <n v="110.4"/>
        <n v="110.2"/>
        <n v="113.9"/>
        <n v="111.4"/>
        <n v="114.6"/>
        <n v="111.6"/>
        <n v="110.9"/>
        <n v="115.4"/>
        <n v="112.3"/>
        <n v="117"/>
        <n v="113.8"/>
        <n v="113.4"/>
        <n v="117.8"/>
        <n v="114.8"/>
        <n v="114.3"/>
        <n v="118.3"/>
        <n v="115.6"/>
        <n v="118.6"/>
        <n v="116.4"/>
        <n v="116.3"/>
        <n v="118.9"/>
        <n v="117.1"/>
        <n v="117.3"/>
        <n v="119.8"/>
        <n v="118.1"/>
        <n v="118.4"/>
        <n v="120.5"/>
        <n v="119.1"/>
        <n v="121.2"/>
        <n v="119.6"/>
        <n v="119.4"/>
        <n v="121.9"/>
        <n v="120.2"/>
        <n v="120.1"/>
        <n v="122.1"/>
        <n v="120.7"/>
        <n v="122.5"/>
        <n v="120.9"/>
        <n v="120.3"/>
        <n v="122.7"/>
        <n v="121.1"/>
        <n v="123.1"/>
        <n v="121.5"/>
        <n v="121.7"/>
        <n v="123.8"/>
        <n v="122.4"/>
        <n v="121.8"/>
        <n v="124.8"/>
        <n v="122.3"/>
        <n v="124.2"/>
        <n v="122.9"/>
        <n v="122.6"/>
        <n v="124.6"/>
        <n v="123.2"/>
        <n v="124.5"/>
        <n v="123.3"/>
        <n v="124"/>
        <n v="123.4"/>
        <n v="124.3"/>
        <n v="123.7"/>
        <n v="123.5"/>
        <n v="123.6"/>
        <n v="124.1"/>
        <n v="123.9"/>
        <n v="124.7"/>
        <n v="125.1"/>
        <n v="125.6"/>
        <n v="125"/>
        <n v="126.1"/>
        <n v="125.4"/>
        <n v="126.3"/>
        <n v="125.7"/>
        <n v="126.8"/>
        <n v="127.1"/>
        <n v="126.4"/>
        <n v="127.3"/>
        <n v="126.5"/>
        <n v="127.4"/>
        <n v="124.9"/>
        <n v="126.6"/>
        <n v="127.6"/>
        <n v="128.6"/>
        <n v="125.9"/>
        <n v="127.7"/>
        <n v="129.30000000000001"/>
        <n v="128.5"/>
        <n v="130.1"/>
        <n v="130.80000000000001"/>
        <n v="128.1"/>
        <n v="129.9"/>
        <n v="131.30000000000001"/>
        <n v="128.69999999999999"/>
        <n v="130.5"/>
        <n v="132"/>
        <n v="130.19999999999999"/>
        <n v="131.4"/>
        <n v="132.6"/>
        <n v="131.6"/>
        <n v="132.30000000000001"/>
        <n v="133.1"/>
        <n v="132.19999999999999"/>
        <n v="132.80000000000001"/>
        <n v="133.30000000000001"/>
        <n v="133.6"/>
        <n v="132.69999999999999"/>
        <n v="133.19999999999999"/>
        <n v="133"/>
        <n v="132.9"/>
        <n v="133.5"/>
        <n v="134"/>
        <n v="134.80000000000001"/>
        <n v="134.30000000000001"/>
        <n v="135.19999999999999"/>
        <n v="134.69999999999999"/>
        <n v="135.9"/>
        <n v="133.9"/>
        <n v="135.30000000000001"/>
        <n v="136.30000000000001"/>
        <n v="135.69999999999999"/>
        <n v="136.4"/>
        <n v="134.4"/>
        <n v="135.80000000000001"/>
        <n v="136.6"/>
        <n v="134.6"/>
        <n v="136"/>
        <n v="136.80000000000001"/>
        <n v="135"/>
        <n v="136.19999999999999"/>
        <n v="137.1"/>
        <n v="137.4"/>
        <n v="137.6"/>
        <n v="136.9"/>
        <n v="138.4"/>
        <n v="135.6"/>
        <n v="137.5"/>
        <n v="139.19999999999999"/>
        <n v="136.5"/>
        <n v="138.30000000000001"/>
        <n v="139.4"/>
        <n v="137"/>
        <n v="138.6"/>
        <n v="139.30000000000001"/>
        <n v="138.1"/>
        <n v="138.5"/>
        <n v="139.69999999999999"/>
        <n v="137.80000000000001"/>
        <n v="140.4"/>
        <n v="140.69999999999999"/>
        <n v="138.69999999999999"/>
        <n v="141.4"/>
        <n v="142.1"/>
        <n v="140.1"/>
        <n v="142.69999999999999"/>
        <n v="140.9"/>
        <n v="141"/>
        <n v="143.5"/>
        <n v="141.80000000000001"/>
        <n v="144.1"/>
        <n v="142.5"/>
        <n v="142.80000000000001"/>
        <n v="144.9"/>
        <n v="143.69999999999999"/>
        <n v="145.6"/>
        <n v="144.30000000000001"/>
        <n v="144.19999999999999"/>
        <n v="146.19999999999999"/>
        <n v="144.80000000000001"/>
        <n v="144.4"/>
        <n v="146.5"/>
        <n v="145.1"/>
        <n v="147.19999999999999"/>
        <n v="151.80000000000001"/>
        <n v="148.69999999999999"/>
        <n v="146.63333333333335"/>
        <n v="150.25000000000003"/>
        <n v="147.78333333333333"/>
        <n v="148.19999999999999"/>
        <n v="152.69999999999999"/>
        <n v="149.6"/>
        <n v="147.6"/>
        <n v="151.6"/>
        <n v="148.9"/>
        <n v="146.9"/>
        <n v="151.5"/>
        <n v="148.4"/>
        <n v="146"/>
        <n v="150.6"/>
        <n v="147.5"/>
        <n v="145.4"/>
        <n v="149.69999999999999"/>
        <n v="146.80000000000001"/>
        <n v="144.6"/>
        <n v="149"/>
        <n v="143.4"/>
        <n v="148"/>
        <n v="148.80000000000001"/>
        <n v="146.30000000000001"/>
        <n v="149.19999999999999"/>
        <n v="146.69999999999999"/>
        <n v="149.1"/>
        <n v="146.4"/>
        <n v="149.30000000000001"/>
        <n v="146.6"/>
        <n v="146.1"/>
        <n v="150.1"/>
        <n v="147.4"/>
        <n v="151"/>
        <n v="148.30000000000001"/>
        <n v="152.19999999999999"/>
        <n v="149.5"/>
        <n v="152.5"/>
        <n v="150"/>
        <n v="150.19999999999999"/>
        <n v="153.69999999999999"/>
        <n v="151.30000000000001"/>
        <n v="155.4"/>
        <n v="152.9"/>
        <n v="156.69999999999999"/>
        <n v="154.1"/>
        <n v="153.80000000000001"/>
        <n v="157.5"/>
        <n v="155"/>
        <n v="155.19999999999999"/>
        <n v="159.30000000000001"/>
        <n v="156.5"/>
        <n v="159.5"/>
        <n v="162.1"/>
        <n v="160.30000000000001"/>
        <n v="162.9"/>
        <n v="164.9"/>
        <n v="163.5"/>
        <n v="164.7"/>
        <n v="166.4"/>
        <n v="165.2"/>
        <n v="166.9"/>
        <n v="168.4"/>
        <n v="167.4"/>
        <n v="168.8"/>
        <n v="170.2"/>
        <n v="169.2"/>
        <n v="174"/>
        <n v="173.3"/>
        <n v="173.8"/>
        <n v="174.2"/>
        <n v="174.7"/>
        <n v="174.4"/>
        <n v="174.3"/>
        <n v="174.8"/>
        <n v="173.2"/>
        <n v="173.7"/>
      </sharedItems>
    </cacheField>
    <cacheField name="Meat and fish" numFmtId="0">
      <sharedItems containsSemiMixedTypes="0" containsString="0" containsNumber="1" minValue="106.3" maxValue="223.4" count="296">
        <n v="106.3"/>
        <n v="109.1"/>
        <n v="107.3"/>
        <n v="108.7"/>
        <n v="112.9"/>
        <n v="110.2"/>
        <n v="108.8"/>
        <n v="111.4"/>
        <n v="109.7"/>
        <n v="109.5"/>
        <n v="113.4"/>
        <n v="110.9"/>
        <n v="109.8"/>
        <n v="114.2"/>
        <n v="111.3"/>
        <n v="112.1"/>
        <n v="120.1"/>
        <n v="114.9"/>
        <n v="119.2"/>
        <n v="116.4"/>
        <n v="115.4"/>
        <n v="120.4"/>
        <n v="117.2"/>
        <n v="115.7"/>
        <n v="119.1"/>
        <n v="116.9"/>
        <n v="118.1"/>
        <n v="116.3"/>
        <n v="115.9"/>
        <n v="116.7"/>
        <n v="117.1"/>
        <n v="122"/>
        <n v="118.8"/>
        <n v="117.7"/>
        <n v="121.4"/>
        <n v="119.3"/>
        <n v="118.9"/>
        <n v="121.7"/>
        <n v="119.9"/>
        <n v="120.2"/>
        <n v="124.1"/>
        <n v="121.6"/>
        <n v="125.9"/>
        <n v="123.1"/>
        <n v="122.5"/>
        <n v="126.4"/>
        <n v="123.9"/>
        <n v="122.8"/>
        <n v="127.3"/>
        <n v="124.4"/>
        <n v="122.4"/>
        <n v="125.4"/>
        <n v="123.5"/>
        <n v="126.1"/>
        <n v="123.8"/>
        <n v="122.6"/>
        <n v="125.6"/>
        <n v="123.7"/>
        <n v="124.7"/>
        <n v="123.2"/>
        <n v="125.5"/>
        <n v="126.5"/>
        <n v="125.1"/>
        <n v="126.7"/>
        <n v="128.19999999999999"/>
        <n v="127.1"/>
        <n v="129.69999999999999"/>
        <n v="128"/>
        <n v="130.4"/>
        <n v="134.4"/>
        <n v="131.80000000000001"/>
        <n v="131.5"/>
        <n v="134.30000000000001"/>
        <n v="132.5"/>
        <n v="131.30000000000001"/>
        <n v="131.69999999999999"/>
        <n v="131.4"/>
        <n v="131.1"/>
        <n v="129"/>
        <n v="128.6"/>
        <n v="129.80000000000001"/>
        <n v="130.6"/>
        <n v="130.30000000000001"/>
        <n v="133.19999999999999"/>
        <n v="135.9"/>
        <n v="134.1"/>
        <n v="133.69999999999999"/>
        <n v="135.1"/>
        <n v="134.19999999999999"/>
        <n v="136.30000000000001"/>
        <n v="135.4"/>
        <n v="139.30000000000001"/>
        <n v="136.80000000000001"/>
        <n v="137.5"/>
        <n v="142.1"/>
        <n v="139.1"/>
        <n v="138.6"/>
        <n v="143.9"/>
        <n v="140.5"/>
        <n v="139.5"/>
        <n v="144.19999999999999"/>
        <n v="141.19999999999999"/>
        <n v="138.80000000000001"/>
        <n v="140.30000000000001"/>
        <n v="138.19999999999999"/>
        <n v="137.69999999999999"/>
        <n v="138"/>
        <n v="137.6"/>
        <n v="138.4"/>
        <n v="137.9"/>
        <n v="137.4"/>
        <n v="138.5"/>
        <n v="137.80000000000001"/>
        <n v="137.30000000000001"/>
        <n v="138.9"/>
        <n v="138.30000000000001"/>
        <n v="139.80000000000001"/>
        <n v="139.4"/>
        <n v="139"/>
        <n v="138.69999999999999"/>
        <n v="140.6"/>
        <n v="144.1"/>
        <n v="141.6"/>
        <n v="143.69999999999999"/>
        <n v="148.69999999999999"/>
        <n v="145.5"/>
        <n v="148.4"/>
        <n v="145.69999999999999"/>
        <n v="143.1"/>
        <n v="143.4"/>
        <n v="142"/>
        <n v="143"/>
        <n v="142.4"/>
        <n v="141.9"/>
        <n v="142.80000000000001"/>
        <n v="142.19999999999999"/>
        <n v="142.5"/>
        <n v="142.6"/>
        <n v="143.30000000000001"/>
        <n v="144.4"/>
        <n v="143.5"/>
        <n v="143.80000000000001"/>
        <n v="143.6"/>
        <n v="144.5"/>
        <n v="144.30000000000001"/>
        <n v="148.19999999999999"/>
        <n v="146.6"/>
        <n v="148.1"/>
        <n v="149.69999999999999"/>
        <n v="149.30000000000001"/>
        <n v="148.6"/>
        <n v="149.1"/>
        <n v="148.80000000000001"/>
        <n v="146.4"/>
        <n v="148"/>
        <n v="147.19999999999999"/>
        <n v="145.80000000000001"/>
        <n v="147.6"/>
        <n v="144.9"/>
        <n v="149.5"/>
        <n v="150.80000000000001"/>
        <n v="146.30000000000001"/>
        <n v="149.19999999999999"/>
        <n v="151.9"/>
        <n v="147.80000000000001"/>
        <n v="150.5"/>
        <n v="152.5"/>
        <n v="149.4"/>
        <n v="151.4"/>
        <n v="153"/>
        <n v="150.1"/>
        <n v="152"/>
        <n v="154.1"/>
        <n v="151.1"/>
        <n v="159.5"/>
        <n v="156.69999999999999"/>
        <n v="158.5"/>
        <n v="163.5"/>
        <n v="159.6"/>
        <n v="162.1"/>
        <n v="164"/>
        <n v="160.19999999999999"/>
        <n v="162.69999999999999"/>
        <n v="161.9"/>
        <n v="158.30000000000001"/>
        <n v="160.6"/>
        <n v="158.69999999999999"/>
        <n v="160.80000000000001"/>
        <n v="161.6"/>
        <n v="159.80000000000001"/>
        <n v="161"/>
        <n v="163.69999999999999"/>
        <n v="162.4"/>
        <n v="163.19999999999999"/>
        <n v="165.3"/>
        <n v="164.5"/>
        <n v="165"/>
        <n v="167.3"/>
        <n v="167.6"/>
        <n v="167.4"/>
        <n v="167.5"/>
        <n v="166.8"/>
        <n v="167"/>
        <n v="176.3857142857143"/>
        <n v="179.85714285714286"/>
        <n v="177.6"/>
        <n v="179.74761904761905"/>
        <n v="184.45952380952383"/>
        <n v="181.4"/>
        <n v="190.3"/>
        <n v="197"/>
        <n v="192.7"/>
        <n v="187.2"/>
        <n v="197.8"/>
        <n v="190.9"/>
        <n v="183.9"/>
        <n v="193.1"/>
        <n v="187.1"/>
        <n v="186.3"/>
        <n v="193.7"/>
        <n v="188.9"/>
        <n v="188.6"/>
        <n v="195.5"/>
        <n v="191"/>
        <n v="188.5"/>
        <n v="195.7"/>
        <n v="187.5"/>
        <n v="194.8"/>
        <n v="190.1"/>
        <n v="184"/>
        <n v="191.2"/>
        <n v="186.5"/>
        <n v="189.4"/>
        <n v="197.5"/>
        <n v="192.2"/>
        <n v="202.5"/>
        <n v="198"/>
        <n v="198.5"/>
        <n v="204.3"/>
        <n v="200.5"/>
        <n v="200.1"/>
        <n v="205.5"/>
        <n v="202"/>
        <n v="204.5"/>
        <n v="210.9"/>
        <n v="206.8"/>
        <n v="202.3"/>
        <n v="207.4"/>
        <n v="204"/>
        <n v="202.1"/>
        <n v="208.4"/>
        <n v="204.6"/>
        <n v="199.8"/>
        <n v="204.9"/>
        <n v="201.6"/>
        <n v="202.2"/>
        <n v="198.8"/>
        <n v="196.9"/>
        <n v="198.7"/>
        <n v="198.1"/>
        <n v="205.2"/>
        <n v="200.6"/>
        <n v="208"/>
        <n v="215.8"/>
        <n v="210.7"/>
        <n v="209.7"/>
        <n v="211.8"/>
        <n v="214.7"/>
        <n v="221.2"/>
        <n v="217"/>
        <n v="217.2"/>
        <n v="223.4"/>
        <n v="219.4"/>
        <n v="210.8"/>
        <n v="217.1"/>
        <n v="213"/>
        <n v="204.1"/>
        <n v="206.5"/>
        <n v="206.7"/>
        <n v="213.7"/>
        <n v="209.2"/>
        <n v="208.8"/>
        <n v="214.9"/>
        <n v="207.2"/>
        <n v="213.4"/>
        <n v="209.4"/>
        <n v="206.9"/>
        <n v="212.9"/>
        <n v="209"/>
        <n v="208.3"/>
        <n v="215.2"/>
        <n v="212.2"/>
        <n v="207.7"/>
        <n v="209.3"/>
        <n v="211.5"/>
        <n v="214.3"/>
      </sharedItems>
    </cacheField>
    <cacheField name="Egg" numFmtId="0">
      <sharedItems containsSemiMixedTypes="0" containsString="0" containsNumber="1" minValue="102.7" maxValue="197" count="285">
        <n v="108.1"/>
        <n v="113"/>
        <n v="110"/>
        <n v="110.2"/>
        <n v="116.9"/>
        <n v="112.8"/>
        <n v="109.9"/>
        <n v="113.2"/>
        <n v="111.2"/>
        <n v="106.9"/>
        <n v="106"/>
        <n v="106.6"/>
        <n v="105.9"/>
        <n v="102.7"/>
        <n v="104.7"/>
        <n v="112.5"/>
        <n v="109.8"/>
        <n v="110.5"/>
        <n v="114"/>
        <n v="111.9"/>
        <n v="111.1"/>
        <n v="112.7"/>
        <n v="111.7"/>
        <n v="112.3"/>
        <n v="112.6"/>
        <n v="114.5"/>
        <n v="113.3"/>
        <n v="116.2"/>
        <n v="122.6"/>
        <n v="118.7"/>
        <n v="120.4"/>
        <n v="128.5"/>
        <n v="123.5"/>
        <n v="120.5"/>
        <n v="129.9"/>
        <n v="124.1"/>
        <n v="121.2"/>
        <n v="124.5"/>
        <n v="122.5"/>
        <n v="120.7"/>
        <n v="121.5"/>
        <n v="121"/>
        <n v="118.1"/>
        <n v="114.2"/>
        <n v="115.9"/>
        <n v="116.1"/>
        <n v="115.4"/>
        <n v="115.8"/>
        <n v="117.7"/>
        <n v="118"/>
        <n v="117.8"/>
        <n v="116.5"/>
        <n v="117.3"/>
        <n v="116.4"/>
        <n v="118.3"/>
        <n v="119.9"/>
        <n v="122.7"/>
        <n v="121.8"/>
        <n v="126.3"/>
        <n v="122.1"/>
        <n v="126.6"/>
        <n v="123.8"/>
        <n v="119.5"/>
        <n v="121.1"/>
        <n v="118.9"/>
        <n v="113.5"/>
        <n v="116.8"/>
        <n v="117.2"/>
        <n v="114.4"/>
        <n v="111.3"/>
        <n v="115"/>
        <n v="120.9"/>
        <n v="121.6"/>
        <n v="122"/>
        <n v="121.3"/>
        <n v="120.1"/>
        <n v="115.6"/>
        <n v="120.8"/>
        <n v="121.7"/>
        <n v="123.3"/>
        <n v="127.1"/>
        <n v="124.8"/>
        <n v="126.5"/>
        <n v="132"/>
        <n v="128.6"/>
        <n v="127.7"/>
        <n v="130.30000000000001"/>
        <n v="128.69999999999999"/>
        <n v="125.1"/>
        <n v="123.7"/>
        <n v="124.6"/>
        <n v="123.4"/>
        <n v="124.4"/>
        <n v="127"/>
        <n v="125.4"/>
        <n v="130.9"/>
        <n v="128.30000000000001"/>
        <n v="129.6"/>
        <n v="136.6"/>
        <n v="132.30000000000001"/>
        <n v="133.69999999999999"/>
        <n v="131.6"/>
        <n v="130.5"/>
        <n v="130.6"/>
        <n v="130.1"/>
        <n v="130.19999999999999"/>
        <n v="134.1"/>
        <n v="134.9"/>
        <n v="132.9"/>
        <n v="131.9"/>
        <n v="132.6"/>
        <n v="132.19999999999999"/>
        <n v="129.30000000000001"/>
        <n v="128.80000000000001"/>
        <n v="128.4"/>
        <n v="126.1"/>
        <n v="126.8"/>
        <n v="125.6"/>
        <n v="128"/>
        <n v="128.1"/>
        <n v="129.80000000000001"/>
        <n v="129.4"/>
        <n v="130"/>
        <n v="129.69999999999999"/>
        <n v="131"/>
        <n v="131.4"/>
        <n v="131.19999999999999"/>
        <n v="140.5"/>
        <n v="146.69999999999999"/>
        <n v="142.9"/>
        <n v="144.80000000000001"/>
        <n v="145.9"/>
        <n v="145.19999999999999"/>
        <n v="143.80000000000001"/>
        <n v="143.6"/>
        <n v="143.69999999999999"/>
        <n v="140.6"/>
        <n v="139.9"/>
        <n v="140.30000000000001"/>
        <n v="140"/>
        <n v="135.5"/>
        <n v="138.30000000000001"/>
        <n v="135.9"/>
        <n v="130.80000000000001"/>
        <n v="133.9"/>
        <n v="133.6"/>
        <n v="136.69999999999999"/>
        <n v="135.6"/>
        <n v="139.30000000000001"/>
        <n v="139.1"/>
        <n v="139.19999999999999"/>
        <n v="138.1"/>
        <n v="132.80000000000001"/>
        <n v="135.1"/>
        <n v="134.6"/>
        <n v="133.5"/>
        <n v="137.30000000000001"/>
        <n v="137.80000000000001"/>
        <n v="137.1"/>
        <n v="137.4"/>
        <n v="141.1"/>
        <n v="138.80000000000001"/>
        <n v="138.19999999999999"/>
        <n v="143.5"/>
        <n v="140.19999999999999"/>
        <n v="145.30000000000001"/>
        <n v="141.5"/>
        <n v="138.69999999999999"/>
        <n v="134.5"/>
        <n v="136"/>
        <n v="136.19999999999999"/>
        <n v="140.4"/>
        <n v="138.4"/>
        <n v="142.5"/>
        <n v="140.80000000000001"/>
        <n v="138.5"/>
        <n v="141.6"/>
        <n v="139.6"/>
        <n v="141.19999999999999"/>
        <n v="144.69999999999999"/>
        <n v="142.6"/>
        <n v="148.4"/>
        <n v="145.6"/>
        <n v="149.5"/>
        <n v="153.69999999999999"/>
        <n v="151.1"/>
        <n v="153.5"/>
        <n v="157"/>
        <n v="154.9"/>
        <n v="150.9"/>
        <n v="153.1"/>
        <n v="151.80000000000001"/>
        <n v="147.6"/>
        <n v="148.9"/>
        <n v="148.1"/>
        <n v="146.9"/>
        <n v="151.9"/>
        <n v="148.80000000000001"/>
        <n v="148.76666666666699"/>
        <n v="152.93333333333334"/>
        <n v="150.38333333333333"/>
        <n v="149.4"/>
        <n v="154.6"/>
        <n v="151.4"/>
        <n v="154.5"/>
        <n v="150.80000000000001"/>
        <n v="157.30000000000001"/>
        <n v="152.5"/>
        <n v="159.19999999999999"/>
        <n v="164.8"/>
        <n v="161.4"/>
        <n v="171.6"/>
        <n v="176.9"/>
        <n v="173.6"/>
        <n v="173.4"/>
        <n v="178.3"/>
        <n v="175.3"/>
        <n v="178.4"/>
        <n v="168"/>
        <n v="169.9"/>
        <n v="168.7"/>
        <n v="163.19999999999999"/>
        <n v="164.7"/>
        <n v="163.80000000000001"/>
        <n v="163.4"/>
        <n v="166.4"/>
        <n v="164.6"/>
        <n v="168.6"/>
        <n v="173"/>
        <n v="170.3"/>
        <n v="179.3"/>
        <n v="182.8"/>
        <n v="180.7"/>
        <n v="180.4"/>
        <n v="185"/>
        <n v="182.2"/>
        <n v="176.5"/>
        <n v="174.1"/>
        <n v="172.8"/>
        <n v="172"/>
        <n v="170.1"/>
        <n v="171.2"/>
        <n v="171.5"/>
        <n v="175.4"/>
        <n v="180"/>
        <n v="177.9"/>
        <n v="178"/>
        <n v="180.1"/>
        <n v="178.8"/>
        <n v="175.5"/>
        <n v="176.4"/>
        <n v="175.8"/>
        <n v="167.9"/>
        <n v="167.7"/>
        <n v="167.8"/>
        <n v="164.5"/>
        <n v="164.1"/>
        <n v="162.4"/>
        <n v="169.6"/>
        <n v="170.8"/>
        <n v="174.3"/>
        <n v="176.6"/>
        <n v="175.2"/>
        <n v="168.3"/>
        <n v="170.6"/>
        <n v="169.2"/>
        <n v="169"/>
        <n v="170.9"/>
        <n v="169.7"/>
        <n v="171.9"/>
        <n v="180.2"/>
        <n v="183.2"/>
        <n v="181.4"/>
        <n v="189.1"/>
        <n v="191.9"/>
        <n v="190.2"/>
        <n v="192.9"/>
        <n v="197"/>
        <n v="194.5"/>
        <n v="173.9"/>
        <n v="177.2"/>
        <n v="172.4"/>
        <n v="171"/>
        <n v="176.7"/>
        <n v="173.2"/>
      </sharedItems>
    </cacheField>
    <cacheField name="Milk and products" numFmtId="0">
      <sharedItems containsSemiMixedTypes="0" containsString="0" containsNumber="1" minValue="103.6" maxValue="179.6" count="271">
        <n v="104.9"/>
        <n v="103.6"/>
        <n v="104.4"/>
        <n v="105.4"/>
        <n v="104"/>
        <n v="105.6"/>
        <n v="104.3"/>
        <n v="105.1"/>
        <n v="106.3"/>
        <n v="104.7"/>
        <n v="105.7"/>
        <n v="107.5"/>
        <n v="105.5"/>
        <n v="106.8"/>
        <n v="108.3"/>
        <n v="107.3"/>
        <n v="107.9"/>
        <n v="109.3"/>
        <n v="108.9"/>
        <n v="110"/>
        <n v="109.6"/>
        <n v="111"/>
        <n v="110.5"/>
        <n v="111.7"/>
        <n v="110.4"/>
        <n v="111.2"/>
        <n v="112.8"/>
        <n v="112"/>
        <n v="112.5"/>
        <n v="113.8"/>
        <n v="113.4"/>
        <n v="114.4"/>
        <n v="113.6"/>
        <n v="114.1"/>
        <n v="115"/>
        <n v="115.2"/>
        <n v="115.1"/>
        <n v="116.1"/>
        <n v="116.2"/>
        <n v="117"/>
        <n v="118"/>
        <n v="119.1"/>
        <n v="118.4"/>
        <n v="119.3"/>
        <n v="120.4"/>
        <n v="119.7"/>
        <n v="120.6"/>
        <n v="121.6"/>
        <n v="121"/>
        <n v="121.9"/>
        <n v="122.2"/>
        <n v="122"/>
        <n v="122.7"/>
        <n v="123.2"/>
        <n v="123.1"/>
        <n v="124"/>
        <n v="124.6"/>
        <n v="124.2"/>
        <n v="124.9"/>
        <n v="124.5"/>
        <n v="125.2"/>
        <n v="125"/>
        <n v="125.8"/>
        <n v="125.6"/>
        <n v="125.7"/>
        <n v="126"/>
        <n v="125.9"/>
        <n v="126.8"/>
        <n v="126.3"/>
        <n v="126.6"/>
        <n v="127.7"/>
        <n v="127.3"/>
        <n v="128.69999999999999"/>
        <n v="128.19999999999999"/>
        <n v="128.30000000000001"/>
        <n v="128.80000000000001"/>
        <n v="128"/>
        <n v="128.5"/>
        <n v="129.19999999999999"/>
        <n v="128.9"/>
        <n v="129.4"/>
        <n v="129.1"/>
        <n v="129.5"/>
        <n v="128.6"/>
        <n v="129.80000000000001"/>
        <n v="130.30000000000001"/>
        <n v="129.9"/>
        <n v="130.69999999999999"/>
        <n v="129.6"/>
        <n v="130.5"/>
        <n v="129.69999999999999"/>
        <n v="130.19999999999999"/>
        <n v="131.30000000000001"/>
        <n v="130.9"/>
        <n v="132.4"/>
        <n v="130.4"/>
        <n v="131.69999999999999"/>
        <n v="133.6"/>
        <n v="131"/>
        <n v="132.6"/>
        <n v="134.5"/>
        <n v="131.80000000000001"/>
        <n v="133.5"/>
        <n v="135.30000000000001"/>
        <n v="132.19999999999999"/>
        <n v="134.1"/>
        <n v="135.5"/>
        <n v="134.4"/>
        <n v="136"/>
        <n v="132.69999999999999"/>
        <n v="134.80000000000001"/>
        <n v="136.19999999999999"/>
        <n v="132.9"/>
        <n v="135"/>
        <n v="136.30000000000001"/>
        <n v="133.1"/>
        <n v="135.1"/>
        <n v="136.69999999999999"/>
        <n v="135.4"/>
        <n v="137.19999999999999"/>
        <n v="135.80000000000001"/>
        <n v="134.9"/>
        <n v="137.69999999999999"/>
        <n v="138.19999999999999"/>
        <n v="136.80000000000001"/>
        <n v="138.6"/>
        <n v="137.30000000000001"/>
        <n v="138.1"/>
        <n v="139"/>
        <n v="138.5"/>
        <n v="139.4"/>
        <n v="138.30000000000001"/>
        <n v="140.19999999999999"/>
        <n v="138.69999999999999"/>
        <n v="139.6"/>
        <n v="141.5"/>
        <n v="139.1"/>
        <n v="140.6"/>
        <n v="139.5"/>
        <n v="140.80000000000001"/>
        <n v="141.9"/>
        <n v="141"/>
        <n v="142"/>
        <n v="141.1"/>
        <n v="139.9"/>
        <n v="140.9"/>
        <n v="141.19999999999999"/>
        <n v="142.4"/>
        <n v="140.30000000000001"/>
        <n v="141.6"/>
        <n v="142.9"/>
        <n v="140.69999999999999"/>
        <n v="142.1"/>
        <n v="143.19999999999999"/>
        <n v="142.30000000000001"/>
        <n v="143.4"/>
        <n v="142.5"/>
        <n v="143.5"/>
        <n v="142.6"/>
        <n v="143.69999999999999"/>
        <n v="141.80000000000001"/>
        <n v="141.69999999999999"/>
        <n v="142.19999999999999"/>
        <n v="143.30000000000001"/>
        <n v="143.9"/>
        <n v="144.1"/>
        <n v="144"/>
        <n v="144.6"/>
        <n v="144.9"/>
        <n v="144.69999999999999"/>
        <n v="145.69999999999999"/>
        <n v="145.4"/>
        <n v="146.5"/>
        <n v="145.6"/>
        <n v="146.19999999999999"/>
        <n v="147.1"/>
        <n v="145.9"/>
        <n v="146.69999999999999"/>
        <n v="148.69999999999999"/>
        <n v="147.5"/>
        <n v="148.30000000000001"/>
        <n v="150.5"/>
        <n v="149.30000000000001"/>
        <n v="150.1"/>
        <n v="150.9"/>
        <n v="150.69999999999999"/>
        <n v="150.80000000000001"/>
        <n v="151.69999999999999"/>
        <n v="151.1"/>
        <n v="151.5"/>
        <n v="155.6"/>
        <n v="155.5"/>
        <n v="153.01666666666665"/>
        <n v="152.91666666666666"/>
        <n v="152.96666666666667"/>
        <n v="153.30000000000001"/>
        <n v="153.4"/>
        <n v="153.9"/>
        <n v="153.6"/>
        <n v="153.69999999999999"/>
        <n v="153.80000000000001"/>
        <n v="154"/>
        <n v="154.19999999999999"/>
        <n v="154.1"/>
        <n v="154.4"/>
        <n v="155.1"/>
        <n v="154.69999999999999"/>
        <n v="154.5"/>
        <n v="154.9"/>
        <n v="155"/>
        <n v="156"/>
        <n v="155.4"/>
        <n v="155.80000000000001"/>
        <n v="156.5"/>
        <n v="156.1"/>
        <n v="156.19999999999999"/>
        <n v="157.1"/>
        <n v="158.19999999999999"/>
        <n v="157.5"/>
        <n v="159.19999999999999"/>
        <n v="158.4"/>
        <n v="158"/>
        <n v="159.1"/>
        <n v="158.69999999999999"/>
        <n v="159.6"/>
        <n v="159.30000000000001"/>
        <n v="159.80000000000001"/>
        <n v="160"/>
        <n v="159.9"/>
        <n v="160.5"/>
        <n v="160.4"/>
        <n v="160.69999999999999"/>
        <n v="160.6"/>
        <n v="162"/>
        <n v="162.6"/>
        <n v="162.19999999999999"/>
        <n v="163.80000000000001"/>
        <n v="164.2"/>
        <n v="163.9"/>
        <n v="164.6"/>
        <n v="165.4"/>
        <n v="164.9"/>
        <n v="166.4"/>
        <n v="165.8"/>
        <n v="166.3"/>
        <n v="167.1"/>
        <n v="166.6"/>
        <n v="167.9"/>
        <n v="168.4"/>
        <n v="168.1"/>
        <n v="169.5"/>
        <n v="170.1"/>
        <n v="169.7"/>
        <n v="170.9"/>
        <n v="171"/>
        <n v="172.3"/>
        <n v="173.4"/>
        <n v="173.9"/>
        <n v="173.6"/>
        <n v="174.3"/>
        <n v="175.2"/>
        <n v="174.6"/>
        <n v="177"/>
        <n v="177.9"/>
        <n v="177.3"/>
        <n v="178.2"/>
        <n v="178.8"/>
        <n v="178.4"/>
        <n v="179.6"/>
        <n v="179.4"/>
        <n v="179.5"/>
      </sharedItems>
    </cacheField>
    <cacheField name="Oils and fats" numFmtId="0">
      <sharedItems containsSemiMixedTypes="0" containsString="0" containsNumber="1" minValue="101.1" maxValue="209.9" count="259">
        <n v="106.1"/>
        <n v="103.4"/>
        <n v="105.1"/>
        <n v="106.7"/>
        <n v="103.5"/>
        <n v="105.5"/>
        <n v="106.2"/>
        <n v="102.7"/>
        <n v="104.9"/>
        <n v="105.7"/>
        <n v="102.1"/>
        <n v="104.4"/>
        <n v="105.3"/>
        <n v="101.5"/>
        <n v="103.9"/>
        <n v="105.9"/>
        <n v="101.3"/>
        <n v="104.2"/>
        <n v="101.1"/>
        <n v="104.3"/>
        <n v="106.4"/>
        <n v="104.5"/>
        <n v="107.4"/>
        <n v="101.7"/>
        <n v="107.7"/>
        <n v="102.3"/>
        <n v="108.9"/>
        <n v="103.2"/>
        <n v="106.8"/>
        <n v="109.5"/>
        <n v="107.3"/>
        <n v="109"/>
        <n v="102.9"/>
        <n v="102.5"/>
        <n v="106.6"/>
        <n v="109.3"/>
        <n v="102.8"/>
        <n v="106.9"/>
        <n v="109.7"/>
        <n v="103.1"/>
        <n v="110.1"/>
        <n v="110.3"/>
        <n v="107.8"/>
        <n v="110.4"/>
        <n v="107.9"/>
        <n v="110.6"/>
        <n v="103.6"/>
        <n v="108"/>
        <n v="110.5"/>
        <n v="110.2"/>
        <n v="103"/>
        <n v="107.6"/>
        <n v="111"/>
        <n v="108.5"/>
        <n v="111.5"/>
        <n v="109.1"/>
        <n v="111.8"/>
        <n v="104.8"/>
        <n v="109.2"/>
        <n v="111.9"/>
        <n v="112.5"/>
        <n v="105.2"/>
        <n v="109.8"/>
        <n v="114.1"/>
        <n v="106"/>
        <n v="111.1"/>
        <n v="113.5"/>
        <n v="106.3"/>
        <n v="110.9"/>
        <n v="114"/>
        <n v="111.4"/>
        <n v="114.7"/>
        <n v="107"/>
        <n v="115.8"/>
        <n v="113.3"/>
        <n v="117.8"/>
        <n v="110"/>
        <n v="114.9"/>
        <n v="118.3"/>
        <n v="115.3"/>
        <n v="118.9"/>
        <n v="115.5"/>
        <n v="118.5"/>
        <n v="108.4"/>
        <n v="114.8"/>
        <n v="114.5"/>
        <n v="118.2"/>
        <n v="109.6"/>
        <n v="115"/>
        <n v="118.6"/>
        <n v="119.5"/>
        <n v="116.4"/>
        <n v="119.9"/>
        <n v="116.9"/>
        <n v="120.2"/>
        <n v="117.2"/>
        <n v="120.8"/>
        <n v="121.1"/>
        <n v="112.6"/>
        <n v="118"/>
        <n v="121.6"/>
        <n v="122"/>
        <n v="119.1"/>
        <n v="122.1"/>
        <n v="114.3"/>
        <n v="119.2"/>
        <n v="118.8"/>
        <n v="121.3"/>
        <n v="118.4"/>
        <n v="113.4"/>
        <n v="118.1"/>
        <n v="120.9"/>
        <n v="120.5"/>
        <n v="120.7"/>
        <n v="121.4"/>
        <n v="119"/>
        <n v="115.2"/>
        <n v="123.1"/>
        <n v="115.9"/>
        <n v="123.2"/>
        <n v="122.9"/>
        <n v="116.2"/>
        <n v="120.4"/>
        <n v="116.5"/>
        <n v="123.5"/>
        <n v="116.6"/>
        <n v="121"/>
        <n v="123.6"/>
        <n v="124"/>
        <n v="124.1"/>
        <n v="116.7"/>
        <n v="125"/>
        <n v="117.4"/>
        <n v="122.2"/>
        <n v="124.6"/>
        <n v="122.8"/>
        <n v="124.2"/>
        <n v="123.9"/>
        <n v="121.8"/>
        <n v="124.3"/>
        <n v="124.4"/>
        <n v="119.3"/>
        <n v="122.5"/>
        <n v="124.7"/>
        <n v="125.1"/>
        <n v="125.6"/>
        <n v="126"/>
        <n v="121.5"/>
        <n v="127.5"/>
        <n v="122.7"/>
        <n v="125.7"/>
        <n v="132"/>
        <n v="126.3"/>
        <n v="129.9"/>
        <n v="133.69999999999999"/>
        <n v="127.4"/>
        <n v="131.4"/>
        <n v="133.30000000000001"/>
        <n v="131.19999999999999"/>
        <n v="137.1"/>
        <n v="131.6"/>
        <n v="135.1"/>
        <n v="136.71666666666667"/>
        <n v="130.94999999999999"/>
        <n v="134.61666666666665"/>
        <n v="138.19999999999999"/>
        <n v="132.9"/>
        <n v="136.30000000000001"/>
        <n v="139.80000000000001"/>
        <n v="133.4"/>
        <n v="137.4"/>
        <n v="140.4"/>
        <n v="134.4"/>
        <n v="142.6"/>
        <n v="135.69999999999999"/>
        <n v="140.1"/>
        <n v="145.4"/>
        <n v="138"/>
        <n v="142.69999999999999"/>
        <n v="150"/>
        <n v="140.69999999999999"/>
        <n v="146.6"/>
        <n v="154.80000000000001"/>
        <n v="144.1"/>
        <n v="150.9"/>
        <n v="163"/>
        <n v="151.4"/>
        <n v="158.69999999999999"/>
        <n v="168.2"/>
        <n v="156.4"/>
        <n v="163.9"/>
        <n v="175.2"/>
        <n v="161.4"/>
        <n v="170.1"/>
        <n v="184.4"/>
        <n v="168.8"/>
        <n v="178.7"/>
        <n v="190.4"/>
        <n v="172.2"/>
        <n v="183.7"/>
        <n v="188.7"/>
        <n v="170.6"/>
        <n v="182.1"/>
        <n v="190.9"/>
        <n v="175"/>
        <n v="188"/>
        <n v="195.5"/>
        <n v="198.8"/>
        <n v="176.6"/>
        <n v="190.6"/>
        <n v="198.4"/>
        <n v="175.8"/>
        <n v="190.1"/>
        <n v="195.8"/>
        <n v="173.5"/>
        <n v="187.6"/>
        <n v="192.6"/>
        <n v="171"/>
        <n v="184.7"/>
        <n v="171.5"/>
        <n v="184.9"/>
        <n v="203.1"/>
        <n v="180"/>
        <n v="194.6"/>
        <n v="207.4"/>
        <n v="186"/>
        <n v="199.5"/>
        <n v="209.9"/>
        <n v="189.5"/>
        <n v="202.4"/>
        <n v="208.1"/>
        <n v="188.6"/>
        <n v="200.9"/>
        <n v="202.2"/>
        <n v="184.8"/>
        <n v="198.1"/>
        <n v="182.5"/>
        <n v="192.4"/>
        <n v="194.1"/>
        <n v="179.3"/>
        <n v="191.6"/>
        <n v="177.7"/>
        <n v="186.5"/>
        <n v="194"/>
        <n v="188.9"/>
        <n v="193.9"/>
        <n v="179.1"/>
        <n v="188.5"/>
        <n v="178"/>
        <n v="187.2"/>
        <n v="183.4"/>
        <n v="183.3"/>
        <n v="179.2"/>
        <n v="178.5"/>
        <n v="168.7"/>
        <n v="174.9"/>
        <n v="173.3"/>
        <n v="164.4"/>
        <n v="170"/>
      </sharedItems>
    </cacheField>
    <cacheField name="Fruits" numFmtId="0">
      <sharedItems containsSemiMixedTypes="0" containsString="0" containsNumber="1" minValue="102.3" maxValue="179.5" count="283">
        <n v="103.9"/>
        <n v="102.3"/>
        <n v="103.2"/>
        <n v="104"/>
        <n v="103.1"/>
        <n v="103.6"/>
        <n v="105.7"/>
        <n v="104.9"/>
        <n v="105.3"/>
        <n v="108.3"/>
        <n v="109.5"/>
        <n v="108.9"/>
        <n v="108.1"/>
        <n v="110.6"/>
        <n v="109.3"/>
        <n v="109.2"/>
        <n v="112.4"/>
        <n v="110.7"/>
        <n v="110.3"/>
        <n v="113.2"/>
        <n v="111.7"/>
        <n v="110.8"/>
        <n v="108.7"/>
        <n v="109.8"/>
        <n v="110.9"/>
        <n v="107.3"/>
        <n v="106.2"/>
        <n v="109.9"/>
        <n v="116.6"/>
        <n v="110"/>
        <n v="113.5"/>
        <n v="115.5"/>
        <n v="113.3"/>
        <n v="112.1"/>
        <n v="113.9"/>
        <n v="114.1"/>
        <n v="115.4"/>
        <n v="119.6"/>
        <n v="117.7"/>
        <n v="118.7"/>
        <n v="125.5"/>
        <n v="126.7"/>
        <n v="126.1"/>
        <n v="126.3"/>
        <n v="129.19999999999999"/>
        <n v="127.7"/>
        <n v="125.8"/>
        <n v="131.19999999999999"/>
        <n v="128.30000000000001"/>
        <n v="129.1"/>
        <n v="133.69999999999999"/>
        <n v="129.69999999999999"/>
        <n v="132.69999999999999"/>
        <n v="131.1"/>
        <n v="129.80000000000001"/>
        <n v="124.5"/>
        <n v="127.3"/>
        <n v="128.9"/>
        <n v="123.5"/>
        <n v="126.4"/>
        <n v="128.80000000000001"/>
        <n v="122.2"/>
        <n v="125.7"/>
        <n v="128.6"/>
        <n v="122.3"/>
        <n v="130.4"/>
        <n v="121.3"/>
        <n v="126.2"/>
        <n v="129.4"/>
        <n v="121.6"/>
        <n v="130.9"/>
        <n v="123.8"/>
        <n v="127.6"/>
        <n v="134.19999999999999"/>
        <n v="130.6"/>
        <n v="132.5"/>
        <n v="134.1"/>
        <n v="130.80000000000001"/>
        <n v="132.6"/>
        <n v="133.19999999999999"/>
        <n v="132.30000000000001"/>
        <n v="132.80000000000001"/>
        <n v="133.30000000000001"/>
        <n v="133.1"/>
        <n v="130.1"/>
        <n v="124"/>
        <n v="128.4"/>
        <n v="124.1"/>
        <n v="129"/>
        <n v="132.1"/>
        <n v="123.7"/>
        <n v="128.19999999999999"/>
        <n v="131.6"/>
        <n v="120.8"/>
        <n v="126.6"/>
        <n v="119"/>
        <n v="118.6"/>
        <n v="124.9"/>
        <n v="131.69999999999999"/>
        <n v="119.9"/>
        <n v="138.1"/>
        <n v="134.80000000000001"/>
        <n v="133.5"/>
        <n v="136"/>
        <n v="137.4"/>
        <n v="135.5"/>
        <n v="136.5"/>
        <n v="138.5"/>
        <n v="137"/>
        <n v="137.80000000000001"/>
        <n v="140.19999999999999"/>
        <n v="135.80000000000001"/>
        <n v="139.19999999999999"/>
        <n v="136.1"/>
        <n v="138.4"/>
        <n v="134.69999999999999"/>
        <n v="136.9"/>
        <n v="135.6"/>
        <n v="129.30000000000001"/>
        <n v="129.6"/>
        <n v="133"/>
        <n v="138.69999999999999"/>
        <n v="131.4"/>
        <n v="135.30000000000001"/>
        <n v="139.69999999999999"/>
        <n v="136.80000000000001"/>
        <n v="138.30000000000001"/>
        <n v="141.80000000000001"/>
        <n v="137.69999999999999"/>
        <n v="139.9"/>
        <n v="135.19999999999999"/>
        <n v="137.9"/>
        <n v="140.9"/>
        <n v="137.19999999999999"/>
        <n v="143.9"/>
        <n v="139.4"/>
        <n v="148"/>
        <n v="142.69999999999999"/>
        <n v="145.5"/>
        <n v="147.80000000000001"/>
        <n v="137.5"/>
        <n v="143"/>
        <n v="146.69999999999999"/>
        <n v="141.5"/>
        <n v="147.30000000000001"/>
        <n v="136.4"/>
        <n v="142.19999999999999"/>
        <n v="147.19999999999999"/>
        <n v="135"/>
        <n v="147.9"/>
        <n v="133.80000000000001"/>
        <n v="141.30000000000001"/>
        <n v="149.4"/>
        <n v="142.9"/>
        <n v="152.9"/>
        <n v="146.19999999999999"/>
        <n v="156.4"/>
        <n v="150.1"/>
        <n v="153.5"/>
        <n v="157.5"/>
        <n v="151.30000000000001"/>
        <n v="154.6"/>
        <n v="154.1"/>
        <n v="152.19999999999999"/>
        <n v="153.19999999999999"/>
        <n v="153.30000000000001"/>
        <n v="149.69999999999999"/>
        <n v="151.6"/>
        <n v="154.4"/>
        <n v="146.30000000000001"/>
        <n v="150.6"/>
        <n v="140"/>
        <n v="145.4"/>
        <n v="144.5"/>
        <n v="139.5"/>
        <n v="142.5"/>
        <n v="142.80000000000001"/>
        <n v="135.4"/>
        <n v="137.6"/>
        <n v="143.69999999999999"/>
        <n v="146.5"/>
        <n v="143.30000000000001"/>
        <n v="150.9"/>
        <n v="146.80000000000001"/>
        <n v="146.4"/>
        <n v="154.69999999999999"/>
        <n v="150.30000000000001"/>
        <n v="153.9"/>
        <n v="143.80000000000001"/>
        <n v="149.80000000000001"/>
        <n v="146.6"/>
        <n v="145.69999999999999"/>
        <n v="148.80000000000001"/>
        <n v="147.4"/>
        <n v="144.30000000000001"/>
        <n v="144.4"/>
        <n v="143.19999999999999"/>
        <n v="140.69999999999999"/>
        <n v="143.1"/>
        <n v="149.9"/>
        <n v="143.85"/>
        <n v="149.56666666666669"/>
        <n v="146.49999999999997"/>
        <n v="151.80000000000001"/>
        <n v="146.9"/>
        <n v="154.5"/>
        <n v="150.4"/>
        <n v="147"/>
        <n v="155.4"/>
        <n v="155.69999999999999"/>
        <n v="151.19999999999999"/>
        <n v="150.5"/>
        <n v="148.4"/>
        <n v="145.9"/>
        <n v="147.69999999999999"/>
        <n v="152.6"/>
        <n v="149.6"/>
        <n v="154"/>
        <n v="150.69999999999999"/>
        <n v="157.30000000000001"/>
        <n v="153.69999999999999"/>
        <n v="160.6"/>
        <n v="168.8"/>
        <n v="164.4"/>
        <n v="162.30000000000001"/>
        <n v="172.5"/>
        <n v="167.1"/>
        <n v="158.6"/>
        <n v="171.5"/>
        <n v="164.6"/>
        <n v="157.69999999999999"/>
        <n v="170.9"/>
        <n v="163.9"/>
        <n v="161.30000000000001"/>
        <n v="156.80000000000001"/>
        <n v="152.69999999999999"/>
        <n v="161.19999999999999"/>
        <n v="156.69999999999999"/>
        <n v="159.30000000000001"/>
        <n v="160.30000000000001"/>
        <n v="156.5"/>
        <n v="152"/>
        <n v="158.30000000000001"/>
        <n v="154.9"/>
        <n v="151.4"/>
        <n v="155.9"/>
        <n v="159.6"/>
        <n v="157.6"/>
        <n v="169.7"/>
        <n v="175.9"/>
        <n v="172.6"/>
        <n v="168"/>
        <n v="174.5"/>
        <n v="171"/>
        <n v="165.8"/>
        <n v="174.1"/>
        <n v="169.6"/>
        <n v="179.5"/>
        <n v="174.2"/>
        <n v="169.2"/>
        <n v="177.1"/>
        <n v="172.9"/>
        <n v="164.1"/>
        <n v="167.5"/>
        <n v="165.7"/>
        <n v="162.19999999999999"/>
        <n v="163.80000000000001"/>
        <n v="159.1"/>
        <n v="162.6"/>
        <n v="160.69999999999999"/>
        <n v="159.5"/>
        <n v="158"/>
        <n v="156.30000000000001"/>
        <n v="160.5"/>
        <n v="167.2"/>
        <n v="172.1"/>
        <n v="169.5"/>
        <n v="173.7"/>
        <n v="179.2"/>
        <n v="176.3"/>
        <n v="169"/>
        <n v="175.8"/>
        <n v="172.2"/>
      </sharedItems>
    </cacheField>
    <cacheField name="Vegetables" numFmtId="0">
      <sharedItems containsSemiMixedTypes="0" containsString="0" containsNumber="1" minValue="101.4" maxValue="245.3" count="314">
        <n v="101.9"/>
        <n v="102.9"/>
        <n v="102.2"/>
        <n v="102.4"/>
        <n v="104.9"/>
        <n v="103.2"/>
        <n v="101.4"/>
        <n v="103.8"/>
        <n v="103.4"/>
        <n v="109.7"/>
        <n v="105.5"/>
        <n v="107.3"/>
        <n v="123.7"/>
        <n v="112.9"/>
        <n v="118"/>
        <n v="143.6"/>
        <n v="126.7"/>
        <n v="129.19999999999999"/>
        <n v="160.9"/>
        <n v="140"/>
        <n v="138.9"/>
        <n v="177"/>
        <n v="151.80000000000001"/>
        <n v="154"/>
        <n v="174.3"/>
        <n v="164.9"/>
        <n v="183.5"/>
        <n v="171.2"/>
        <n v="178.1"/>
        <n v="192.8"/>
        <n v="183.1"/>
        <n v="145.69999999999999"/>
        <n v="144.80000000000001"/>
        <n v="145.4"/>
        <n v="123.9"/>
        <n v="118.9"/>
        <n v="122.2"/>
        <n v="116"/>
        <n v="111.5"/>
        <n v="114.5"/>
        <n v="117.9"/>
        <n v="113.3"/>
        <n v="116.3"/>
        <n v="120.5"/>
        <n v="121.2"/>
        <n v="120.7"/>
        <n v="127"/>
        <n v="125"/>
        <n v="129.30000000000001"/>
        <n v="137.5"/>
        <n v="132.1"/>
        <n v="150.1"/>
        <n v="172.4"/>
        <n v="157.69999999999999"/>
        <n v="161.1"/>
        <n v="181.9"/>
        <n v="168.2"/>
        <n v="158.80000000000001"/>
        <n v="168.6"/>
        <n v="162.1"/>
        <n v="155.30000000000001"/>
        <n v="159.6"/>
        <n v="156.80000000000001"/>
        <n v="152"/>
        <n v="153.19999999999999"/>
        <n v="152.4"/>
        <n v="140.30000000000001"/>
        <n v="141"/>
        <n v="140.5"/>
        <n v="132.30000000000001"/>
        <n v="134.4"/>
        <n v="133"/>
        <n v="128.19999999999999"/>
        <n v="131.80000000000001"/>
        <n v="129.4"/>
        <n v="128"/>
        <n v="131.4"/>
        <n v="127.5"/>
        <n v="130.80000000000001"/>
        <n v="128.6"/>
        <n v="128.5"/>
        <n v="135.6"/>
        <n v="130.9"/>
        <n v="135.19999999999999"/>
        <n v="146.69999999999999"/>
        <n v="139.1"/>
        <n v="140.80000000000001"/>
        <n v="153.5"/>
        <n v="145.1"/>
        <n v="153.6"/>
        <n v="165.5"/>
        <n v="157.6"/>
        <n v="158.9"/>
        <n v="168.5"/>
        <n v="162.19999999999999"/>
        <n v="165.8"/>
        <n v="160.4"/>
        <n v="155.19999999999999"/>
        <n v="164.6"/>
        <n v="158.4"/>
        <n v="145.5"/>
        <n v="149"/>
        <n v="140.1"/>
        <n v="144.1"/>
        <n v="141.5"/>
        <n v="130.30000000000001"/>
        <n v="130.69999999999999"/>
        <n v="128.1"/>
        <n v="129.80000000000001"/>
        <n v="134.1"/>
        <n v="136.80000000000001"/>
        <n v="135"/>
        <n v="141.80000000000001"/>
        <n v="151.4"/>
        <n v="152.5"/>
        <n v="173.7"/>
        <n v="159.69999999999999"/>
        <n v="158.19999999999999"/>
        <n v="179.5"/>
        <n v="165.4"/>
        <n v="156.9"/>
        <n v="163.5"/>
        <n v="159.1"/>
        <n v="149.5"/>
        <n v="152.9"/>
        <n v="150.69999999999999"/>
        <n v="149.19999999999999"/>
        <n v="155.1"/>
        <n v="151.19999999999999"/>
        <n v="142"/>
        <n v="141.9"/>
        <n v="121.1"/>
        <n v="125.3"/>
        <n v="119.8"/>
        <n v="118.7"/>
        <n v="119.4"/>
        <n v="119.1"/>
        <n v="120.2"/>
        <n v="119.5"/>
        <n v="119.7"/>
        <n v="121.5"/>
        <n v="127.1"/>
        <n v="123.4"/>
        <n v="123.8"/>
        <n v="125.6"/>
        <n v="128.80000000000001"/>
        <n v="142.19999999999999"/>
        <n v="133.30000000000001"/>
        <n v="151.5"/>
        <n v="175.1"/>
        <n v="159.5"/>
        <n v="162.9"/>
        <n v="179.8"/>
        <n v="154.5"/>
        <n v="160.69999999999999"/>
        <n v="156.6"/>
        <n v="157.1"/>
        <n v="173.2"/>
        <n v="162.6"/>
        <n v="168"/>
        <n v="185.2"/>
        <n v="173.8"/>
        <n v="161"/>
        <n v="163.19999999999999"/>
        <n v="161.69999999999999"/>
        <n v="152.1"/>
        <n v="150.5"/>
        <n v="151.6"/>
        <n v="142.4"/>
        <n v="136.9"/>
        <n v="138"/>
        <n v="134.6"/>
        <n v="135.1"/>
        <n v="127.6"/>
        <n v="132.6"/>
        <n v="137.80000000000001"/>
        <n v="143.5"/>
        <n v="144"/>
        <n v="143.69999999999999"/>
        <n v="154.19999999999999"/>
        <n v="159.19999999999999"/>
        <n v="155.9"/>
        <n v="156.30000000000001"/>
        <n v="157.30000000000001"/>
        <n v="149.4"/>
        <n v="151.30000000000001"/>
        <n v="150"/>
        <n v="147.6"/>
        <n v="153"/>
        <n v="147.5"/>
        <n v="145.19999999999999"/>
        <n v="136.6"/>
        <n v="132.4"/>
        <n v="131.69999999999999"/>
        <n v="130.5"/>
        <n v="131.30000000000001"/>
        <n v="128.69999999999999"/>
        <n v="131.6"/>
        <n v="129.69999999999999"/>
        <n v="141.19999999999999"/>
        <n v="133.4"/>
        <n v="161.6"/>
        <n v="143"/>
        <n v="140.6"/>
        <n v="169.8"/>
        <n v="180.1"/>
        <n v="160.30000000000001"/>
        <n v="156.19999999999999"/>
        <n v="189.1"/>
        <n v="167.4"/>
        <n v="163.4"/>
        <n v="192.4"/>
        <n v="178.8"/>
        <n v="207.2"/>
        <n v="188.4"/>
        <n v="191.4"/>
        <n v="215.7"/>
        <n v="199.6"/>
        <n v="209.5"/>
        <n v="231.5"/>
        <n v="217"/>
        <n v="191.5"/>
        <n v="207.8"/>
        <n v="197"/>
        <n v="165.1"/>
        <n v="181.7"/>
        <n v="170.7"/>
        <n v="152.30000000000001"/>
        <n v="167"/>
        <n v="162.69999999999999"/>
        <n v="180"/>
        <n v="158.15"/>
        <n v="177.16666666666671"/>
        <n v="164.61666666666665"/>
        <n v="148.9"/>
        <n v="156.5"/>
        <n v="171"/>
        <n v="191.9"/>
        <n v="202"/>
        <n v="186.7"/>
        <n v="200.6"/>
        <n v="226"/>
        <n v="209.2"/>
        <n v="222.2"/>
        <n v="245.3"/>
        <n v="230"/>
        <n v="225.2"/>
        <n v="240.9"/>
        <n v="230.5"/>
        <n v="187.8"/>
        <n v="206.8"/>
        <n v="194.2"/>
        <n v="149.69999999999999"/>
        <n v="180.2"/>
        <n v="160"/>
        <n v="166.1"/>
        <n v="138.4"/>
        <n v="166.5"/>
        <n v="147.9"/>
        <n v="144.69999999999999"/>
        <n v="176.2"/>
        <n v="155.4"/>
        <n v="152.80000000000001"/>
        <n v="186.4"/>
        <n v="164.2"/>
        <n v="153.9"/>
        <n v="183.3"/>
        <n v="162.30000000000001"/>
        <n v="170.4"/>
        <n v="214.4"/>
        <n v="185.3"/>
        <n v="183.9"/>
        <n v="229.1"/>
        <n v="199.2"/>
        <n v="172.3"/>
        <n v="219.5"/>
        <n v="188.3"/>
        <n v="203.6"/>
        <n v="198"/>
        <n v="169.7"/>
        <n v="155.80000000000001"/>
        <n v="166.9"/>
        <n v="190.7"/>
        <n v="166.2"/>
        <n v="203.2"/>
        <n v="174.9"/>
        <n v="167.3"/>
        <n v="211.5"/>
        <n v="182.3"/>
        <n v="208.5"/>
        <n v="182.1"/>
        <n v="173.1"/>
        <n v="213.1"/>
        <n v="176.9"/>
        <n v="220.8"/>
        <n v="191.8"/>
        <n v="184.8"/>
        <n v="228.6"/>
        <n v="199.7"/>
        <n v="171.6"/>
        <n v="205.5"/>
        <n v="150.19999999999999"/>
        <n v="178.7"/>
        <n v="159.9"/>
        <n v="142.9"/>
        <n v="175.3"/>
        <n v="140.9"/>
        <n v="175.8"/>
        <n v="152.69999999999999"/>
        <n v="175.9"/>
        <n v="142.80000000000001"/>
        <n v="179.9"/>
        <n v="148.69999999999999"/>
        <n v="185"/>
      </sharedItems>
    </cacheField>
    <cacheField name="Pulses and products" numFmtId="0">
      <sharedItems containsSemiMixedTypes="0" containsString="0" containsNumber="1" minValue="103.5" maxValue="191.6" count="267">
        <n v="106.1"/>
        <n v="105.8"/>
        <n v="106"/>
        <n v="105.9"/>
        <n v="104.1"/>
        <n v="105.3"/>
        <n v="105.7"/>
        <n v="103.5"/>
        <n v="105"/>
        <n v="104.6"/>
        <n v="105.2"/>
        <n v="106.8"/>
        <n v="105.4"/>
        <n v="106.3"/>
        <n v="107.1"/>
        <n v="105.1"/>
        <n v="106.4"/>
        <n v="107.4"/>
        <n v="104.7"/>
        <n v="106.5"/>
        <n v="108.1"/>
        <n v="108.3"/>
        <n v="107.3"/>
        <n v="109.1"/>
        <n v="108.2"/>
        <n v="109.5"/>
        <n v="108.7"/>
        <n v="109.6"/>
        <n v="107.5"/>
        <n v="108.9"/>
        <n v="109.8"/>
        <n v="109.3"/>
        <n v="110.2"/>
        <n v="111"/>
        <n v="111.5"/>
        <n v="112.6"/>
        <n v="111.9"/>
        <n v="112.2"/>
        <n v="112.8"/>
        <n v="112.4"/>
        <n v="113.2"/>
        <n v="113.1"/>
        <n v="114.1"/>
        <n v="115.2"/>
        <n v="114.5"/>
        <n v="115"/>
        <n v="116.9"/>
        <n v="115.6"/>
        <n v="115.5"/>
        <n v="117.4"/>
        <n v="116.1"/>
        <n v="116.2"/>
        <n v="119.3"/>
        <n v="117.2"/>
        <n v="116.3"/>
        <n v="120.1"/>
        <n v="117.6"/>
        <n v="122.9"/>
        <n v="119.1"/>
        <n v="118.8"/>
        <n v="125.1"/>
        <n v="120.9"/>
        <n v="119.9"/>
        <n v="127.2"/>
        <n v="122.4"/>
        <n v="121.5"/>
        <n v="131.30000000000001"/>
        <n v="124.8"/>
        <n v="124.3"/>
        <n v="142.6"/>
        <n v="130.5"/>
        <n v="131.9"/>
        <n v="148.1"/>
        <n v="137.4"/>
        <n v="133.80000000000001"/>
        <n v="149.5"/>
        <n v="139.1"/>
        <n v="137.9"/>
        <n v="156"/>
        <n v="144"/>
        <n v="142.1"/>
        <n v="165.4"/>
        <n v="150"/>
        <n v="154.19999999999999"/>
        <n v="187.2"/>
        <n v="165.3"/>
        <n v="160.80000000000001"/>
        <n v="191.6"/>
        <n v="171.2"/>
        <n v="162.1"/>
        <n v="190.1"/>
        <n v="171.5"/>
        <n v="163.80000000000001"/>
        <n v="184.2"/>
        <n v="170.7"/>
        <n v="162.80000000000001"/>
        <n v="176.4"/>
        <n v="167.4"/>
        <n v="161.19999999999999"/>
        <n v="170.3"/>
        <n v="164.3"/>
        <n v="162.69999999999999"/>
        <n v="176.9"/>
        <n v="167.5"/>
        <n v="166"/>
        <n v="182.8"/>
        <n v="171.7"/>
        <n v="169.2"/>
        <n v="184.4"/>
        <n v="174.3"/>
        <n v="171.8"/>
        <n v="188.4"/>
        <n v="177.4"/>
        <n v="172.2"/>
        <n v="182.3"/>
        <n v="175.6"/>
        <n v="170.4"/>
        <n v="173.6"/>
        <n v="170.2"/>
        <n v="175.7"/>
        <n v="172.1"/>
        <n v="170"/>
        <n v="174.9"/>
        <n v="167.9"/>
        <n v="168.7"/>
        <n v="161.69999999999999"/>
        <n v="155.1"/>
        <n v="159.5"/>
        <n v="156.9"/>
        <n v="143.1"/>
        <n v="152.19999999999999"/>
        <n v="148"/>
        <n v="135.80000000000001"/>
        <n v="143.9"/>
        <n v="144.5"/>
        <n v="140.9"/>
        <n v="141.80000000000001"/>
        <n v="131.5"/>
        <n v="138.30000000000001"/>
        <n v="140.19999999999999"/>
        <n v="128.19999999999999"/>
        <n v="136.19999999999999"/>
        <n v="138.1"/>
        <n v="124.7"/>
        <n v="133.6"/>
        <n v="123.5"/>
        <n v="132.69999999999999"/>
        <n v="137.1"/>
        <n v="124.5"/>
        <n v="132.9"/>
        <n v="136.4"/>
        <n v="124.1"/>
        <n v="132.30000000000001"/>
        <n v="122.2"/>
        <n v="131.19999999999999"/>
        <n v="119.8"/>
        <n v="129.1"/>
        <n v="131.80000000000001"/>
        <n v="118.4"/>
        <n v="127.3"/>
        <n v="130.19999999999999"/>
        <n v="117"/>
        <n v="125.8"/>
        <n v="129.30000000000001"/>
        <n v="124.6"/>
        <n v="128.4"/>
        <n v="114"/>
        <n v="122.3"/>
        <n v="126"/>
        <n v="112.3"/>
        <n v="121.4"/>
        <n v="126.4"/>
        <n v="121.7"/>
        <n v="126.8"/>
        <n v="113.6"/>
        <n v="125.4"/>
        <n v="113.5"/>
        <n v="121"/>
        <n v="115.3"/>
        <n v="117.5"/>
        <n v="121.3"/>
        <n v="118.2"/>
        <n v="120.3"/>
        <n v="120.7"/>
        <n v="121.8"/>
        <n v="124.4"/>
        <n v="124.9"/>
        <n v="128.69999999999999"/>
        <n v="127.4"/>
        <n v="128.30000000000001"/>
        <n v="130.6"/>
        <n v="128.9"/>
        <n v="130"/>
        <n v="129.80000000000001"/>
        <n v="130.9"/>
        <n v="132.19999999999999"/>
        <n v="130.30000000000001"/>
        <n v="131.6"/>
        <n v="133.1"/>
        <n v="132.5"/>
        <n v="134.6"/>
        <n v="135.69999999999999"/>
        <n v="138.80000000000001"/>
        <n v="137.19999999999999"/>
        <n v="141.1"/>
        <n v="140.4"/>
        <n v="139.6"/>
        <n v="139.69999999999999"/>
        <n v="150.19999999999999"/>
        <n v="150.80000000000001"/>
        <n v="150.4"/>
        <n v="147.38333333333335"/>
        <n v="147.56666666666669"/>
        <n v="147.46666666666667"/>
        <n v="150.30000000000001"/>
        <n v="152"/>
        <n v="150.9"/>
        <n v="149.9"/>
        <n v="151.30000000000001"/>
        <n v="149.30000000000001"/>
        <n v="149.80000000000001"/>
        <n v="155.9"/>
        <n v="158.69999999999999"/>
        <n v="156.80000000000001"/>
        <n v="161.5"/>
        <n v="160.19999999999999"/>
        <n v="160.4"/>
        <n v="158.30000000000001"/>
        <n v="159.80000000000001"/>
        <n v="158.80000000000001"/>
        <n v="159.19999999999999"/>
        <n v="161.1"/>
        <n v="165.1"/>
        <n v="165.9"/>
        <n v="165.5"/>
        <n v="166.9"/>
        <n v="163.6"/>
        <n v="164.7"/>
        <n v="164"/>
        <n v="164.5"/>
        <n v="164.1"/>
        <n v="163.9"/>
        <n v="165.2"/>
        <n v="164.2"/>
        <n v="164.4"/>
        <n v="163.19999999999999"/>
        <n v="163.69999999999999"/>
        <n v="163.4"/>
        <n v="165"/>
        <n v="164.6"/>
        <n v="167.1"/>
        <n v="167.3"/>
        <n v="167.2"/>
        <n v="169"/>
        <n v="169.1"/>
        <n v="169.7"/>
        <n v="169.9"/>
        <n v="169.8"/>
        <n v="171"/>
        <n v="170.5"/>
        <n v="171.3"/>
        <n v="170.8"/>
        <n v="170.9"/>
        <n v="171.1"/>
        <n v="172.8"/>
        <n v="174.7"/>
        <n v="173.4"/>
      </sharedItems>
    </cacheField>
    <cacheField name="Sugar and Confectionery" numFmtId="0">
      <sharedItems containsSemiMixedTypes="0" containsString="0" containsNumber="1" minValue="85.3" maxValue="124.2" count="207">
        <n v="106.8"/>
        <n v="105.1"/>
        <n v="106.2"/>
        <n v="105.7"/>
        <n v="103.8"/>
        <n v="105"/>
        <n v="102.6"/>
        <n v="104.2"/>
        <n v="102"/>
        <n v="103.5"/>
        <n v="103.7"/>
        <n v="101.9"/>
        <n v="103.1"/>
        <n v="104.1"/>
        <n v="101.4"/>
        <n v="103.2"/>
        <n v="104.3"/>
        <n v="101.3"/>
        <n v="103.3"/>
        <n v="101"/>
        <n v="100.8"/>
        <n v="103.9"/>
        <n v="100.2"/>
        <n v="102.7"/>
        <n v="103.6"/>
        <n v="99.5"/>
        <n v="102.2"/>
        <n v="102.9"/>
        <n v="98.6"/>
        <n v="101.5"/>
        <n v="101.8"/>
        <n v="96.9"/>
        <n v="101.1"/>
        <n v="95.4"/>
        <n v="99.2"/>
        <n v="101.2"/>
        <n v="96.3"/>
        <n v="99.6"/>
        <n v="100.3"/>
        <n v="102.8"/>
        <n v="104.8"/>
        <n v="104.7"/>
        <n v="104"/>
        <n v="99.8"/>
        <n v="102.1"/>
        <n v="97.8"/>
        <n v="100.6"/>
        <n v="100.5"/>
        <n v="96.1"/>
        <n v="99"/>
        <n v="100"/>
        <n v="95"/>
        <n v="98.3"/>
        <n v="98.9"/>
        <n v="93.2"/>
        <n v="97"/>
        <n v="91.6"/>
        <n v="95.7"/>
        <n v="97.6"/>
        <n v="90.8"/>
        <n v="95.3"/>
        <n v="89.8"/>
        <n v="94.1"/>
        <n v="85.7"/>
        <n v="91.3"/>
        <n v="93.1"/>
        <n v="85.3"/>
        <n v="90.5"/>
        <n v="92.5"/>
        <n v="86.3"/>
        <n v="90.4"/>
        <n v="93.7"/>
        <n v="89.4"/>
        <n v="92.3"/>
        <n v="94.5"/>
        <n v="93.3"/>
        <n v="92.7"/>
        <n v="97.7"/>
        <n v="96.7"/>
        <n v="97.4"/>
        <n v="98.7"/>
        <n v="99.1"/>
        <n v="98.8"/>
        <n v="100.4"/>
        <n v="100.9"/>
        <n v="109.1"/>
        <n v="106.4"/>
        <n v="107.5"/>
        <n v="111.1"/>
        <n v="108.7"/>
        <n v="108.8"/>
        <n v="112"/>
        <n v="109.9"/>
        <n v="110.3"/>
        <n v="113.3"/>
        <n v="111.3"/>
        <n v="112.1"/>
        <n v="114.6"/>
        <n v="112.9"/>
        <n v="113.1"/>
        <n v="115.1"/>
        <n v="113.8"/>
        <n v="113.4"/>
        <n v="115.4"/>
        <n v="114.1"/>
        <n v="115.6"/>
        <n v="115.5"/>
        <n v="114.4"/>
        <n v="114.8"/>
        <n v="117.3"/>
        <n v="116.2"/>
        <n v="119.5"/>
        <n v="116.9"/>
        <n v="120.3"/>
        <n v="118"/>
        <n v="117.4"/>
        <n v="120.8"/>
        <n v="118.5"/>
        <n v="118.6"/>
        <n v="121"/>
        <n v="119.4"/>
        <n v="118.9"/>
        <n v="120.9"/>
        <n v="119.6"/>
        <n v="120"/>
        <n v="121.5"/>
        <n v="120.5"/>
        <n v="122.1"/>
        <n v="121.2"/>
        <n v="122.4"/>
        <n v="121.4"/>
        <n v="122.6"/>
        <n v="121.8"/>
        <n v="122.5"/>
        <n v="123.9"/>
        <n v="123"/>
        <n v="121.9"/>
        <n v="120.7"/>
        <n v="118.8"/>
        <n v="117.9"/>
        <n v="117.1"/>
        <n v="114.2"/>
        <n v="116.1"/>
        <n v="115.2"/>
        <n v="110.6"/>
        <n v="113.7"/>
        <n v="111.8"/>
        <n v="105.3"/>
        <n v="109.6"/>
        <n v="112.4"/>
        <n v="108.4"/>
        <n v="114.3"/>
        <n v="113.5"/>
        <n v="114.7"/>
        <n v="112.3"/>
        <n v="112.8"/>
        <n v="111.9"/>
        <n v="111.6"/>
        <n v="112.5"/>
        <n v="111"/>
        <n v="110.4"/>
        <n v="108.3"/>
        <n v="109"/>
        <n v="109.3"/>
        <n v="111.2"/>
        <n v="110.8"/>
        <n v="111.7"/>
        <n v="112.7"/>
        <n v="114"/>
        <n v="113.2"/>
        <n v="113.6"/>
        <n v="115"/>
        <n v="112.6"/>
        <n v="119.8"/>
        <n v="114.35000000000001"/>
        <n v="116.60000000000001"/>
        <n v="115.10000000000001"/>
        <n v="116.3"/>
        <n v="116.8"/>
        <n v="116.4"/>
        <n v="115.3"/>
        <n v="118.1"/>
        <n v="114.9"/>
        <n v="117.2"/>
        <n v="115.7"/>
        <n v="112.2"/>
        <n v="115.9"/>
        <n v="113.9"/>
        <n v="114.5"/>
        <n v="120.4"/>
        <n v="119.7"/>
        <n v="119.3"/>
        <n v="121.6"/>
        <n v="123.1"/>
        <n v="120.6"/>
        <n v="121.3"/>
        <n v="118.2"/>
        <n v="119"/>
        <n v="119.1"/>
        <n v="119.9"/>
        <n v="119.2"/>
        <n v="120.2"/>
        <n v="122.2"/>
        <n v="121.1"/>
        <n v="123.4"/>
        <n v="122.7"/>
        <n v="124.2"/>
      </sharedItems>
    </cacheField>
    <cacheField name="Spices" numFmtId="0">
      <sharedItems containsSemiMixedTypes="0" containsString="0" containsNumber="1" minValue="101.8" maxValue="221" count="284">
        <n v="103.1"/>
        <n v="101.8"/>
        <n v="102.7"/>
        <n v="102.3"/>
        <n v="102.8"/>
        <n v="103.3"/>
        <n v="102.4"/>
        <n v="103"/>
        <n v="103.2"/>
        <n v="103.5"/>
        <n v="104"/>
        <n v="105"/>
        <n v="104.3"/>
        <n v="105.4"/>
        <n v="106.4"/>
        <n v="105.7"/>
        <n v="107.5"/>
        <n v="106.8"/>
        <n v="106.9"/>
        <n v="108.5"/>
        <n v="107.4"/>
        <n v="107.9"/>
        <n v="109.1"/>
        <n v="108.3"/>
        <n v="108.2"/>
        <n v="109.6"/>
        <n v="108.7"/>
        <n v="109"/>
        <n v="110.3"/>
        <n v="109.4"/>
        <n v="109.8"/>
        <n v="111.9"/>
        <n v="110.5"/>
        <n v="110.2"/>
        <n v="112.7"/>
        <n v="111"/>
        <n v="110.4"/>
        <n v="113.5"/>
        <n v="111.4"/>
        <n v="110.7"/>
        <n v="114.1"/>
        <n v="111.8"/>
        <n v="111.2"/>
        <n v="115.3"/>
        <n v="112.6"/>
        <n v="111.6"/>
        <n v="117"/>
        <n v="113.4"/>
        <n v="112.3"/>
        <n v="118.3"/>
        <n v="114.3"/>
        <n v="113.3"/>
        <n v="120"/>
        <n v="115.5"/>
        <n v="114.6"/>
        <n v="122.1"/>
        <n v="117.1"/>
        <n v="114.9"/>
        <n v="122.9"/>
        <n v="117.6"/>
        <n v="123.8"/>
        <n v="118.1"/>
        <n v="115.8"/>
        <n v="124.6"/>
        <n v="118.7"/>
        <n v="116"/>
        <n v="125.4"/>
        <n v="119.1"/>
        <n v="117.2"/>
        <n v="126.6"/>
        <n v="120.3"/>
        <n v="118.6"/>
        <n v="127.7"/>
        <n v="121.6"/>
        <n v="119.4"/>
        <n v="127.4"/>
        <n v="119.8"/>
        <n v="122.4"/>
        <n v="120.7"/>
        <n v="128.80000000000001"/>
        <n v="123.4"/>
        <n v="123"/>
        <n v="130.5"/>
        <n v="125.5"/>
        <n v="131.5"/>
        <n v="126.1"/>
        <n v="123.9"/>
        <n v="132.69999999999999"/>
        <n v="126.8"/>
        <n v="134.4"/>
        <n v="128.4"/>
        <n v="135.80000000000001"/>
        <n v="129.69999999999999"/>
        <n v="128.30000000000001"/>
        <n v="137.1"/>
        <n v="131.19999999999999"/>
        <n v="128.9"/>
        <n v="138.6"/>
        <n v="132.1"/>
        <n v="129.6"/>
        <n v="139.5"/>
        <n v="132.9"/>
        <n v="130.6"/>
        <n v="139.69999999999999"/>
        <n v="133.6"/>
        <n v="130.80000000000001"/>
        <n v="140.1"/>
        <n v="133.9"/>
        <n v="131.4"/>
        <n v="140.4"/>
        <n v="132.19999999999999"/>
        <n v="141.5"/>
        <n v="135.30000000000001"/>
        <n v="133.1"/>
        <n v="142.80000000000001"/>
        <n v="136.30000000000001"/>
        <n v="134.30000000000001"/>
        <n v="143.9"/>
        <n v="137.5"/>
        <n v="134.9"/>
        <n v="144.6"/>
        <n v="138.1"/>
        <n v="144.80000000000001"/>
        <n v="138.80000000000001"/>
        <n v="145.30000000000001"/>
        <n v="139.30000000000001"/>
        <n v="136.80000000000001"/>
        <n v="145.4"/>
        <n v="145.5"/>
        <n v="140.19999999999999"/>
        <n v="136.9"/>
        <n v="144.9"/>
        <n v="139.6"/>
        <n v="136"/>
        <n v="144"/>
        <n v="138.69999999999999"/>
        <n v="135.6"/>
        <n v="142.6"/>
        <n v="137.9"/>
        <n v="134.1"/>
        <n v="141.30000000000001"/>
        <n v="136.5"/>
        <n v="134"/>
        <n v="139.9"/>
        <n v="133.5"/>
        <n v="137.80000000000001"/>
        <n v="135.19999999999999"/>
        <n v="134.69999999999999"/>
        <n v="137.30000000000001"/>
        <n v="138.30000000000001"/>
        <n v="140.5"/>
        <n v="140.69999999999999"/>
        <n v="137.19999999999999"/>
        <n v="138.19999999999999"/>
        <n v="137.4"/>
        <n v="137.6"/>
        <n v="140"/>
        <n v="138.4"/>
        <n v="140.30000000000001"/>
        <n v="138.9"/>
        <n v="141.1"/>
        <n v="139.4"/>
        <n v="141.19999999999999"/>
        <n v="141"/>
        <n v="140.6"/>
        <n v="141.4"/>
        <n v="140.9"/>
        <n v="139.19999999999999"/>
        <n v="140.80000000000001"/>
        <n v="141.69999999999999"/>
        <n v="141.6"/>
        <n v="142.69999999999999"/>
        <n v="142.5"/>
        <n v="144.19999999999999"/>
        <n v="143.80000000000001"/>
        <n v="144.1"/>
        <n v="145.19999999999999"/>
        <n v="147.30000000000001"/>
        <n v="146.30000000000001"/>
        <n v="147"/>
        <n v="149.1"/>
        <n v="148"/>
        <n v="148.69999999999999"/>
        <n v="151.6"/>
        <n v="149.5"/>
        <n v="150.9"/>
        <n v="152.80000000000001"/>
        <n v="150.4"/>
        <n v="152"/>
        <n v="154"/>
        <n v="151.5"/>
        <n v="153.19999999999999"/>
        <n v="158.69999999999999"/>
        <n v="157.1"/>
        <n v="157.51666666666665"/>
        <n v="155.58333333333334"/>
        <n v="156.88333333333333"/>
        <n v="159.80000000000001"/>
        <n v="158.80000000000001"/>
        <n v="159.5"/>
        <n v="160"/>
        <n v="160.9"/>
        <n v="160.30000000000001"/>
        <n v="161.30000000000001"/>
        <n v="161"/>
        <n v="162"/>
        <n v="161.4"/>
        <n v="161.80000000000001"/>
        <n v="163.5"/>
        <n v="161.9"/>
        <n v="163"/>
        <n v="164.5"/>
        <n v="164"/>
        <n v="165"/>
        <n v="162.5"/>
        <n v="164.2"/>
        <n v="162.6"/>
        <n v="164.4"/>
        <n v="162.80000000000001"/>
        <n v="163.9"/>
        <n v="169.7"/>
        <n v="165.2"/>
        <n v="168.2"/>
        <n v="170"/>
        <n v="165.5"/>
        <n v="168.5"/>
        <n v="168.3"/>
        <n v="169.8"/>
        <n v="166.2"/>
        <n v="168.8"/>
        <n v="170.1"/>
        <n v="170.6"/>
        <n v="166.8"/>
        <n v="169.3"/>
        <n v="170.8"/>
        <n v="167.2"/>
        <n v="169.6"/>
        <n v="171.7"/>
        <n v="170.5"/>
        <n v="173.3"/>
        <n v="172.1"/>
        <n v="175.4"/>
        <n v="172.2"/>
        <n v="174.3"/>
        <n v="178.7"/>
        <n v="174.7"/>
        <n v="177.4"/>
        <n v="182.9"/>
        <n v="178"/>
        <n v="181.3"/>
        <n v="186.6"/>
        <n v="181.4"/>
        <n v="184.9"/>
        <n v="188.9"/>
        <n v="183.5"/>
        <n v="187.1"/>
        <n v="191.8"/>
        <n v="186.3"/>
        <n v="190"/>
        <n v="195.6"/>
        <n v="189.7"/>
        <n v="193.6"/>
        <n v="199.1"/>
        <n v="197.3"/>
        <n v="201.6"/>
        <n v="196.4"/>
        <n v="199.9"/>
        <n v="204.8"/>
        <n v="198.8"/>
        <n v="202.8"/>
        <n v="207.5"/>
        <n v="200.5"/>
        <n v="205.2"/>
        <n v="210.5"/>
        <n v="204.3"/>
        <n v="208.4"/>
        <n v="212.1"/>
        <n v="209.7"/>
        <n v="215.5"/>
        <n v="207.8"/>
        <n v="212.9"/>
        <n v="221"/>
        <n v="211.9"/>
        <n v="218"/>
      </sharedItems>
    </cacheField>
    <cacheField name="Non-alcoholic beverages" numFmtId="0">
      <sharedItems containsSemiMixedTypes="0" containsString="0" containsNumber="1" minValue="104.8" maxValue="178.7" count="270">
        <n v="104.8"/>
        <n v="105.1"/>
        <n v="104.9"/>
        <n v="106"/>
        <n v="105.5"/>
        <n v="105.6"/>
        <n v="107"/>
        <n v="106.2"/>
        <n v="106.5"/>
        <n v="108.2"/>
        <n v="107.2"/>
        <n v="107.4"/>
        <n v="109.1"/>
        <n v="108.1"/>
        <n v="110"/>
        <n v="109"/>
        <n v="110.4"/>
        <n v="109.6"/>
        <n v="109.7"/>
        <n v="110.9"/>
        <n v="110.2"/>
        <n v="111.1"/>
        <n v="110.7"/>
        <n v="111.4"/>
        <n v="111.2"/>
        <n v="111.8"/>
        <n v="112.1"/>
        <n v="112.4"/>
        <n v="112.3"/>
        <n v="112.9"/>
        <n v="112.6"/>
        <n v="113"/>
        <n v="112.2"/>
        <n v="112.7"/>
        <n v="113.5"/>
        <n v="113.2"/>
        <n v="114.2"/>
        <n v="113.7"/>
        <n v="114.9"/>
        <n v="115.6"/>
        <n v="113.8"/>
        <n v="114.8"/>
        <n v="115.8"/>
        <n v="114.4"/>
        <n v="115.2"/>
        <n v="116.5"/>
        <n v="116.8"/>
        <n v="116.1"/>
        <n v="116.4"/>
        <n v="117.3"/>
        <n v="117.9"/>
        <n v="118.8"/>
        <n v="118"/>
        <n v="118.9"/>
        <n v="117"/>
        <n v="118.1"/>
        <n v="119.4"/>
        <n v="117.2"/>
        <n v="118.5"/>
        <n v="120.2"/>
        <n v="117.7"/>
        <n v="119.2"/>
        <n v="121.1"/>
        <n v="119.8"/>
        <n v="121"/>
        <n v="118.3"/>
        <n v="119.9"/>
        <n v="121.5"/>
        <n v="120.4"/>
        <n v="121.9"/>
        <n v="119.1"/>
        <n v="120.7"/>
        <n v="122.3"/>
        <n v="123.1"/>
        <n v="121.7"/>
        <n v="123.3"/>
        <n v="122"/>
        <n v="124.3"/>
        <n v="120.5"/>
        <n v="122.7"/>
        <n v="124.8"/>
        <n v="120.6"/>
        <n v="123"/>
        <n v="124.9"/>
        <n v="125.4"/>
        <n v="123.6"/>
        <n v="126.1"/>
        <n v="124.2"/>
        <n v="126.4"/>
        <n v="121.6"/>
        <n v="124.4"/>
        <n v="127.3"/>
        <n v="125"/>
        <n v="128.1"/>
        <n v="125.5"/>
        <n v="128.80000000000001"/>
        <n v="122.1"/>
        <n v="126"/>
        <n v="128.69999999999999"/>
        <n v="122.5"/>
        <n v="126.2"/>
        <n v="129.1"/>
        <n v="126.6"/>
        <n v="129"/>
        <n v="123.2"/>
        <n v="129.4"/>
        <n v="123.4"/>
        <n v="126.9"/>
        <n v="129.80000000000001"/>
        <n v="127.2"/>
        <n v="130"/>
        <n v="123.8"/>
        <n v="127.4"/>
        <n v="130.30000000000001"/>
        <n v="127.6"/>
        <n v="130.4"/>
        <n v="127.8"/>
        <n v="131.4"/>
        <n v="128.5"/>
        <n v="131.6"/>
        <n v="124.6"/>
        <n v="131.69999999999999"/>
        <n v="131.30000000000001"/>
        <n v="125.1"/>
        <n v="131.9"/>
        <n v="129.19999999999999"/>
        <n v="131.1"/>
        <n v="125.7"/>
        <n v="131.19999999999999"/>
        <n v="125.9"/>
        <n v="130.5"/>
        <n v="128.6"/>
        <n v="126.5"/>
        <n v="129.6"/>
        <n v="132.19999999999999"/>
        <n v="129.9"/>
        <n v="132.80000000000001"/>
        <n v="126.7"/>
        <n v="126.8"/>
        <n v="133.80000000000001"/>
        <n v="133.1"/>
        <n v="127.7"/>
        <n v="130.80000000000001"/>
        <n v="134.6"/>
        <n v="133.6"/>
        <n v="137.5"/>
        <n v="128"/>
        <n v="133.5"/>
        <n v="137.80000000000001"/>
        <n v="137"/>
        <n v="133.30000000000001"/>
        <n v="137.4"/>
        <n v="128.30000000000001"/>
        <n v="133.69999999999999"/>
        <n v="137.69999999999999"/>
        <n v="128.9"/>
        <n v="134"/>
        <n v="138"/>
        <n v="134.19999999999999"/>
        <n v="138.5"/>
        <n v="129.5"/>
        <n v="134.69999999999999"/>
        <n v="134.9"/>
        <n v="135"/>
        <n v="138.6"/>
        <n v="130.19999999999999"/>
        <n v="135.1"/>
        <n v="138.69999999999999"/>
        <n v="135.30000000000001"/>
        <n v="139.30000000000001"/>
        <n v="135.80000000000001"/>
        <n v="139.69999999999999"/>
        <n v="136.1"/>
        <n v="140.1"/>
        <n v="131.5"/>
        <n v="136.5"/>
        <n v="136.69999999999999"/>
        <n v="139.19999999999999"/>
        <n v="136.80000000000001"/>
        <n v="141.18333333333334"/>
        <n v="134.1"/>
        <n v="138.23333333333332"/>
        <n v="142.1"/>
        <n v="135.6"/>
        <n v="139.4"/>
        <n v="143.5"/>
        <n v="140.6"/>
        <n v="145.4"/>
        <n v="142.19999999999999"/>
        <n v="147.4"/>
        <n v="144"/>
        <n v="150"/>
        <n v="141.5"/>
        <n v="146.5"/>
        <n v="153.4"/>
        <n v="143.30000000000001"/>
        <n v="149.19999999999999"/>
        <n v="156.1"/>
        <n v="145.9"/>
        <n v="151.80000000000001"/>
        <n v="160"/>
        <n v="155.5"/>
        <n v="160.6"/>
        <n v="150.69999999999999"/>
        <n v="156.5"/>
        <n v="161.9"/>
        <n v="151.5"/>
        <n v="157.6"/>
        <n v="164.6"/>
        <n v="152"/>
        <n v="159.30000000000001"/>
        <n v="165.5"/>
        <n v="152.30000000000001"/>
        <n v="166.2"/>
        <n v="160.9"/>
        <n v="167.6"/>
        <n v="154.80000000000001"/>
        <n v="162.69999999999999"/>
        <n v="168.3"/>
        <n v="168.8"/>
        <n v="155.4"/>
        <n v="163.19999999999999"/>
        <n v="169.1"/>
        <n v="163.69999999999999"/>
        <n v="169.7"/>
        <n v="164.2"/>
        <n v="169.8"/>
        <n v="156.6"/>
        <n v="164.3"/>
        <n v="170.5"/>
        <n v="156.69999999999999"/>
        <n v="164.7"/>
        <n v="171.2"/>
        <n v="157.1"/>
        <n v="165.3"/>
        <n v="172.4"/>
        <n v="157.5"/>
        <n v="173.2"/>
        <n v="158.5"/>
        <n v="167.1"/>
        <n v="174.2"/>
        <n v="159.1"/>
        <n v="167.9"/>
        <n v="174.5"/>
        <n v="159.80000000000001"/>
        <n v="168.4"/>
        <n v="174.8"/>
        <n v="160.5"/>
        <n v="175.4"/>
        <n v="161.1"/>
        <n v="169.4"/>
        <n v="175.8"/>
        <n v="161.6"/>
        <n v="169.9"/>
        <n v="176.4"/>
        <n v="162.1"/>
        <n v="170.4"/>
        <n v="176.8"/>
        <n v="162.80000000000001"/>
        <n v="171"/>
        <n v="176.9"/>
        <n v="171.4"/>
        <n v="177.6"/>
        <n v="164.9"/>
        <n v="172.3"/>
        <n v="178.2"/>
        <n v="172.9"/>
        <n v="178.7"/>
        <n v="165.9"/>
        <n v="173.4"/>
      </sharedItems>
    </cacheField>
    <cacheField name="Prepared meals, snacks, sweets etc." numFmtId="0">
      <sharedItems containsSemiMixedTypes="0" containsString="0" containsNumber="1" minValue="106.7" maxValue="197.7" count="312">
        <n v="106.7"/>
        <n v="107.9"/>
        <n v="107.3"/>
        <n v="107.7"/>
        <n v="109"/>
        <n v="108.3"/>
        <n v="108.2"/>
        <n v="109.8"/>
        <n v="108.9"/>
        <n v="108.8"/>
        <n v="110.6"/>
        <n v="109.6"/>
        <n v="109.9"/>
        <n v="111.3"/>
        <n v="110.5"/>
        <n v="111"/>
        <n v="112.2"/>
        <n v="111.6"/>
        <n v="112.1"/>
        <n v="113.1"/>
        <n v="112.6"/>
        <n v="114.3"/>
        <n v="113.4"/>
        <n v="114"/>
        <n v="115.4"/>
        <n v="114.6"/>
        <n v="114.9"/>
        <n v="116"/>
        <n v="117.1"/>
        <n v="116.5"/>
        <n v="116.8"/>
        <n v="118.1"/>
        <n v="117.4"/>
        <n v="117.3"/>
        <n v="119"/>
        <n v="117.8"/>
        <n v="119.9"/>
        <n v="118.8"/>
        <n v="118.3"/>
        <n v="120.5"/>
        <n v="119.3"/>
        <n v="118.7"/>
        <n v="121"/>
        <n v="119.8"/>
        <n v="119.2"/>
        <n v="121.7"/>
        <n v="120.4"/>
        <n v="120.1"/>
        <n v="122.4"/>
        <n v="121.2"/>
        <n v="120.9"/>
        <n v="123.4"/>
        <n v="122.1"/>
        <n v="124.7"/>
        <n v="123.1"/>
        <n v="122.6"/>
        <n v="125.2"/>
        <n v="123.8"/>
        <n v="123.2"/>
        <n v="125.9"/>
        <n v="124.5"/>
        <n v="126.9"/>
        <n v="125.6"/>
        <n v="124.8"/>
        <n v="127.6"/>
        <n v="126.1"/>
        <n v="128"/>
        <n v="126.7"/>
        <n v="126.8"/>
        <n v="128.6"/>
        <n v="127.7"/>
        <n v="129.19999999999999"/>
        <n v="128.4"/>
        <n v="128.69999999999999"/>
        <n v="129.5"/>
        <n v="129.1"/>
        <n v="129.80000000000001"/>
        <n v="129.9"/>
        <n v="131.19999999999999"/>
        <n v="130.5"/>
        <n v="130.9"/>
        <n v="131.69999999999999"/>
        <n v="131.1"/>
        <n v="131.4"/>
        <n v="132.5"/>
        <n v="132.1"/>
        <n v="132.69999999999999"/>
        <n v="132.30000000000001"/>
        <n v="133.1"/>
        <n v="132.9"/>
        <n v="133"/>
        <n v="134.19999999999999"/>
        <n v="133.69999999999999"/>
        <n v="134"/>
        <n v="135.1"/>
        <n v="134.69999999999999"/>
        <n v="135.9"/>
        <n v="135.30000000000001"/>
        <n v="136.4"/>
        <n v="135.19999999999999"/>
        <n v="135.80000000000001"/>
        <n v="137"/>
        <n v="135.4"/>
        <n v="136.30000000000001"/>
        <n v="137.4"/>
        <n v="136.69999999999999"/>
        <n v="138.30000000000001"/>
        <n v="139.19999999999999"/>
        <n v="136.9"/>
        <n v="138.1"/>
        <n v="139.9"/>
        <n v="137.5"/>
        <n v="138.80000000000001"/>
        <n v="140.69999999999999"/>
        <n v="139.5"/>
        <n v="141.5"/>
        <n v="140.19999999999999"/>
        <n v="142.4"/>
        <n v="139.6"/>
        <n v="141.1"/>
        <n v="143.1"/>
        <n v="140.30000000000001"/>
        <n v="141.80000000000001"/>
        <n v="143.6"/>
        <n v="140.9"/>
        <n v="142.30000000000001"/>
        <n v="143.9"/>
        <n v="141.6"/>
        <n v="142.80000000000001"/>
        <n v="144.4"/>
        <n v="141.9"/>
        <n v="143.19999999999999"/>
        <n v="145.4"/>
        <n v="144"/>
        <n v="145.5"/>
        <n v="142.6"/>
        <n v="144.19999999999999"/>
        <n v="145.80000000000001"/>
        <n v="142.9"/>
        <n v="144.5"/>
        <n v="146.5"/>
        <n v="144.9"/>
        <n v="147.69999999999999"/>
        <n v="143.69999999999999"/>
        <n v="148.69999999999999"/>
        <n v="146.80000000000001"/>
        <n v="149.30000000000001"/>
        <n v="145"/>
        <n v="147.30000000000001"/>
        <n v="150.30000000000001"/>
        <n v="148.1"/>
        <n v="151.4"/>
        <n v="146"/>
        <n v="148.9"/>
        <n v="146.30000000000001"/>
        <n v="149"/>
        <n v="151.80000000000001"/>
        <n v="149.5"/>
        <n v="151.69999999999999"/>
        <n v="147.1"/>
        <n v="149.6"/>
        <n v="152.80000000000001"/>
        <n v="147.6"/>
        <n v="150.4"/>
        <n v="153.80000000000001"/>
        <n v="148.30000000000001"/>
        <n v="151.19999999999999"/>
        <n v="154.30000000000001"/>
        <n v="154.80000000000001"/>
        <n v="149.4"/>
        <n v="152.30000000000001"/>
        <n v="155.19999999999999"/>
        <n v="153"/>
        <n v="155.9"/>
        <n v="151.30000000000001"/>
        <n v="152"/>
        <n v="154.5"/>
        <n v="156.1"/>
        <n v="152.6"/>
        <n v="156"/>
        <n v="152.9"/>
        <n v="154.6"/>
        <n v="155.80000000000001"/>
        <n v="153.19999999999999"/>
        <n v="156.19999999999999"/>
        <n v="153.5"/>
        <n v="154.9"/>
        <n v="156.4"/>
        <n v="153.9"/>
        <n v="155.5"/>
        <n v="156.6"/>
        <n v="155.1"/>
        <n v="156.69999999999999"/>
        <n v="155.6"/>
        <n v="156.9"/>
        <n v="157.19999999999999"/>
        <n v="156.80000000000001"/>
        <n v="157.4"/>
        <n v="157.1"/>
        <n v="157.69999999999999"/>
        <n v="157.5"/>
        <n v="158.30000000000001"/>
        <n v="158"/>
        <n v="158.69999999999999"/>
        <n v="158.5"/>
        <n v="158.6"/>
        <n v="159.19999999999999"/>
        <n v="159"/>
        <n v="159.1"/>
        <n v="160"/>
        <n v="159.6"/>
        <n v="160.18571428571428"/>
        <n v="160.14285714285714"/>
        <n v="160.17142857142858"/>
        <n v="160.74761904761905"/>
        <n v="160.8238095238095"/>
        <n v="160.79523809523809"/>
        <n v="161.80000000000001"/>
        <n v="161.69999999999999"/>
        <n v="161.5"/>
        <n v="163.30000000000001"/>
        <n v="162.30000000000001"/>
        <n v="161.6"/>
        <n v="164.4"/>
        <n v="162.9"/>
        <n v="161.9"/>
        <n v="164.8"/>
        <n v="163.19999999999999"/>
        <n v="162.69999999999999"/>
        <n v="165.1"/>
        <n v="163.80000000000001"/>
        <n v="163.6"/>
        <n v="166.1"/>
        <n v="164.3"/>
        <n v="167.2"/>
        <n v="165.6"/>
        <n v="165.8"/>
        <n v="169.4"/>
        <n v="167.5"/>
        <n v="166.4"/>
        <n v="170.3"/>
        <n v="168.2"/>
        <n v="166.8"/>
        <n v="171.4"/>
        <n v="168.9"/>
        <n v="169.8"/>
        <n v="171.1"/>
        <n v="170.4"/>
        <n v="171.7"/>
        <n v="173.3"/>
        <n v="172.4"/>
        <n v="171"/>
        <n v="173.5"/>
        <n v="172.2"/>
        <n v="171.9"/>
        <n v="175.1"/>
        <n v="173.9"/>
        <n v="172.8"/>
        <n v="173.6"/>
        <n v="175.9"/>
        <n v="174.7"/>
        <n v="174.3"/>
        <n v="176.8"/>
        <n v="175.5"/>
        <n v="178.2"/>
        <n v="176.5"/>
        <n v="175.8"/>
        <n v="179"/>
        <n v="177.3"/>
        <n v="176.3"/>
        <n v="180"/>
        <n v="178"/>
        <n v="177.4"/>
        <n v="181.5"/>
        <n v="179.3"/>
        <n v="178.9"/>
        <n v="183.3"/>
        <n v="180.9"/>
        <n v="180.4"/>
        <n v="184.9"/>
        <n v="182.5"/>
        <n v="181.9"/>
        <n v="186.3"/>
        <n v="183.9"/>
        <n v="183.1"/>
        <n v="187.7"/>
        <n v="185.2"/>
        <n v="184"/>
        <n v="188.9"/>
        <n v="184.8"/>
        <n v="190.4"/>
        <n v="187.4"/>
        <n v="185.6"/>
        <n v="191.5"/>
        <n v="188.3"/>
        <n v="186.9"/>
        <n v="192.4"/>
        <n v="189.5"/>
        <n v="193.3"/>
        <n v="190.3"/>
        <n v="188.5"/>
        <n v="194.3"/>
        <n v="191.2"/>
        <n v="189.9"/>
        <n v="196.6"/>
        <n v="193"/>
        <n v="190.5"/>
        <n v="197"/>
        <n v="193.5"/>
        <n v="191.1"/>
        <n v="197.7"/>
        <n v="194.2"/>
      </sharedItems>
    </cacheField>
    <cacheField name="Food and beverages" numFmtId="0">
      <sharedItems containsSemiMixedTypes="0" containsString="0" containsNumber="1" minValue="105.5" maxValue="183.3" count="279">
        <n v="105.5"/>
        <n v="105.9"/>
        <n v="105.6"/>
        <n v="106.3"/>
        <n v="107.2"/>
        <n v="106.6"/>
        <n v="107.3"/>
        <n v="106.9"/>
        <n v="107.1"/>
        <n v="108.8"/>
        <n v="107.7"/>
        <n v="108.1"/>
        <n v="111.1"/>
        <n v="109.2"/>
        <n v="110.6"/>
        <n v="115"/>
        <n v="112.2"/>
        <n v="113.1"/>
        <n v="117.5"/>
        <n v="114.7"/>
        <n v="114.9"/>
        <n v="119.6"/>
        <n v="116.6"/>
        <n v="117.8"/>
        <n v="119.2"/>
        <n v="118.3"/>
        <n v="119.8"/>
        <n v="120.8"/>
        <n v="120.2"/>
        <n v="122.5"/>
        <n v="122.9"/>
        <n v="122.6"/>
        <n v="118.7"/>
        <n v="118.4"/>
        <n v="116"/>
        <n v="115.5"/>
        <n v="115.8"/>
        <n v="115.3"/>
        <n v="115.2"/>
        <n v="116.2"/>
        <n v="116.1"/>
        <n v="117.2"/>
        <n v="118.2"/>
        <n v="117.6"/>
        <n v="120"/>
        <n v="118.9"/>
        <n v="119.5"/>
        <n v="122"/>
        <n v="120.4"/>
        <n v="123.3"/>
        <n v="127.1"/>
        <n v="124.7"/>
        <n v="125.3"/>
        <n v="128.9"/>
        <n v="126.6"/>
        <n v="126.7"/>
        <n v="125.8"/>
        <n v="125.1"/>
        <n v="125.4"/>
        <n v="124.9"/>
        <n v="124"/>
        <n v="123.6"/>
        <n v="122.8"/>
        <n v="123.5"/>
        <n v="123.1"/>
        <n v="123.7"/>
        <n v="123.9"/>
        <n v="123.4"/>
        <n v="124.6"/>
        <n v="124.4"/>
        <n v="126.1"/>
        <n v="125"/>
        <n v="128.5"/>
        <n v="127.3"/>
        <n v="127.5"/>
        <n v="129.5"/>
        <n v="128.19999999999999"/>
        <n v="129.80000000000001"/>
        <n v="131.1"/>
        <n v="130.30000000000001"/>
        <n v="131"/>
        <n v="131.5"/>
        <n v="131.19999999999999"/>
        <n v="131.80000000000001"/>
        <n v="132.6"/>
        <n v="132.1"/>
        <n v="132.4"/>
        <n v="133.30000000000001"/>
        <n v="132.69999999999999"/>
        <n v="131.4"/>
        <n v="131.30000000000001"/>
        <n v="129.1"/>
        <n v="129.9"/>
        <n v="130.4"/>
        <n v="133.6"/>
        <n v="134.6"/>
        <n v="134"/>
        <n v="136"/>
        <n v="138.19999999999999"/>
        <n v="136.80000000000001"/>
        <n v="137.6"/>
        <n v="139.80000000000001"/>
        <n v="138.4"/>
        <n v="138"/>
        <n v="137.9"/>
        <n v="137.19999999999999"/>
        <n v="135.69999999999999"/>
        <n v="136.6"/>
        <n v="137.4"/>
        <n v="136.30000000000001"/>
        <n v="137"/>
        <n v="135.19999999999999"/>
        <n v="136.1"/>
        <n v="134.69999999999999"/>
        <n v="132.80000000000001"/>
        <n v="133.69999999999999"/>
        <n v="132"/>
        <n v="133.1"/>
        <n v="133"/>
        <n v="133.4"/>
        <n v="133.5"/>
        <n v="133.80000000000001"/>
        <n v="134.9"/>
        <n v="138.5"/>
        <n v="139"/>
        <n v="140.6"/>
        <n v="140.5"/>
        <n v="139.6"/>
        <n v="140.4"/>
        <n v="139.69999999999999"/>
        <n v="140.1"/>
        <n v="142.4"/>
        <n v="141.5"/>
        <n v="142.1"/>
        <n v="138.80000000000001"/>
        <n v="139.19999999999999"/>
        <n v="138.69999999999999"/>
        <n v="135.6"/>
        <n v="138.6"/>
        <n v="134.80000000000001"/>
        <n v="137.5"/>
        <n v="139.1"/>
        <n v="136.4"/>
        <n v="138.1"/>
        <n v="140"/>
        <n v="139.4"/>
        <n v="142"/>
        <n v="140.30000000000001"/>
        <n v="141.4"/>
        <n v="142.69999999999999"/>
        <n v="141.69999999999999"/>
        <n v="141.30000000000001"/>
        <n v="138.9"/>
        <n v="140.19999999999999"/>
        <n v="137.30000000000001"/>
        <n v="143.80000000000001"/>
        <n v="140.9"/>
        <n v="141"/>
        <n v="145.6"/>
        <n v="143"/>
        <n v="147.69999999999999"/>
        <n v="144.69999999999999"/>
        <n v="144"/>
        <n v="149.1"/>
        <n v="145.9"/>
        <n v="145.5"/>
        <n v="149.5"/>
        <n v="147"/>
        <n v="148.30000000000001"/>
        <n v="151.9"/>
        <n v="149.6"/>
        <n v="150.9"/>
        <n v="153.6"/>
        <n v="154.30000000000001"/>
        <n v="156.30000000000001"/>
        <n v="155"/>
        <n v="153"/>
        <n v="154.4"/>
        <n v="153.5"/>
        <n v="149.80000000000001"/>
        <n v="151.69999999999999"/>
        <n v="150.5"/>
        <n v="148.19999999999999"/>
        <n v="150.1"/>
        <n v="148.9"/>
        <n v="151.4"/>
        <n v="151.33333333333334"/>
        <n v="154.86666666666665"/>
        <n v="152.63333333333333"/>
        <n v="152.30000000000001"/>
        <n v="157"/>
        <n v="154"/>
        <n v="155.30000000000001"/>
        <n v="159.9"/>
        <n v="156.1"/>
        <n v="161.30000000000001"/>
        <n v="158"/>
        <n v="159.6"/>
        <n v="164.4"/>
        <n v="161.4"/>
        <n v="163.4"/>
        <n v="167"/>
        <n v="164.7"/>
        <n v="164.5"/>
        <n v="165.4"/>
        <n v="161"/>
        <n v="154.69999999999999"/>
        <n v="160.80000000000001"/>
        <n v="156.9"/>
        <n v="154.5"/>
        <n v="160.4"/>
        <n v="156.69999999999999"/>
        <n v="155.6"/>
        <n v="162"/>
        <n v="158.69999999999999"/>
        <n v="164.2"/>
        <n v="160.69999999999999"/>
        <n v="160.5"/>
        <n v="166.2"/>
        <n v="162.6"/>
        <n v="161.69999999999999"/>
        <n v="167.9"/>
        <n v="164"/>
        <n v="161.80000000000001"/>
        <n v="167.3"/>
        <n v="162.1"/>
        <n v="165.5"/>
        <n v="171.5"/>
        <n v="167.7"/>
        <n v="167.5"/>
        <n v="173.5"/>
        <n v="169.7"/>
        <n v="165.8"/>
        <n v="172.2"/>
        <n v="168.2"/>
        <n v="164.1"/>
        <n v="170.3"/>
        <n v="166.4"/>
        <n v="163.9"/>
        <n v="170.2"/>
        <n v="166.6"/>
        <n v="168.4"/>
        <n v="168.6"/>
        <n v="174.5"/>
        <n v="170.8"/>
        <n v="177.5"/>
        <n v="173.3"/>
        <n v="172.4"/>
        <n v="179.3"/>
        <n v="174.9"/>
        <n v="172.5"/>
        <n v="179.4"/>
        <n v="175"/>
        <n v="173.9"/>
        <n v="180.4"/>
        <n v="176.3"/>
        <n v="175.5"/>
        <n v="181.8"/>
        <n v="177.8"/>
        <n v="177.4"/>
        <n v="183.3"/>
        <n v="179.6"/>
        <n v="176.6"/>
        <n v="181.3"/>
        <n v="178.3"/>
        <n v="174.4"/>
        <n v="178.6"/>
        <n v="175.9"/>
        <n v="179.5"/>
        <n v="176.7"/>
        <n v="174.8"/>
        <n v="180.7"/>
        <n v="177"/>
        <n v="180.8"/>
        <n v="182.1"/>
        <n v="177.9"/>
        <n v="176.8"/>
        <n v="183.1"/>
        <n v="179.1"/>
      </sharedItems>
    </cacheField>
    <cacheField name="Pan, tobacco and intoxicants" numFmtId="0">
      <sharedItems containsSemiMixedTypes="0" containsString="0" containsNumber="1" minValue="105.1" maxValue="204.2" count="314">
        <n v="105.1"/>
        <n v="105.2"/>
        <n v="105.6"/>
        <n v="106"/>
        <n v="105.7"/>
        <n v="106.5"/>
        <n v="106.8"/>
        <n v="106.6"/>
        <n v="107.1"/>
        <n v="108.5"/>
        <n v="107.5"/>
        <n v="108.1"/>
        <n v="109.8"/>
        <n v="108.6"/>
        <n v="109"/>
        <n v="110.9"/>
        <n v="109.5"/>
        <n v="111.7"/>
        <n v="110.3"/>
        <n v="110.7"/>
        <n v="112.4"/>
        <n v="111.2"/>
        <n v="112.9"/>
        <n v="112"/>
        <n v="112.2"/>
        <n v="113.5"/>
        <n v="112.5"/>
        <n v="112.8"/>
        <n v="114.1"/>
        <n v="113.1"/>
        <n v="113.6"/>
        <n v="115"/>
        <n v="114"/>
        <n v="115.7"/>
        <n v="114.5"/>
        <n v="114.2"/>
        <n v="116.2"/>
        <n v="114.7"/>
        <n v="114.6"/>
        <n v="116.7"/>
        <n v="115.2"/>
        <n v="115.4"/>
        <n v="117.6"/>
        <n v="116"/>
        <n v="116.3"/>
        <n v="118.3"/>
        <n v="116.8"/>
        <n v="117.3"/>
        <n v="119"/>
        <n v="117.8"/>
        <n v="118"/>
        <n v="121"/>
        <n v="118.8"/>
        <n v="123"/>
        <n v="119.9"/>
        <n v="119.5"/>
        <n v="124.3"/>
        <n v="120.8"/>
        <n v="120"/>
        <n v="121.1"/>
        <n v="125.8"/>
        <n v="122.1"/>
        <n v="121.7"/>
        <n v="126.4"/>
        <n v="122.7"/>
        <n v="127.4"/>
        <n v="124"/>
        <n v="124.2"/>
        <n v="128.1"/>
        <n v="125.2"/>
        <n v="124.7"/>
        <n v="128.80000000000001"/>
        <n v="125.7"/>
        <n v="130.1"/>
        <n v="126.9"/>
        <n v="126.7"/>
        <n v="131.30000000000001"/>
        <n v="127.9"/>
        <n v="128.19999999999999"/>
        <n v="132.1"/>
        <n v="129.19999999999999"/>
        <n v="129.4"/>
        <n v="133.1"/>
        <n v="130.4"/>
        <n v="134.19999999999999"/>
        <n v="131.19999999999999"/>
        <n v="131"/>
        <n v="134.69999999999999"/>
        <n v="132"/>
        <n v="131.5"/>
        <n v="135.30000000000001"/>
        <n v="132.5"/>
        <n v="132.19999999999999"/>
        <n v="137.6"/>
        <n v="133.6"/>
        <n v="138.19999999999999"/>
        <n v="134.5"/>
        <n v="139.5"/>
        <n v="135.19999999999999"/>
        <n v="134.4"/>
        <n v="140"/>
        <n v="135.9"/>
        <n v="135"/>
        <n v="140.6"/>
        <n v="136.5"/>
        <n v="135.5"/>
        <n v="141.5"/>
        <n v="137.1"/>
        <n v="136"/>
        <n v="142.19999999999999"/>
        <n v="137.69999999999999"/>
        <n v="137.19999999999999"/>
        <n v="142.69999999999999"/>
        <n v="138.69999999999999"/>
        <n v="138"/>
        <n v="142.9"/>
        <n v="139.30000000000001"/>
        <n v="138.9"/>
        <n v="143.6"/>
        <n v="140.19999999999999"/>
        <n v="139.9"/>
        <n v="143.9"/>
        <n v="141"/>
        <n v="140.9"/>
        <n v="144.30000000000001"/>
        <n v="141.80000000000001"/>
        <n v="141.19999999999999"/>
        <n v="142"/>
        <n v="142.4"/>
        <n v="145"/>
        <n v="143.1"/>
        <n v="145.6"/>
        <n v="143.80000000000001"/>
        <n v="143.69999999999999"/>
        <n v="146.30000000000001"/>
        <n v="144.4"/>
        <n v="144.19999999999999"/>
        <n v="147.5"/>
        <n v="145.1"/>
        <n v="148"/>
        <n v="145.4"/>
        <n v="145.5"/>
        <n v="148.30000000000001"/>
        <n v="146.19999999999999"/>
        <n v="145.80000000000001"/>
        <n v="148.6"/>
        <n v="146.5"/>
        <n v="147.4"/>
        <n v="150.5"/>
        <n v="148.19999999999999"/>
        <n v="149"/>
        <n v="152.1"/>
        <n v="149.80000000000001"/>
        <n v="153.6"/>
        <n v="150.80000000000001"/>
        <n v="154.6"/>
        <n v="151.6"/>
        <n v="156.19999999999999"/>
        <n v="153.19999999999999"/>
        <n v="157"/>
        <n v="154.19999999999999"/>
        <n v="157.69999999999999"/>
        <n v="154.69999999999999"/>
        <n v="153.30000000000001"/>
        <n v="159.30000000000001"/>
        <n v="154.9"/>
        <n v="155.1"/>
        <n v="159.69999999999999"/>
        <n v="156.30000000000001"/>
        <n v="156.1"/>
        <n v="159.19999999999999"/>
        <n v="156.9"/>
        <n v="160.30000000000001"/>
        <n v="157.9"/>
        <n v="157.30000000000001"/>
        <n v="161"/>
        <n v="158.30000000000001"/>
        <n v="161.4"/>
        <n v="157.5"/>
        <n v="156.4"/>
        <n v="162.1"/>
        <n v="163.30000000000001"/>
        <n v="159.6"/>
        <n v="164"/>
        <n v="162.6"/>
        <n v="161.9"/>
        <n v="164.4"/>
        <n v="162.4"/>
        <n v="164.6"/>
        <n v="163"/>
        <n v="162.69999999999999"/>
        <n v="164.7"/>
        <n v="163.19999999999999"/>
        <n v="162.80000000000001"/>
        <n v="164.9"/>
        <n v="163.4"/>
        <n v="162.9"/>
        <n v="165.3"/>
        <n v="163.5"/>
        <n v="166.2"/>
        <n v="164.1"/>
        <n v="164.2"/>
        <n v="166.7"/>
        <n v="164.5"/>
        <n v="167.2"/>
        <n v="165.2"/>
        <n v="165.1"/>
        <n v="167.9"/>
        <n v="165.8"/>
        <n v="165.7"/>
        <n v="168.6"/>
        <n v="166.5"/>
        <n v="166.3"/>
        <n v="169.3"/>
        <n v="167.1"/>
        <n v="169.9"/>
        <n v="167.8"/>
        <n v="170.4"/>
        <n v="168.5"/>
        <n v="170.8"/>
        <n v="169.2"/>
        <n v="169.4"/>
        <n v="172"/>
        <n v="170.1"/>
        <n v="170.5"/>
        <n v="173.3"/>
        <n v="171.2"/>
        <n v="174.57142857142858"/>
        <n v="178.15714285714287"/>
        <n v="175.51428571428571"/>
        <n v="176.6952380952381"/>
        <n v="180.6761904761905"/>
        <n v="177.73571428571427"/>
        <n v="182.4"/>
        <n v="186.7"/>
        <n v="183.5"/>
        <n v="180.9"/>
        <n v="187.2"/>
        <n v="182.6"/>
        <n v="182.9"/>
        <n v="188.7"/>
        <n v="184.4"/>
        <n v="182.7"/>
        <n v="184.3"/>
        <n v="183.4"/>
        <n v="188.8"/>
        <n v="184.8"/>
        <n v="183.6"/>
        <n v="190.2"/>
        <n v="185.4"/>
        <n v="184.6"/>
        <n v="191.8"/>
        <n v="186.5"/>
        <n v="193.3"/>
        <n v="188.3"/>
        <n v="186.1"/>
        <n v="193.5"/>
        <n v="188.1"/>
        <n v="186.8"/>
        <n v="194.4"/>
        <n v="189.6"/>
        <n v="198.2"/>
        <n v="191.9"/>
        <n v="189.1"/>
        <n v="195.6"/>
        <n v="190.8"/>
        <n v="189.7"/>
        <n v="195.5"/>
        <n v="191.2"/>
        <n v="196.5"/>
        <n v="192.1"/>
        <n v="190.5"/>
        <n v="197"/>
        <n v="192.7"/>
        <n v="191.4"/>
        <n v="192.9"/>
        <n v="196.8"/>
        <n v="192.4"/>
        <n v="190.7"/>
        <n v="196.4"/>
        <n v="192.2"/>
        <n v="191.5"/>
        <n v="192.8"/>
        <n v="192.3"/>
        <n v="197.5"/>
        <n v="193.7"/>
        <n v="197.1"/>
        <n v="193.9"/>
        <n v="194.1"/>
        <n v="198.3"/>
        <n v="194.3"/>
        <n v="193.2"/>
        <n v="198.6"/>
        <n v="194.6"/>
        <n v="198.7"/>
        <n v="195"/>
        <n v="194.5"/>
        <n v="199.7"/>
        <n v="195.9"/>
        <n v="194.9"/>
        <n v="200.1"/>
        <n v="196.3"/>
        <n v="200.6"/>
        <n v="196.9"/>
        <n v="201.1"/>
        <n v="197.3"/>
        <n v="201.6"/>
        <n v="202.7"/>
        <n v="199.5"/>
        <n v="198.4"/>
        <n v="203.5"/>
        <n v="199.9"/>
        <n v="204.2"/>
        <n v="201"/>
      </sharedItems>
    </cacheField>
    <cacheField name="Clothing" numFmtId="0">
      <sharedItems containsSemiMixedTypes="0" containsString="0" containsNumber="1" minValue="105.9" maxValue="191.2"/>
    </cacheField>
    <cacheField name="Footwear" numFmtId="0">
      <sharedItems containsSemiMixedTypes="0" containsString="0" containsNumber="1" minValue="105" maxValue="187.9"/>
    </cacheField>
    <cacheField name="Clothing and footwear" numFmtId="0">
      <sharedItems containsSemiMixedTypes="0" containsString="0" containsNumber="1" minValue="105.8" maxValue="190.8"/>
    </cacheField>
    <cacheField name="Household goods and services" numFmtId="0">
      <sharedItems containsSemiMixedTypes="0" containsString="0" containsNumber="1" minValue="104.8" maxValue="179.8"/>
    </cacheField>
    <cacheField name="Health" numFmtId="0">
      <sharedItems containsSemiMixedTypes="0" containsString="0" containsNumber="1" minValue="104" maxValue="187.8"/>
    </cacheField>
    <cacheField name="Transport and communication" numFmtId="0">
      <sharedItems containsSemiMixedTypes="0" containsString="0" containsNumber="1" minValue="103.2" maxValue="169.7"/>
    </cacheField>
    <cacheField name="Recreation and amusement" numFmtId="0">
      <sharedItems containsSemiMixedTypes="0" containsString="0" containsNumber="1" minValue="102.9" maxValue="173.8"/>
    </cacheField>
    <cacheField name="Education" numFmtId="0">
      <sharedItems containsSemiMixedTypes="0" containsString="0" containsNumber="1" minValue="103.5" maxValue="180.3"/>
    </cacheField>
    <cacheField name="Personal care and effects" numFmtId="0">
      <sharedItems containsSemiMixedTypes="0" containsString="0" containsNumber="1" minValue="102.1" maxValue="185.6"/>
    </cacheField>
    <cacheField name="Miscellaneous" numFmtId="0">
      <sharedItems containsSemiMixedTypes="0" containsString="0" containsNumber="1" minValue="103.7" maxValue="179.5"/>
    </cacheField>
    <cacheField name="General index" numFmtId="0">
      <sharedItems containsSemiMixedTypes="0" containsString="0" containsNumber="1" minValue="104" maxValue="179.8"/>
    </cacheField>
    <cacheField name="Food" numFmtId="164">
      <sharedItems containsSemiMixedTypes="0" containsString="0" containsNumber="1" minValue="105.48571428571427" maxValue="181.37857142857141"/>
    </cacheField>
    <cacheField name="Clothing &amp; Footwear" numFmtId="0">
      <sharedItems containsSemiMixedTypes="0" containsString="0" containsNumber="1" minValue="105.56666666666666" maxValue="189.9666666666667"/>
    </cacheField>
    <cacheField name="Housing" numFmtId="0">
      <sharedItems containsSemiMixedTypes="0" containsString="0" containsNumber="1" minValue="100.3" maxValue="175.6"/>
    </cacheField>
    <cacheField name="Fuel and light" numFmtId="0">
      <sharedItems containsSemiMixedTypes="0" containsString="0" containsNumber="1" minValue="105.4" maxValue="183.4"/>
    </cacheField>
    <cacheField name="Miscellneaous" numFmtId="164">
      <sharedItems containsSemiMixedTypes="0" containsString="0" containsNumber="1" minValue="103.8" maxValue="179.38333333333333"/>
    </cacheField>
    <cacheField name="Total CPI" numFmtId="164">
      <sharedItems containsSemiMixedTypes="0" containsString="0" containsNumber="1" minValue="520.89523809523803" maxValue="905.35000000000014"/>
    </cacheField>
  </cacheFields>
  <extLst>
    <ext xmlns:x14="http://schemas.microsoft.com/office/spreadsheetml/2009/9/main" uri="{725AE2AE-9491-48be-B2B4-4EB974FC3084}">
      <x14:pivotCacheDefinition pivotCacheId="124651076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n v="107.5"/>
    <n v="106.3"/>
    <n v="108.1"/>
    <n v="104.9"/>
    <n v="106.1"/>
    <n v="103.9"/>
    <n v="101.9"/>
    <n v="106.1"/>
    <n v="106.8"/>
    <n v="103.1"/>
    <n v="104.8"/>
    <n v="106.7"/>
    <n v="105.5"/>
    <n v="105.1"/>
    <n v="106.5"/>
    <n v="105.8"/>
    <n v="106.4"/>
    <n v="100.3"/>
    <x v="0"/>
    <n v="104.8"/>
    <n v="104"/>
    <n v="103.3"/>
    <n v="103.4"/>
    <n v="103.8"/>
    <n v="104.7"/>
    <n v="104"/>
    <x v="0"/>
  </r>
  <r>
    <x v="1"/>
    <x v="0"/>
    <x v="0"/>
    <n v="110.5"/>
    <n v="109.1"/>
    <n v="113"/>
    <n v="103.6"/>
    <n v="103.4"/>
    <n v="102.3"/>
    <n v="102.9"/>
    <n v="105.8"/>
    <n v="105.1"/>
    <n v="101.8"/>
    <n v="105.1"/>
    <n v="107.9"/>
    <n v="105.9"/>
    <n v="105.2"/>
    <n v="105.9"/>
    <n v="105"/>
    <n v="105.8"/>
    <n v="100.3"/>
    <x v="1"/>
    <n v="104.8"/>
    <n v="104.1"/>
    <n v="103.2"/>
    <n v="102.9"/>
    <n v="103.5"/>
    <n v="104.3"/>
    <n v="103.7"/>
    <x v="1"/>
  </r>
  <r>
    <x v="2"/>
    <x v="0"/>
    <x v="0"/>
    <n v="108.4"/>
    <n v="107.3"/>
    <n v="110"/>
    <n v="104.4"/>
    <n v="105.1"/>
    <n v="103.2"/>
    <n v="102.2"/>
    <n v="106"/>
    <n v="106.2"/>
    <n v="102.7"/>
    <n v="104.9"/>
    <n v="107.3"/>
    <n v="105.6"/>
    <n v="105.1"/>
    <n v="106.3"/>
    <n v="105.5"/>
    <n v="106.2"/>
    <n v="100.3"/>
    <x v="0"/>
    <n v="104.8"/>
    <n v="104"/>
    <n v="103.2"/>
    <n v="103.1"/>
    <n v="103.6"/>
    <n v="104.5"/>
    <n v="103.9"/>
    <x v="2"/>
  </r>
  <r>
    <x v="0"/>
    <x v="0"/>
    <x v="1"/>
    <n v="109.2"/>
    <n v="108.7"/>
    <n v="110.2"/>
    <n v="105.4"/>
    <n v="106.7"/>
    <n v="104"/>
    <n v="102.4"/>
    <n v="105.9"/>
    <n v="105.7"/>
    <n v="103.1"/>
    <n v="105.1"/>
    <n v="107.7"/>
    <n v="106.3"/>
    <n v="105.6"/>
    <n v="107.1"/>
    <n v="106.3"/>
    <n v="107"/>
    <n v="100.4"/>
    <x v="2"/>
    <n v="105.2"/>
    <n v="104.4"/>
    <n v="103.9"/>
    <n v="104"/>
    <n v="104.1"/>
    <n v="104.6"/>
    <n v="104.4"/>
    <x v="3"/>
  </r>
  <r>
    <x v="1"/>
    <x v="0"/>
    <x v="1"/>
    <n v="112.9"/>
    <n v="112.9"/>
    <n v="116.9"/>
    <n v="104"/>
    <n v="103.5"/>
    <n v="103.1"/>
    <n v="104.9"/>
    <n v="104.1"/>
    <n v="103.8"/>
    <n v="102.3"/>
    <n v="106"/>
    <n v="109"/>
    <n v="107.2"/>
    <n v="106"/>
    <n v="106.6"/>
    <n v="105.5"/>
    <n v="106.4"/>
    <n v="100.4"/>
    <x v="3"/>
    <n v="105.2"/>
    <n v="104.7"/>
    <n v="104.4"/>
    <n v="103.3"/>
    <n v="103.7"/>
    <n v="104.3"/>
    <n v="104.3"/>
    <x v="4"/>
  </r>
  <r>
    <x v="2"/>
    <x v="0"/>
    <x v="1"/>
    <n v="110.4"/>
    <n v="110.2"/>
    <n v="112.8"/>
    <n v="104.9"/>
    <n v="105.5"/>
    <n v="103.6"/>
    <n v="103.2"/>
    <n v="105.3"/>
    <n v="105.1"/>
    <n v="102.8"/>
    <n v="105.5"/>
    <n v="108.3"/>
    <n v="106.6"/>
    <n v="105.7"/>
    <n v="106.9"/>
    <n v="106"/>
    <n v="106.8"/>
    <n v="100.4"/>
    <x v="4"/>
    <n v="105.2"/>
    <n v="104.5"/>
    <n v="104.2"/>
    <n v="103.6"/>
    <n v="103.9"/>
    <n v="104.5"/>
    <n v="104.4"/>
    <x v="5"/>
  </r>
  <r>
    <x v="0"/>
    <x v="0"/>
    <x v="2"/>
    <n v="110.2"/>
    <n v="108.8"/>
    <n v="109.9"/>
    <n v="105.6"/>
    <n v="106.2"/>
    <n v="105.7"/>
    <n v="101.4"/>
    <n v="105.7"/>
    <n v="105"/>
    <n v="103.3"/>
    <n v="105.6"/>
    <n v="108.2"/>
    <n v="106.6"/>
    <n v="106.5"/>
    <n v="107.6"/>
    <n v="106.8"/>
    <n v="107.5"/>
    <n v="100.4"/>
    <x v="5"/>
    <n v="105.6"/>
    <n v="104.7"/>
    <n v="104.6"/>
    <n v="104"/>
    <n v="104.3"/>
    <n v="104.3"/>
    <n v="104.6"/>
    <x v="6"/>
  </r>
  <r>
    <x v="1"/>
    <x v="0"/>
    <x v="2"/>
    <n v="113.9"/>
    <n v="111.4"/>
    <n v="113.2"/>
    <n v="104.3"/>
    <n v="102.7"/>
    <n v="104.9"/>
    <n v="103.8"/>
    <n v="103.5"/>
    <n v="102.6"/>
    <n v="102.4"/>
    <n v="107"/>
    <n v="109.8"/>
    <n v="107.3"/>
    <n v="106.8"/>
    <n v="107.2"/>
    <n v="106"/>
    <n v="107"/>
    <n v="100.4"/>
    <x v="4"/>
    <n v="105.7"/>
    <n v="105.2"/>
    <n v="105.5"/>
    <n v="103.5"/>
    <n v="103.8"/>
    <n v="104.2"/>
    <n v="104.9"/>
    <x v="7"/>
  </r>
  <r>
    <x v="2"/>
    <x v="0"/>
    <x v="2"/>
    <n v="111.4"/>
    <n v="109.7"/>
    <n v="111.2"/>
    <n v="105.1"/>
    <n v="104.9"/>
    <n v="105.3"/>
    <n v="102.2"/>
    <n v="105"/>
    <n v="104.2"/>
    <n v="103"/>
    <n v="106.2"/>
    <n v="108.9"/>
    <n v="106.9"/>
    <n v="106.6"/>
    <n v="107.4"/>
    <n v="106.5"/>
    <n v="107.3"/>
    <n v="100.4"/>
    <x v="5"/>
    <n v="105.6"/>
    <n v="104.9"/>
    <n v="105.1"/>
    <n v="103.7"/>
    <n v="104"/>
    <n v="104.3"/>
    <n v="104.7"/>
    <x v="8"/>
  </r>
  <r>
    <x v="0"/>
    <x v="0"/>
    <x v="3"/>
    <n v="110.2"/>
    <n v="109.5"/>
    <n v="106.9"/>
    <n v="106.3"/>
    <n v="105.7"/>
    <n v="108.3"/>
    <n v="103.4"/>
    <n v="105.7"/>
    <n v="104.2"/>
    <n v="103.2"/>
    <n v="106.5"/>
    <n v="108.8"/>
    <n v="107.1"/>
    <n v="107.1"/>
    <n v="108.1"/>
    <n v="107.4"/>
    <n v="108"/>
    <n v="100.5"/>
    <x v="6"/>
    <n v="106.1"/>
    <n v="105.1"/>
    <n v="104.4"/>
    <n v="104.5"/>
    <n v="104.8"/>
    <n v="102.7"/>
    <n v="104.6"/>
    <x v="9"/>
  </r>
  <r>
    <x v="1"/>
    <x v="0"/>
    <x v="3"/>
    <n v="114.6"/>
    <n v="113.4"/>
    <n v="106"/>
    <n v="104.7"/>
    <n v="102.1"/>
    <n v="109.5"/>
    <n v="109.7"/>
    <n v="104.6"/>
    <n v="102"/>
    <n v="103.5"/>
    <n v="108.2"/>
    <n v="110.6"/>
    <n v="108.8"/>
    <n v="108.5"/>
    <n v="107.9"/>
    <n v="106.4"/>
    <n v="107.7"/>
    <n v="100.5"/>
    <x v="7"/>
    <n v="106.5"/>
    <n v="105.7"/>
    <n v="105"/>
    <n v="104"/>
    <n v="105.2"/>
    <n v="103.2"/>
    <n v="105.1"/>
    <x v="10"/>
  </r>
  <r>
    <x v="2"/>
    <x v="0"/>
    <x v="3"/>
    <n v="111.6"/>
    <n v="110.9"/>
    <n v="106.6"/>
    <n v="105.7"/>
    <n v="104.4"/>
    <n v="108.9"/>
    <n v="105.5"/>
    <n v="105.3"/>
    <n v="103.5"/>
    <n v="103.3"/>
    <n v="107.2"/>
    <n v="109.6"/>
    <n v="107.7"/>
    <n v="107.5"/>
    <n v="108"/>
    <n v="107"/>
    <n v="107.9"/>
    <n v="100.5"/>
    <x v="6"/>
    <n v="106.3"/>
    <n v="105.3"/>
    <n v="104.7"/>
    <n v="104.2"/>
    <n v="105"/>
    <n v="102.9"/>
    <n v="104.8"/>
    <x v="11"/>
  </r>
  <r>
    <x v="0"/>
    <x v="0"/>
    <x v="4"/>
    <n v="110.9"/>
    <n v="109.8"/>
    <n v="105.9"/>
    <n v="107.5"/>
    <n v="105.3"/>
    <n v="108.1"/>
    <n v="107.3"/>
    <n v="106.1"/>
    <n v="103.7"/>
    <n v="104"/>
    <n v="107.4"/>
    <n v="109.9"/>
    <n v="108.1"/>
    <n v="108.1"/>
    <n v="108.8"/>
    <n v="107.9"/>
    <n v="108.6"/>
    <n v="100.5"/>
    <x v="8"/>
    <n v="106.8"/>
    <n v="105.7"/>
    <n v="104.1"/>
    <n v="105"/>
    <n v="105.5"/>
    <n v="102.1"/>
    <n v="104.8"/>
    <x v="12"/>
  </r>
  <r>
    <x v="1"/>
    <x v="0"/>
    <x v="4"/>
    <n v="115.4"/>
    <n v="114.2"/>
    <n v="102.7"/>
    <n v="105.5"/>
    <n v="101.5"/>
    <n v="110.6"/>
    <n v="123.7"/>
    <n v="105.2"/>
    <n v="101.9"/>
    <n v="105"/>
    <n v="109.1"/>
    <n v="111.3"/>
    <n v="111.1"/>
    <n v="109.8"/>
    <n v="108.5"/>
    <n v="106.7"/>
    <n v="108.3"/>
    <n v="100.5"/>
    <x v="9"/>
    <n v="107.1"/>
    <n v="106.2"/>
    <n v="103.9"/>
    <n v="104.6"/>
    <n v="105.7"/>
    <n v="102.6"/>
    <n v="104.9"/>
    <x v="13"/>
  </r>
  <r>
    <x v="2"/>
    <x v="0"/>
    <x v="4"/>
    <n v="112.3"/>
    <n v="111.3"/>
    <n v="104.7"/>
    <n v="106.8"/>
    <n v="103.9"/>
    <n v="109.3"/>
    <n v="112.9"/>
    <n v="105.8"/>
    <n v="103.1"/>
    <n v="104.3"/>
    <n v="108.1"/>
    <n v="110.5"/>
    <n v="109.2"/>
    <n v="108.6"/>
    <n v="108.7"/>
    <n v="107.4"/>
    <n v="108.5"/>
    <n v="100.5"/>
    <x v="10"/>
    <n v="106.9"/>
    <n v="105.9"/>
    <n v="104"/>
    <n v="104.8"/>
    <n v="105.6"/>
    <n v="102.3"/>
    <n v="104.8"/>
    <x v="14"/>
  </r>
  <r>
    <x v="0"/>
    <x v="0"/>
    <x v="5"/>
    <n v="112.3"/>
    <n v="112.1"/>
    <n v="108.1"/>
    <n v="108.3"/>
    <n v="105.9"/>
    <n v="109.2"/>
    <n v="118"/>
    <n v="106.8"/>
    <n v="104.1"/>
    <n v="105.4"/>
    <n v="108.2"/>
    <n v="111"/>
    <n v="110.6"/>
    <n v="109"/>
    <n v="109.7"/>
    <n v="108.8"/>
    <n v="109.5"/>
    <n v="106.6"/>
    <x v="11"/>
    <n v="107.5"/>
    <n v="106.3"/>
    <n v="105"/>
    <n v="105.6"/>
    <n v="106.5"/>
    <n v="102.5"/>
    <n v="105.5"/>
    <x v="15"/>
  </r>
  <r>
    <x v="1"/>
    <x v="0"/>
    <x v="5"/>
    <n v="117"/>
    <n v="120.1"/>
    <n v="112.5"/>
    <n v="107.3"/>
    <n v="101.3"/>
    <n v="112.4"/>
    <n v="143.6"/>
    <n v="105.4"/>
    <n v="101.4"/>
    <n v="106.4"/>
    <n v="110"/>
    <n v="112.2"/>
    <n v="115"/>
    <n v="110.9"/>
    <n v="109.2"/>
    <n v="107.2"/>
    <n v="108.9"/>
    <n v="106.6"/>
    <x v="12"/>
    <n v="107.7"/>
    <n v="106.5"/>
    <n v="105.2"/>
    <n v="105.2"/>
    <n v="108.1"/>
    <n v="103.3"/>
    <n v="106.1"/>
    <x v="16"/>
  </r>
  <r>
    <x v="2"/>
    <x v="0"/>
    <x v="5"/>
    <n v="113.8"/>
    <n v="114.9"/>
    <n v="109.8"/>
    <n v="107.9"/>
    <n v="104.2"/>
    <n v="110.7"/>
    <n v="126.7"/>
    <n v="106.3"/>
    <n v="103.2"/>
    <n v="105.7"/>
    <n v="109"/>
    <n v="111.6"/>
    <n v="112.2"/>
    <n v="109.5"/>
    <n v="109.5"/>
    <n v="108.1"/>
    <n v="109.3"/>
    <n v="106.6"/>
    <x v="13"/>
    <n v="107.6"/>
    <n v="106.4"/>
    <n v="105.1"/>
    <n v="105.4"/>
    <n v="107.4"/>
    <n v="102.8"/>
    <n v="105.8"/>
    <x v="17"/>
  </r>
  <r>
    <x v="0"/>
    <x v="0"/>
    <x v="6"/>
    <n v="113.4"/>
    <n v="114.9"/>
    <n v="110.5"/>
    <n v="109.3"/>
    <n v="106.2"/>
    <n v="110.3"/>
    <n v="129.19999999999999"/>
    <n v="107.1"/>
    <n v="104.3"/>
    <n v="106.4"/>
    <n v="109.1"/>
    <n v="112.1"/>
    <n v="113.1"/>
    <n v="109.8"/>
    <n v="110.5"/>
    <n v="109.5"/>
    <n v="110.3"/>
    <n v="107.7"/>
    <x v="14"/>
    <n v="108.3"/>
    <n v="106.9"/>
    <n v="106.8"/>
    <n v="106.4"/>
    <n v="107.8"/>
    <n v="102.5"/>
    <n v="106.5"/>
    <x v="18"/>
  </r>
  <r>
    <x v="1"/>
    <x v="0"/>
    <x v="6"/>
    <n v="117.8"/>
    <n v="119.2"/>
    <n v="114"/>
    <n v="108.3"/>
    <n v="101.1"/>
    <n v="113.2"/>
    <n v="160.9"/>
    <n v="105.1"/>
    <n v="101.3"/>
    <n v="107.5"/>
    <n v="110.4"/>
    <n v="113.1"/>
    <n v="117.5"/>
    <n v="111.7"/>
    <n v="109.8"/>
    <n v="107.8"/>
    <n v="109.5"/>
    <n v="107.7"/>
    <x v="15"/>
    <n v="108.1"/>
    <n v="107.1"/>
    <n v="107.3"/>
    <n v="105.9"/>
    <n v="110.1"/>
    <n v="103.2"/>
    <n v="107.3"/>
    <x v="19"/>
  </r>
  <r>
    <x v="2"/>
    <x v="0"/>
    <x v="6"/>
    <n v="114.8"/>
    <n v="116.4"/>
    <n v="111.9"/>
    <n v="108.9"/>
    <n v="104.3"/>
    <n v="111.7"/>
    <n v="140"/>
    <n v="106.4"/>
    <n v="103.3"/>
    <n v="106.8"/>
    <n v="109.6"/>
    <n v="112.6"/>
    <n v="114.7"/>
    <n v="110.3"/>
    <n v="110.2"/>
    <n v="108.8"/>
    <n v="110"/>
    <n v="107.7"/>
    <x v="16"/>
    <n v="108.2"/>
    <n v="107"/>
    <n v="107.1"/>
    <n v="106.1"/>
    <n v="109.1"/>
    <n v="102.8"/>
    <n v="106.9"/>
    <x v="20"/>
  </r>
  <r>
    <x v="0"/>
    <x v="0"/>
    <x v="7"/>
    <n v="114.3"/>
    <n v="115.4"/>
    <n v="111.1"/>
    <n v="110"/>
    <n v="106.4"/>
    <n v="110.8"/>
    <n v="138.9"/>
    <n v="107.4"/>
    <n v="104.1"/>
    <n v="106.9"/>
    <n v="109.7"/>
    <n v="112.6"/>
    <n v="114.9"/>
    <n v="110.7"/>
    <n v="111.3"/>
    <n v="110.2"/>
    <n v="111.1"/>
    <n v="108.9"/>
    <x v="17"/>
    <n v="108.7"/>
    <n v="107.5"/>
    <n v="107.8"/>
    <n v="106.8"/>
    <n v="108.7"/>
    <n v="105"/>
    <n v="107.5"/>
    <x v="21"/>
  </r>
  <r>
    <x v="1"/>
    <x v="0"/>
    <x v="7"/>
    <n v="118.3"/>
    <n v="120.4"/>
    <n v="112.7"/>
    <n v="108.9"/>
    <n v="101.1"/>
    <n v="108.7"/>
    <n v="177"/>
    <n v="104.7"/>
    <n v="101"/>
    <n v="108.5"/>
    <n v="110.9"/>
    <n v="114.3"/>
    <n v="119.6"/>
    <n v="112.4"/>
    <n v="110.6"/>
    <n v="108.3"/>
    <n v="110.2"/>
    <n v="108.9"/>
    <x v="18"/>
    <n v="108.7"/>
    <n v="107.6"/>
    <n v="108.1"/>
    <n v="106.5"/>
    <n v="110.8"/>
    <n v="106"/>
    <n v="108.3"/>
    <x v="22"/>
  </r>
  <r>
    <x v="2"/>
    <x v="0"/>
    <x v="7"/>
    <n v="115.6"/>
    <n v="117.2"/>
    <n v="111.7"/>
    <n v="109.6"/>
    <n v="104.5"/>
    <n v="109.8"/>
    <n v="151.80000000000001"/>
    <n v="106.5"/>
    <n v="103.1"/>
    <n v="107.4"/>
    <n v="110.2"/>
    <n v="113.4"/>
    <n v="116.6"/>
    <n v="111.2"/>
    <n v="111"/>
    <n v="109.4"/>
    <n v="110.7"/>
    <n v="108.9"/>
    <x v="19"/>
    <n v="108.7"/>
    <n v="107.5"/>
    <n v="108"/>
    <n v="106.6"/>
    <n v="109.9"/>
    <n v="105.4"/>
    <n v="107.9"/>
    <x v="23"/>
  </r>
  <r>
    <x v="0"/>
    <x v="0"/>
    <x v="8"/>
    <n v="115.4"/>
    <n v="115.7"/>
    <n v="111.7"/>
    <n v="111"/>
    <n v="107.4"/>
    <n v="110.9"/>
    <n v="154"/>
    <n v="108.1"/>
    <n v="104.2"/>
    <n v="107.9"/>
    <n v="110.4"/>
    <n v="114"/>
    <n v="117.8"/>
    <n v="111.7"/>
    <n v="112.7"/>
    <n v="111.4"/>
    <n v="112.5"/>
    <n v="109.7"/>
    <x v="20"/>
    <n v="109.6"/>
    <n v="108.3"/>
    <n v="109.3"/>
    <n v="107.7"/>
    <n v="109.8"/>
    <n v="106.7"/>
    <n v="108.7"/>
    <x v="24"/>
  </r>
  <r>
    <x v="1"/>
    <x v="0"/>
    <x v="8"/>
    <n v="118.6"/>
    <n v="119.1"/>
    <n v="113.2"/>
    <n v="109.6"/>
    <n v="101.7"/>
    <n v="103.2"/>
    <n v="174.3"/>
    <n v="105.1"/>
    <n v="100.8"/>
    <n v="109.1"/>
    <n v="111.1"/>
    <n v="115.4"/>
    <n v="119.2"/>
    <n v="112.9"/>
    <n v="111.4"/>
    <n v="109"/>
    <n v="111.1"/>
    <n v="109.7"/>
    <x v="14"/>
    <n v="109.6"/>
    <n v="107.9"/>
    <n v="110.4"/>
    <n v="107.4"/>
    <n v="111.2"/>
    <n v="106.9"/>
    <n v="109.4"/>
    <x v="25"/>
  </r>
  <r>
    <x v="2"/>
    <x v="0"/>
    <x v="8"/>
    <n v="116.4"/>
    <n v="116.9"/>
    <n v="112.3"/>
    <n v="110.5"/>
    <n v="105.3"/>
    <n v="107.3"/>
    <n v="160.9"/>
    <n v="107.1"/>
    <n v="103.1"/>
    <n v="108.3"/>
    <n v="110.7"/>
    <n v="114.6"/>
    <n v="118.3"/>
    <n v="112"/>
    <n v="112.2"/>
    <n v="110.4"/>
    <n v="111.9"/>
    <n v="109.7"/>
    <x v="21"/>
    <n v="109.6"/>
    <n v="108.1"/>
    <n v="109.9"/>
    <n v="107.5"/>
    <n v="110.6"/>
    <n v="106.8"/>
    <n v="109"/>
    <x v="26"/>
  </r>
  <r>
    <x v="0"/>
    <x v="0"/>
    <x v="9"/>
    <n v="116.3"/>
    <n v="115.4"/>
    <n v="112.6"/>
    <n v="111.7"/>
    <n v="107.7"/>
    <n v="113.2"/>
    <n v="164.9"/>
    <n v="108.3"/>
    <n v="103.9"/>
    <n v="108.2"/>
    <n v="111.1"/>
    <n v="114.9"/>
    <n v="119.8"/>
    <n v="112.2"/>
    <n v="113.6"/>
    <n v="112.3"/>
    <n v="113.4"/>
    <n v="110.5"/>
    <x v="22"/>
    <n v="110.4"/>
    <n v="108.9"/>
    <n v="109.3"/>
    <n v="108.3"/>
    <n v="110.2"/>
    <n v="107.5"/>
    <n v="109.1"/>
    <x v="27"/>
  </r>
  <r>
    <x v="1"/>
    <x v="0"/>
    <x v="9"/>
    <n v="118.9"/>
    <n v="118.1"/>
    <n v="114.5"/>
    <n v="110.4"/>
    <n v="102.3"/>
    <n v="106.2"/>
    <n v="183.5"/>
    <n v="105.3"/>
    <n v="100.2"/>
    <n v="109.6"/>
    <n v="111.4"/>
    <n v="116"/>
    <n v="120.8"/>
    <n v="113.5"/>
    <n v="112.5"/>
    <n v="109.7"/>
    <n v="112"/>
    <n v="110.5"/>
    <x v="19"/>
    <n v="110.2"/>
    <n v="108.2"/>
    <n v="109.7"/>
    <n v="108"/>
    <n v="111.3"/>
    <n v="107.3"/>
    <n v="109.4"/>
    <x v="28"/>
  </r>
  <r>
    <x v="2"/>
    <x v="0"/>
    <x v="9"/>
    <n v="117.1"/>
    <n v="116.3"/>
    <n v="113.3"/>
    <n v="111.2"/>
    <n v="105.7"/>
    <n v="109.9"/>
    <n v="171.2"/>
    <n v="107.3"/>
    <n v="102.7"/>
    <n v="108.7"/>
    <n v="111.2"/>
    <n v="115.4"/>
    <n v="120.2"/>
    <n v="112.5"/>
    <n v="113.2"/>
    <n v="111.2"/>
    <n v="112.8"/>
    <n v="110.5"/>
    <x v="23"/>
    <n v="110.3"/>
    <n v="108.6"/>
    <n v="109.5"/>
    <n v="108.1"/>
    <n v="110.8"/>
    <n v="107.4"/>
    <n v="109.2"/>
    <x v="29"/>
  </r>
  <r>
    <x v="0"/>
    <x v="0"/>
    <x v="10"/>
    <n v="117.3"/>
    <n v="114.9"/>
    <n v="116.2"/>
    <n v="112.8"/>
    <n v="108.9"/>
    <n v="116.6"/>
    <n v="178.1"/>
    <n v="109.1"/>
    <n v="103.6"/>
    <n v="109"/>
    <n v="111.8"/>
    <n v="116"/>
    <n v="122.5"/>
    <n v="112.8"/>
    <n v="114.6"/>
    <n v="113.1"/>
    <n v="114.4"/>
    <n v="111.1"/>
    <x v="24"/>
    <n v="111.3"/>
    <n v="109.7"/>
    <n v="109.6"/>
    <n v="108.7"/>
    <n v="111"/>
    <n v="108.2"/>
    <n v="109.8"/>
    <x v="30"/>
  </r>
  <r>
    <x v="1"/>
    <x v="0"/>
    <x v="10"/>
    <n v="119.8"/>
    <n v="116.3"/>
    <n v="122.6"/>
    <n v="112"/>
    <n v="103.2"/>
    <n v="110"/>
    <n v="192.8"/>
    <n v="106.3"/>
    <n v="99.5"/>
    <n v="110.3"/>
    <n v="111.8"/>
    <n v="117.1"/>
    <n v="122.9"/>
    <n v="114.1"/>
    <n v="113.5"/>
    <n v="110.3"/>
    <n v="113"/>
    <n v="111.1"/>
    <x v="25"/>
    <n v="110.9"/>
    <n v="108.6"/>
    <n v="109.5"/>
    <n v="108.5"/>
    <n v="111.3"/>
    <n v="107.9"/>
    <n v="109.6"/>
    <x v="31"/>
  </r>
  <r>
    <x v="2"/>
    <x v="0"/>
    <x v="10"/>
    <n v="118.1"/>
    <n v="115.4"/>
    <n v="118.7"/>
    <n v="112.5"/>
    <n v="106.8"/>
    <n v="113.5"/>
    <n v="183.1"/>
    <n v="108.2"/>
    <n v="102.2"/>
    <n v="109.4"/>
    <n v="111.8"/>
    <n v="116.5"/>
    <n v="122.6"/>
    <n v="113.1"/>
    <n v="114.2"/>
    <n v="111.9"/>
    <n v="113.8"/>
    <n v="111.1"/>
    <x v="22"/>
    <n v="111.1"/>
    <n v="109.3"/>
    <n v="109.5"/>
    <n v="108.6"/>
    <n v="111.2"/>
    <n v="108.1"/>
    <n v="109.7"/>
    <x v="32"/>
  </r>
  <r>
    <x v="0"/>
    <x v="0"/>
    <x v="11"/>
    <n v="118.4"/>
    <n v="115.9"/>
    <n v="120.4"/>
    <n v="113.8"/>
    <n v="109.5"/>
    <n v="115.5"/>
    <n v="145.69999999999999"/>
    <n v="109.5"/>
    <n v="102.9"/>
    <n v="109.8"/>
    <n v="112.1"/>
    <n v="116.8"/>
    <n v="118.7"/>
    <n v="113.6"/>
    <n v="115.8"/>
    <n v="114"/>
    <n v="115.5"/>
    <n v="110.7"/>
    <x v="26"/>
    <n v="112.1"/>
    <n v="110.1"/>
    <n v="109.9"/>
    <n v="109.2"/>
    <n v="111.6"/>
    <n v="108.1"/>
    <n v="110.1"/>
    <x v="27"/>
  </r>
  <r>
    <x v="1"/>
    <x v="0"/>
    <x v="11"/>
    <n v="120.5"/>
    <n v="118.1"/>
    <n v="128.5"/>
    <n v="112.8"/>
    <n v="103.4"/>
    <n v="110.7"/>
    <n v="144.80000000000001"/>
    <n v="107.1"/>
    <n v="98.6"/>
    <n v="111.9"/>
    <n v="112.1"/>
    <n v="118.1"/>
    <n v="117.8"/>
    <n v="115"/>
    <n v="114.2"/>
    <n v="110.9"/>
    <n v="113.7"/>
    <n v="110.7"/>
    <x v="27"/>
    <n v="111.3"/>
    <n v="109"/>
    <n v="109.7"/>
    <n v="108.9"/>
    <n v="111.4"/>
    <n v="107.7"/>
    <n v="109.8"/>
    <x v="33"/>
  </r>
  <r>
    <x v="2"/>
    <x v="0"/>
    <x v="11"/>
    <n v="119.1"/>
    <n v="116.7"/>
    <n v="123.5"/>
    <n v="113.4"/>
    <n v="107.3"/>
    <n v="113.3"/>
    <n v="145.4"/>
    <n v="108.7"/>
    <n v="101.5"/>
    <n v="110.5"/>
    <n v="112.1"/>
    <n v="117.4"/>
    <n v="118.4"/>
    <n v="114"/>
    <n v="115.2"/>
    <n v="112.7"/>
    <n v="114.8"/>
    <n v="110.7"/>
    <x v="28"/>
    <n v="111.7"/>
    <n v="109.7"/>
    <n v="109.8"/>
    <n v="109"/>
    <n v="111.5"/>
    <n v="107.9"/>
    <n v="110"/>
    <x v="34"/>
  </r>
  <r>
    <x v="0"/>
    <x v="1"/>
    <x v="0"/>
    <n v="118.9"/>
    <n v="117.1"/>
    <n v="120.5"/>
    <n v="114.4"/>
    <n v="109"/>
    <n v="115.5"/>
    <n v="123.9"/>
    <n v="109.6"/>
    <n v="101.8"/>
    <n v="110.2"/>
    <n v="112.4"/>
    <n v="117.3"/>
    <n v="116"/>
    <n v="114"/>
    <n v="116.5"/>
    <n v="114.5"/>
    <n v="116.2"/>
    <n v="111.6"/>
    <x v="29"/>
    <n v="112.6"/>
    <n v="110.6"/>
    <n v="110.5"/>
    <n v="109.6"/>
    <n v="111.8"/>
    <n v="108.3"/>
    <n v="110.6"/>
    <x v="24"/>
  </r>
  <r>
    <x v="1"/>
    <x v="1"/>
    <x v="0"/>
    <n v="121.2"/>
    <n v="122"/>
    <n v="129.9"/>
    <n v="113.6"/>
    <n v="102.9"/>
    <n v="112.1"/>
    <n v="118.9"/>
    <n v="107.5"/>
    <n v="96.9"/>
    <n v="112.7"/>
    <n v="112.1"/>
    <n v="119"/>
    <n v="115.5"/>
    <n v="115.7"/>
    <n v="114.8"/>
    <n v="111.3"/>
    <n v="114.3"/>
    <n v="111.6"/>
    <x v="30"/>
    <n v="111.9"/>
    <n v="109.7"/>
    <n v="110.8"/>
    <n v="109.8"/>
    <n v="111.5"/>
    <n v="108"/>
    <n v="110.5"/>
    <x v="35"/>
  </r>
  <r>
    <x v="2"/>
    <x v="1"/>
    <x v="0"/>
    <n v="119.6"/>
    <n v="118.8"/>
    <n v="124.1"/>
    <n v="114.1"/>
    <n v="106.8"/>
    <n v="113.9"/>
    <n v="122.2"/>
    <n v="108.9"/>
    <n v="100.2"/>
    <n v="111"/>
    <n v="112.3"/>
    <n v="118.1"/>
    <n v="115.8"/>
    <n v="114.5"/>
    <n v="115.8"/>
    <n v="113.2"/>
    <n v="115.4"/>
    <n v="111.6"/>
    <x v="31"/>
    <n v="112.3"/>
    <n v="110.3"/>
    <n v="110.7"/>
    <n v="109.7"/>
    <n v="111.6"/>
    <n v="108.2"/>
    <n v="110.6"/>
    <x v="36"/>
  </r>
  <r>
    <x v="0"/>
    <x v="1"/>
    <x v="1"/>
    <n v="119.4"/>
    <n v="117.7"/>
    <n v="121.2"/>
    <n v="115"/>
    <n v="109"/>
    <n v="116.6"/>
    <n v="116"/>
    <n v="109.8"/>
    <n v="101.1"/>
    <n v="110.4"/>
    <n v="112.9"/>
    <n v="117.8"/>
    <n v="115.3"/>
    <n v="114.2"/>
    <n v="117.1"/>
    <n v="114.5"/>
    <n v="116.7"/>
    <n v="112.5"/>
    <x v="32"/>
    <n v="112.9"/>
    <n v="110.9"/>
    <n v="110.8"/>
    <n v="109.9"/>
    <n v="112"/>
    <n v="108.7"/>
    <n v="110.9"/>
    <x v="28"/>
  </r>
  <r>
    <x v="1"/>
    <x v="1"/>
    <x v="1"/>
    <n v="121.9"/>
    <n v="122"/>
    <n v="124.5"/>
    <n v="115.2"/>
    <n v="102.5"/>
    <n v="114.1"/>
    <n v="111.5"/>
    <n v="108.2"/>
    <n v="95.4"/>
    <n v="113.5"/>
    <n v="112.1"/>
    <n v="119.9"/>
    <n v="115.2"/>
    <n v="116.2"/>
    <n v="115.3"/>
    <n v="111.7"/>
    <n v="114.7"/>
    <n v="112.5"/>
    <x v="20"/>
    <n v="112.6"/>
    <n v="110.4"/>
    <n v="111.3"/>
    <n v="110.3"/>
    <n v="111.6"/>
    <n v="108.7"/>
    <n v="111"/>
    <x v="37"/>
  </r>
  <r>
    <x v="2"/>
    <x v="1"/>
    <x v="1"/>
    <n v="120.2"/>
    <n v="119.2"/>
    <n v="122.5"/>
    <n v="115.1"/>
    <n v="106.6"/>
    <n v="115.4"/>
    <n v="114.5"/>
    <n v="109.3"/>
    <n v="99.2"/>
    <n v="111.4"/>
    <n v="112.6"/>
    <n v="118.8"/>
    <n v="115.3"/>
    <n v="114.7"/>
    <n v="116.4"/>
    <n v="113.3"/>
    <n v="115.9"/>
    <n v="112.5"/>
    <x v="33"/>
    <n v="112.8"/>
    <n v="110.7"/>
    <n v="111.1"/>
    <n v="110.1"/>
    <n v="111.8"/>
    <n v="108.7"/>
    <n v="110.9"/>
    <x v="36"/>
  </r>
  <r>
    <x v="0"/>
    <x v="1"/>
    <x v="2"/>
    <n v="120.1"/>
    <n v="118.1"/>
    <n v="120.7"/>
    <n v="116.1"/>
    <n v="109.3"/>
    <n v="119.6"/>
    <n v="117.9"/>
    <n v="110.2"/>
    <n v="101.2"/>
    <n v="110.7"/>
    <n v="113"/>
    <n v="118.3"/>
    <n v="116.2"/>
    <n v="114.6"/>
    <n v="117.5"/>
    <n v="114.9"/>
    <n v="117.2"/>
    <n v="113.2"/>
    <x v="34"/>
    <n v="113.4"/>
    <n v="111.4"/>
    <n v="111.2"/>
    <n v="110.2"/>
    <n v="112.4"/>
    <n v="108.9"/>
    <n v="111.3"/>
    <x v="38"/>
  </r>
  <r>
    <x v="1"/>
    <x v="1"/>
    <x v="2"/>
    <n v="122.1"/>
    <n v="121.4"/>
    <n v="121.5"/>
    <n v="116.2"/>
    <n v="102.8"/>
    <n v="117.7"/>
    <n v="113.3"/>
    <n v="108.9"/>
    <n v="96.3"/>
    <n v="114.1"/>
    <n v="112.2"/>
    <n v="120.5"/>
    <n v="116"/>
    <n v="116.7"/>
    <n v="115.8"/>
    <n v="112.1"/>
    <n v="115.2"/>
    <n v="113.2"/>
    <x v="23"/>
    <n v="113"/>
    <n v="110.8"/>
    <n v="111.6"/>
    <n v="110.9"/>
    <n v="111.8"/>
    <n v="109.2"/>
    <n v="111.4"/>
    <x v="26"/>
  </r>
  <r>
    <x v="2"/>
    <x v="1"/>
    <x v="2"/>
    <n v="120.7"/>
    <n v="119.3"/>
    <n v="121"/>
    <n v="116.1"/>
    <n v="106.9"/>
    <n v="118.7"/>
    <n v="116.3"/>
    <n v="109.8"/>
    <n v="99.6"/>
    <n v="111.8"/>
    <n v="112.7"/>
    <n v="119.3"/>
    <n v="116.1"/>
    <n v="115.2"/>
    <n v="116.8"/>
    <n v="113.7"/>
    <n v="116.4"/>
    <n v="113.2"/>
    <x v="35"/>
    <n v="113.2"/>
    <n v="111.2"/>
    <n v="111.4"/>
    <n v="110.6"/>
    <n v="112"/>
    <n v="109"/>
    <n v="111.3"/>
    <x v="24"/>
  </r>
  <r>
    <x v="0"/>
    <x v="1"/>
    <x v="3"/>
    <n v="120.2"/>
    <n v="118.9"/>
    <n v="118.1"/>
    <n v="117"/>
    <n v="109.7"/>
    <n v="125.5"/>
    <n v="120.5"/>
    <n v="111"/>
    <n v="102.6"/>
    <n v="111.2"/>
    <n v="113.5"/>
    <n v="118.7"/>
    <n v="117.2"/>
    <n v="115.4"/>
    <n v="118.1"/>
    <n v="116.1"/>
    <n v="117.8"/>
    <n v="113.9"/>
    <x v="34"/>
    <n v="113.7"/>
    <n v="111.8"/>
    <n v="111.2"/>
    <n v="110.5"/>
    <n v="113"/>
    <n v="108.9"/>
    <n v="111.5"/>
    <x v="39"/>
  </r>
  <r>
    <x v="1"/>
    <x v="1"/>
    <x v="3"/>
    <n v="122.5"/>
    <n v="121.7"/>
    <n v="113.3"/>
    <n v="117"/>
    <n v="103.1"/>
    <n v="126.7"/>
    <n v="121.2"/>
    <n v="111"/>
    <n v="100.3"/>
    <n v="115.3"/>
    <n v="112.7"/>
    <n v="121"/>
    <n v="118.2"/>
    <n v="117.6"/>
    <n v="116.3"/>
    <n v="112.5"/>
    <n v="115.7"/>
    <n v="113.9"/>
    <x v="23"/>
    <n v="113.4"/>
    <n v="111"/>
    <n v="111.2"/>
    <n v="111.2"/>
    <n v="112.5"/>
    <n v="109.1"/>
    <n v="111.4"/>
    <x v="40"/>
  </r>
  <r>
    <x v="2"/>
    <x v="1"/>
    <x v="3"/>
    <n v="120.9"/>
    <n v="119.9"/>
    <n v="116.2"/>
    <n v="117"/>
    <n v="107.3"/>
    <n v="126.1"/>
    <n v="120.7"/>
    <n v="111"/>
    <n v="101.8"/>
    <n v="112.6"/>
    <n v="113.2"/>
    <n v="119.8"/>
    <n v="117.6"/>
    <n v="116"/>
    <n v="117.4"/>
    <n v="114.6"/>
    <n v="117"/>
    <n v="113.9"/>
    <x v="35"/>
    <n v="113.6"/>
    <n v="111.5"/>
    <n v="111.2"/>
    <n v="110.9"/>
    <n v="112.7"/>
    <n v="109"/>
    <n v="111.5"/>
    <x v="41"/>
  </r>
  <r>
    <x v="0"/>
    <x v="1"/>
    <x v="4"/>
    <n v="120.3"/>
    <n v="120.2"/>
    <n v="116.9"/>
    <n v="118"/>
    <n v="110.1"/>
    <n v="126.3"/>
    <n v="123.9"/>
    <n v="111.5"/>
    <n v="103.5"/>
    <n v="111.6"/>
    <n v="114.2"/>
    <n v="119.2"/>
    <n v="118.2"/>
    <n v="116.3"/>
    <n v="118.7"/>
    <n v="116.8"/>
    <n v="118.5"/>
    <n v="114.3"/>
    <x v="34"/>
    <n v="114.1"/>
    <n v="112.1"/>
    <n v="111.4"/>
    <n v="110.9"/>
    <n v="113.1"/>
    <n v="108.9"/>
    <n v="111.8"/>
    <x v="42"/>
  </r>
  <r>
    <x v="1"/>
    <x v="1"/>
    <x v="4"/>
    <n v="122.7"/>
    <n v="124.1"/>
    <n v="114.2"/>
    <n v="119.1"/>
    <n v="103.5"/>
    <n v="129.19999999999999"/>
    <n v="127"/>
    <n v="112.6"/>
    <n v="101.3"/>
    <n v="117"/>
    <n v="112.9"/>
    <n v="121.7"/>
    <n v="120"/>
    <n v="118.3"/>
    <n v="116.8"/>
    <n v="112.9"/>
    <n v="116.2"/>
    <n v="114.3"/>
    <x v="20"/>
    <n v="114.1"/>
    <n v="111.2"/>
    <n v="111.3"/>
    <n v="111.5"/>
    <n v="112.9"/>
    <n v="109.3"/>
    <n v="111.7"/>
    <x v="43"/>
  </r>
  <r>
    <x v="2"/>
    <x v="1"/>
    <x v="4"/>
    <n v="121.1"/>
    <n v="121.6"/>
    <n v="115.9"/>
    <n v="118.4"/>
    <n v="107.7"/>
    <n v="127.7"/>
    <n v="125"/>
    <n v="111.9"/>
    <n v="102.8"/>
    <n v="113.4"/>
    <n v="113.7"/>
    <n v="120.4"/>
    <n v="118.9"/>
    <n v="116.8"/>
    <n v="118"/>
    <n v="115.2"/>
    <n v="117.6"/>
    <n v="114.3"/>
    <x v="35"/>
    <n v="114.1"/>
    <n v="111.8"/>
    <n v="111.3"/>
    <n v="111.2"/>
    <n v="113"/>
    <n v="109.1"/>
    <n v="111.8"/>
    <x v="44"/>
  </r>
  <r>
    <x v="0"/>
    <x v="1"/>
    <x v="5"/>
    <n v="120.7"/>
    <n v="121.6"/>
    <n v="116.1"/>
    <n v="119.3"/>
    <n v="110.3"/>
    <n v="125.8"/>
    <n v="129.30000000000001"/>
    <n v="112.2"/>
    <n v="103.6"/>
    <n v="112.3"/>
    <n v="114.9"/>
    <n v="120.1"/>
    <n v="119.5"/>
    <n v="117.3"/>
    <n v="119.7"/>
    <n v="117.3"/>
    <n v="119.3"/>
    <n v="113.9"/>
    <x v="36"/>
    <n v="114.9"/>
    <n v="112.8"/>
    <n v="112.2"/>
    <n v="111.4"/>
    <n v="114.3"/>
    <n v="108"/>
    <n v="112.3"/>
    <x v="45"/>
  </r>
  <r>
    <x v="1"/>
    <x v="1"/>
    <x v="5"/>
    <n v="123.1"/>
    <n v="125.9"/>
    <n v="115.4"/>
    <n v="120.4"/>
    <n v="103.4"/>
    <n v="131.19999999999999"/>
    <n v="137.5"/>
    <n v="112.8"/>
    <n v="101.4"/>
    <n v="118.3"/>
    <n v="113.2"/>
    <n v="122.4"/>
    <n v="122"/>
    <n v="119"/>
    <n v="117.4"/>
    <n v="113.2"/>
    <n v="116.7"/>
    <n v="113.9"/>
    <x v="37"/>
    <n v="114.3"/>
    <n v="111.4"/>
    <n v="111.5"/>
    <n v="111.8"/>
    <n v="115.1"/>
    <n v="108.7"/>
    <n v="112.2"/>
    <x v="46"/>
  </r>
  <r>
    <x v="2"/>
    <x v="1"/>
    <x v="5"/>
    <n v="121.5"/>
    <n v="123.1"/>
    <n v="115.8"/>
    <n v="119.7"/>
    <n v="107.8"/>
    <n v="128.30000000000001"/>
    <n v="132.1"/>
    <n v="112.4"/>
    <n v="102.9"/>
    <n v="114.3"/>
    <n v="114.2"/>
    <n v="121.2"/>
    <n v="120.4"/>
    <n v="117.8"/>
    <n v="118.8"/>
    <n v="115.6"/>
    <n v="118.3"/>
    <n v="113.9"/>
    <x v="32"/>
    <n v="114.6"/>
    <n v="112.3"/>
    <n v="111.8"/>
    <n v="111.6"/>
    <n v="114.8"/>
    <n v="108.3"/>
    <n v="112.3"/>
    <x v="47"/>
  </r>
  <r>
    <x v="0"/>
    <x v="1"/>
    <x v="6"/>
    <n v="121.7"/>
    <n v="122.5"/>
    <n v="117.7"/>
    <n v="120.6"/>
    <n v="110.4"/>
    <n v="129.1"/>
    <n v="150.1"/>
    <n v="113.2"/>
    <n v="104.8"/>
    <n v="113.3"/>
    <n v="115.6"/>
    <n v="120.9"/>
    <n v="123.3"/>
    <n v="118"/>
    <n v="120.7"/>
    <n v="118.3"/>
    <n v="120.3"/>
    <n v="114.8"/>
    <x v="38"/>
    <n v="115.4"/>
    <n v="113.4"/>
    <n v="113.2"/>
    <n v="111.8"/>
    <n v="115.5"/>
    <n v="108.8"/>
    <n v="113.1"/>
    <x v="48"/>
  </r>
  <r>
    <x v="1"/>
    <x v="1"/>
    <x v="6"/>
    <n v="123.8"/>
    <n v="126.4"/>
    <n v="118"/>
    <n v="121.6"/>
    <n v="103.5"/>
    <n v="133.69999999999999"/>
    <n v="172.4"/>
    <n v="113.1"/>
    <n v="102.7"/>
    <n v="120"/>
    <n v="113.8"/>
    <n v="123.4"/>
    <n v="127.1"/>
    <n v="121"/>
    <n v="118"/>
    <n v="113.6"/>
    <n v="117.4"/>
    <n v="114.8"/>
    <x v="22"/>
    <n v="114.9"/>
    <n v="111.5"/>
    <n v="113"/>
    <n v="112.4"/>
    <n v="117.8"/>
    <n v="109.7"/>
    <n v="113.5"/>
    <x v="49"/>
  </r>
  <r>
    <x v="2"/>
    <x v="1"/>
    <x v="6"/>
    <n v="122.4"/>
    <n v="123.9"/>
    <n v="117.8"/>
    <n v="121"/>
    <n v="107.9"/>
    <n v="131.19999999999999"/>
    <n v="157.69999999999999"/>
    <n v="113.2"/>
    <n v="104.1"/>
    <n v="115.5"/>
    <n v="114.8"/>
    <n v="122.1"/>
    <n v="124.7"/>
    <n v="118.8"/>
    <n v="119.6"/>
    <n v="116.3"/>
    <n v="119.1"/>
    <n v="114.8"/>
    <x v="39"/>
    <n v="115.2"/>
    <n v="112.7"/>
    <n v="113.1"/>
    <n v="112.1"/>
    <n v="116.8"/>
    <n v="109.2"/>
    <n v="113.3"/>
    <x v="50"/>
  </r>
  <r>
    <x v="0"/>
    <x v="1"/>
    <x v="7"/>
    <n v="121.8"/>
    <n v="122.8"/>
    <n v="117.8"/>
    <n v="121.9"/>
    <n v="110.6"/>
    <n v="129.69999999999999"/>
    <n v="161.1"/>
    <n v="114.1"/>
    <n v="105.1"/>
    <n v="114.6"/>
    <n v="115.8"/>
    <n v="121.7"/>
    <n v="125.3"/>
    <n v="118.8"/>
    <n v="120.9"/>
    <n v="118.8"/>
    <n v="120.7"/>
    <n v="115.5"/>
    <x v="40"/>
    <n v="115.9"/>
    <n v="114"/>
    <n v="113.2"/>
    <n v="112.2"/>
    <n v="116.2"/>
    <n v="109.4"/>
    <n v="113.5"/>
    <x v="51"/>
  </r>
  <r>
    <x v="1"/>
    <x v="1"/>
    <x v="7"/>
    <n v="124.8"/>
    <n v="127.3"/>
    <n v="116.5"/>
    <n v="122.2"/>
    <n v="103.6"/>
    <n v="132.69999999999999"/>
    <n v="181.9"/>
    <n v="115.2"/>
    <n v="102.7"/>
    <n v="122.1"/>
    <n v="114.4"/>
    <n v="124.7"/>
    <n v="128.9"/>
    <n v="123"/>
    <n v="118.6"/>
    <n v="114.1"/>
    <n v="117.9"/>
    <n v="115.5"/>
    <x v="41"/>
    <n v="115.3"/>
    <n v="112.2"/>
    <n v="112.5"/>
    <n v="112.9"/>
    <n v="119.2"/>
    <n v="110.5"/>
    <n v="113.9"/>
    <x v="52"/>
  </r>
  <r>
    <x v="2"/>
    <x v="1"/>
    <x v="7"/>
    <n v="122.7"/>
    <n v="124.4"/>
    <n v="117.3"/>
    <n v="122"/>
    <n v="108"/>
    <n v="131.1"/>
    <n v="168.2"/>
    <n v="114.5"/>
    <n v="104.3"/>
    <n v="117.1"/>
    <n v="115.2"/>
    <n v="123.1"/>
    <n v="126.6"/>
    <n v="119.9"/>
    <n v="120"/>
    <n v="116.8"/>
    <n v="119.6"/>
    <n v="115.5"/>
    <x v="42"/>
    <n v="115.6"/>
    <n v="113.3"/>
    <n v="112.8"/>
    <n v="112.6"/>
    <n v="118"/>
    <n v="109.9"/>
    <n v="113.7"/>
    <x v="53"/>
  </r>
  <r>
    <x v="0"/>
    <x v="1"/>
    <x v="8"/>
    <n v="122.3"/>
    <n v="122.4"/>
    <n v="117.8"/>
    <n v="122.7"/>
    <n v="110.4"/>
    <n v="129.80000000000001"/>
    <n v="158.80000000000001"/>
    <n v="115"/>
    <n v="104.7"/>
    <n v="114.9"/>
    <n v="116.5"/>
    <n v="122.6"/>
    <n v="125.3"/>
    <n v="119.5"/>
    <n v="121.7"/>
    <n v="119.2"/>
    <n v="121.3"/>
    <n v="116.1"/>
    <x v="43"/>
    <n v="116.7"/>
    <n v="114.5"/>
    <n v="112.8"/>
    <n v="112.6"/>
    <n v="116.6"/>
    <n v="109.1"/>
    <n v="113.7"/>
    <x v="54"/>
  </r>
  <r>
    <x v="1"/>
    <x v="1"/>
    <x v="8"/>
    <n v="124.2"/>
    <n v="125.4"/>
    <n v="116.4"/>
    <n v="122.7"/>
    <n v="103.5"/>
    <n v="124.5"/>
    <n v="168.6"/>
    <n v="116.9"/>
    <n v="101.9"/>
    <n v="122.9"/>
    <n v="114.8"/>
    <n v="125.2"/>
    <n v="126.7"/>
    <n v="124.3"/>
    <n v="119.2"/>
    <n v="114.5"/>
    <n v="118.4"/>
    <n v="116.1"/>
    <x v="41"/>
    <n v="115.5"/>
    <n v="112.3"/>
    <n v="111.2"/>
    <n v="113.4"/>
    <n v="120"/>
    <n v="110"/>
    <n v="113.6"/>
    <x v="50"/>
  </r>
  <r>
    <x v="2"/>
    <x v="1"/>
    <x v="8"/>
    <n v="122.9"/>
    <n v="123.5"/>
    <n v="117.3"/>
    <n v="122.7"/>
    <n v="107.9"/>
    <n v="127.3"/>
    <n v="162.1"/>
    <n v="115.6"/>
    <n v="103.8"/>
    <n v="117.6"/>
    <n v="115.8"/>
    <n v="123.8"/>
    <n v="125.8"/>
    <n v="120.8"/>
    <n v="120.7"/>
    <n v="117.2"/>
    <n v="120.1"/>
    <n v="116.1"/>
    <x v="44"/>
    <n v="116.1"/>
    <n v="113.7"/>
    <n v="112"/>
    <n v="113.1"/>
    <n v="118.6"/>
    <n v="109.5"/>
    <n v="113.7"/>
    <x v="55"/>
  </r>
  <r>
    <x v="0"/>
    <x v="1"/>
    <x v="9"/>
    <n v="122.6"/>
    <n v="122.5"/>
    <n v="118.3"/>
    <n v="123.2"/>
    <n v="110.5"/>
    <n v="128.9"/>
    <n v="155.30000000000001"/>
    <n v="115.5"/>
    <n v="104"/>
    <n v="115.3"/>
    <n v="116.8"/>
    <n v="123.2"/>
    <n v="125.1"/>
    <n v="120"/>
    <n v="122.7"/>
    <n v="120.3"/>
    <n v="122.3"/>
    <n v="116.7"/>
    <x v="45"/>
    <n v="117.5"/>
    <n v="115.3"/>
    <n v="112.6"/>
    <n v="113"/>
    <n v="116.9"/>
    <n v="109.3"/>
    <n v="114"/>
    <x v="56"/>
  </r>
  <r>
    <x v="1"/>
    <x v="1"/>
    <x v="9"/>
    <n v="124.6"/>
    <n v="126.1"/>
    <n v="117.8"/>
    <n v="123.1"/>
    <n v="103.5"/>
    <n v="123.5"/>
    <n v="159.6"/>
    <n v="117.4"/>
    <n v="101.2"/>
    <n v="123.8"/>
    <n v="115.2"/>
    <n v="125.9"/>
    <n v="125.8"/>
    <n v="124.3"/>
    <n v="119.6"/>
    <n v="114.9"/>
    <n v="118.9"/>
    <n v="116.7"/>
    <x v="46"/>
    <n v="115.8"/>
    <n v="112.6"/>
    <n v="111"/>
    <n v="113.6"/>
    <n v="120.2"/>
    <n v="110.1"/>
    <n v="113.7"/>
    <x v="57"/>
  </r>
  <r>
    <x v="2"/>
    <x v="1"/>
    <x v="9"/>
    <n v="123.2"/>
    <n v="123.8"/>
    <n v="118.1"/>
    <n v="123.2"/>
    <n v="107.9"/>
    <n v="126.4"/>
    <n v="156.80000000000001"/>
    <n v="116.1"/>
    <n v="103.1"/>
    <n v="118.1"/>
    <n v="116.1"/>
    <n v="124.5"/>
    <n v="125.4"/>
    <n v="121.1"/>
    <n v="121.5"/>
    <n v="118.1"/>
    <n v="121"/>
    <n v="116.7"/>
    <x v="47"/>
    <n v="116.7"/>
    <n v="114.3"/>
    <n v="111.8"/>
    <n v="113.3"/>
    <n v="118.8"/>
    <n v="109.6"/>
    <n v="113.9"/>
    <x v="55"/>
  </r>
  <r>
    <x v="0"/>
    <x v="1"/>
    <x v="10"/>
    <n v="122.7"/>
    <n v="122.6"/>
    <n v="119.9"/>
    <n v="124"/>
    <n v="110.5"/>
    <n v="128.80000000000001"/>
    <n v="152"/>
    <n v="116.2"/>
    <n v="103.3"/>
    <n v="115.8"/>
    <n v="116.8"/>
    <n v="124.5"/>
    <n v="124.9"/>
    <n v="120.8"/>
    <n v="123.3"/>
    <n v="120.5"/>
    <n v="122.9"/>
    <n v="117.1"/>
    <x v="48"/>
    <n v="118.1"/>
    <n v="115.9"/>
    <n v="112"/>
    <n v="113.3"/>
    <n v="117.2"/>
    <n v="108.8"/>
    <n v="114.1"/>
    <x v="58"/>
  </r>
  <r>
    <x v="1"/>
    <x v="1"/>
    <x v="10"/>
    <n v="124.5"/>
    <n v="125.6"/>
    <n v="122.7"/>
    <n v="124.6"/>
    <n v="103.2"/>
    <n v="122.2"/>
    <n v="153.19999999999999"/>
    <n v="119.3"/>
    <n v="99.8"/>
    <n v="124.6"/>
    <n v="115.8"/>
    <n v="126.9"/>
    <n v="125.4"/>
    <n v="125.8"/>
    <n v="120.3"/>
    <n v="115.4"/>
    <n v="119.5"/>
    <n v="117.1"/>
    <x v="24"/>
    <n v="116.4"/>
    <n v="113"/>
    <n v="109.7"/>
    <n v="114"/>
    <n v="120.3"/>
    <n v="109.6"/>
    <n v="113.4"/>
    <x v="59"/>
  </r>
  <r>
    <x v="2"/>
    <x v="1"/>
    <x v="10"/>
    <n v="123.3"/>
    <n v="123.7"/>
    <n v="121"/>
    <n v="124.2"/>
    <n v="107.8"/>
    <n v="125.7"/>
    <n v="152.4"/>
    <n v="117.2"/>
    <n v="102.1"/>
    <n v="118.7"/>
    <n v="116.4"/>
    <n v="125.6"/>
    <n v="125.1"/>
    <n v="122.1"/>
    <n v="122.1"/>
    <n v="118.4"/>
    <n v="121.6"/>
    <n v="117.1"/>
    <x v="49"/>
    <n v="117.3"/>
    <n v="114.8"/>
    <n v="110.8"/>
    <n v="113.7"/>
    <n v="119"/>
    <n v="109.1"/>
    <n v="113.8"/>
    <x v="55"/>
  </r>
  <r>
    <x v="0"/>
    <x v="1"/>
    <x v="11"/>
    <n v="122.4"/>
    <n v="122.4"/>
    <n v="121.8"/>
    <n v="124.2"/>
    <n v="110.2"/>
    <n v="128.6"/>
    <n v="140.30000000000001"/>
    <n v="116.3"/>
    <n v="102"/>
    <n v="116"/>
    <n v="117.3"/>
    <n v="124.8"/>
    <n v="123.3"/>
    <n v="121.7"/>
    <n v="123.8"/>
    <n v="120.6"/>
    <n v="123.3"/>
    <n v="116.5"/>
    <x v="50"/>
    <n v="118.2"/>
    <n v="116.2"/>
    <n v="111.5"/>
    <n v="113.3"/>
    <n v="117.7"/>
    <n v="109.4"/>
    <n v="114.2"/>
    <x v="53"/>
  </r>
  <r>
    <x v="1"/>
    <x v="1"/>
    <x v="11"/>
    <n v="124"/>
    <n v="124.7"/>
    <n v="126.3"/>
    <n v="124.9"/>
    <n v="103"/>
    <n v="122.3"/>
    <n v="141"/>
    <n v="120.1"/>
    <n v="97.8"/>
    <n v="125.4"/>
    <n v="116.1"/>
    <n v="127.6"/>
    <n v="124"/>
    <n v="126.4"/>
    <n v="120.7"/>
    <n v="115.8"/>
    <n v="120"/>
    <n v="116.5"/>
    <x v="29"/>
    <n v="116.8"/>
    <n v="113.2"/>
    <n v="108.8"/>
    <n v="114.3"/>
    <n v="120.7"/>
    <n v="110.4"/>
    <n v="113.4"/>
    <x v="60"/>
  </r>
  <r>
    <x v="2"/>
    <x v="1"/>
    <x v="11"/>
    <n v="122.9"/>
    <n v="123.2"/>
    <n v="123.5"/>
    <n v="124.5"/>
    <n v="107.6"/>
    <n v="125.7"/>
    <n v="140.5"/>
    <n v="117.6"/>
    <n v="100.6"/>
    <n v="119.1"/>
    <n v="116.8"/>
    <n v="126.1"/>
    <n v="123.6"/>
    <n v="123"/>
    <n v="122.6"/>
    <n v="118.6"/>
    <n v="122"/>
    <n v="116.5"/>
    <x v="51"/>
    <n v="117.5"/>
    <n v="115.1"/>
    <n v="110.1"/>
    <n v="113.9"/>
    <n v="119.5"/>
    <n v="109.8"/>
    <n v="113.8"/>
    <x v="61"/>
  </r>
  <r>
    <x v="0"/>
    <x v="2"/>
    <x v="0"/>
    <n v="123.1"/>
    <n v="123.1"/>
    <n v="122.1"/>
    <n v="124.9"/>
    <n v="111"/>
    <n v="130.4"/>
    <n v="132.30000000000001"/>
    <n v="117.2"/>
    <n v="100.5"/>
    <n v="117.2"/>
    <n v="117.9"/>
    <n v="125.6"/>
    <n v="122.8"/>
    <n v="122.7"/>
    <n v="124.4"/>
    <n v="121.6"/>
    <n v="124"/>
    <n v="117.3"/>
    <x v="52"/>
    <n v="118.9"/>
    <n v="116.6"/>
    <n v="111"/>
    <n v="114"/>
    <n v="118.2"/>
    <n v="110.2"/>
    <n v="114.5"/>
    <x v="53"/>
  </r>
  <r>
    <x v="1"/>
    <x v="2"/>
    <x v="0"/>
    <n v="124"/>
    <n v="125.5"/>
    <n v="126.6"/>
    <n v="125.2"/>
    <n v="104.3"/>
    <n v="121.3"/>
    <n v="134.4"/>
    <n v="122.9"/>
    <n v="96.1"/>
    <n v="126.6"/>
    <n v="116.5"/>
    <n v="128"/>
    <n v="123.5"/>
    <n v="127.4"/>
    <n v="121"/>
    <n v="116.1"/>
    <n v="120.2"/>
    <n v="117.3"/>
    <x v="34"/>
    <n v="117.2"/>
    <n v="113.7"/>
    <n v="107.9"/>
    <n v="114.6"/>
    <n v="120.8"/>
    <n v="111.4"/>
    <n v="113.4"/>
    <x v="62"/>
  </r>
  <r>
    <x v="2"/>
    <x v="2"/>
    <x v="0"/>
    <n v="123.4"/>
    <n v="123.9"/>
    <n v="123.8"/>
    <n v="125"/>
    <n v="108.5"/>
    <n v="126.2"/>
    <n v="133"/>
    <n v="119.1"/>
    <n v="99"/>
    <n v="120.3"/>
    <n v="117.3"/>
    <n v="126.7"/>
    <n v="123.1"/>
    <n v="124"/>
    <n v="123.1"/>
    <n v="119.3"/>
    <n v="122.5"/>
    <n v="117.3"/>
    <x v="53"/>
    <n v="118.1"/>
    <n v="115.5"/>
    <n v="109.4"/>
    <n v="114.3"/>
    <n v="119.7"/>
    <n v="110.7"/>
    <n v="114"/>
    <x v="48"/>
  </r>
  <r>
    <x v="0"/>
    <x v="2"/>
    <x v="1"/>
    <n v="123.4"/>
    <n v="124.4"/>
    <n v="122.1"/>
    <n v="125.8"/>
    <n v="111.5"/>
    <n v="129.4"/>
    <n v="128.19999999999999"/>
    <n v="118.8"/>
    <n v="100"/>
    <n v="118.6"/>
    <n v="118.8"/>
    <n v="126.8"/>
    <n v="122.8"/>
    <n v="124.2"/>
    <n v="125.4"/>
    <n v="122.7"/>
    <n v="125"/>
    <n v="118.1"/>
    <x v="54"/>
    <n v="119.6"/>
    <n v="117.7"/>
    <n v="110.9"/>
    <n v="114.8"/>
    <n v="118.7"/>
    <n v="110.8"/>
    <n v="115"/>
    <x v="63"/>
  </r>
  <r>
    <x v="1"/>
    <x v="2"/>
    <x v="1"/>
    <n v="124.3"/>
    <n v="126.5"/>
    <n v="119.5"/>
    <n v="125.6"/>
    <n v="104.9"/>
    <n v="121.6"/>
    <n v="131.80000000000001"/>
    <n v="125.1"/>
    <n v="95"/>
    <n v="127.7"/>
    <n v="116.8"/>
    <n v="128.6"/>
    <n v="123.7"/>
    <n v="128.1"/>
    <n v="121.3"/>
    <n v="116.5"/>
    <n v="120.6"/>
    <n v="118.1"/>
    <x v="42"/>
    <n v="117.7"/>
    <n v="114.1"/>
    <n v="106.8"/>
    <n v="114.9"/>
    <n v="120.4"/>
    <n v="111.7"/>
    <n v="113.2"/>
    <x v="64"/>
  </r>
  <r>
    <x v="2"/>
    <x v="2"/>
    <x v="1"/>
    <n v="123.7"/>
    <n v="125.1"/>
    <n v="121.1"/>
    <n v="125.7"/>
    <n v="109.1"/>
    <n v="125.8"/>
    <n v="129.4"/>
    <n v="120.9"/>
    <n v="98.3"/>
    <n v="121.6"/>
    <n v="118"/>
    <n v="127.6"/>
    <n v="123.1"/>
    <n v="125.2"/>
    <n v="123.8"/>
    <n v="120.1"/>
    <n v="123.3"/>
    <n v="118.1"/>
    <x v="55"/>
    <n v="118.7"/>
    <n v="116.3"/>
    <n v="108.7"/>
    <n v="114.9"/>
    <n v="119.7"/>
    <n v="111.2"/>
    <n v="114.1"/>
    <x v="65"/>
  </r>
  <r>
    <x v="0"/>
    <x v="2"/>
    <x v="2"/>
    <n v="123.3"/>
    <n v="124.7"/>
    <n v="118.9"/>
    <n v="126"/>
    <n v="111.8"/>
    <n v="130.9"/>
    <n v="128"/>
    <n v="119.9"/>
    <n v="98.9"/>
    <n v="119.4"/>
    <n v="118.9"/>
    <n v="127.7"/>
    <n v="123.1"/>
    <n v="124.7"/>
    <n v="126"/>
    <n v="122.9"/>
    <n v="125.5"/>
    <n v="118.6"/>
    <x v="56"/>
    <n v="120.2"/>
    <n v="118.2"/>
    <n v="111.6"/>
    <n v="115.5"/>
    <n v="119.4"/>
    <n v="110.8"/>
    <n v="115.5"/>
    <x v="58"/>
  </r>
  <r>
    <x v="1"/>
    <x v="2"/>
    <x v="2"/>
    <n v="124"/>
    <n v="126.7"/>
    <n v="113.5"/>
    <n v="125.9"/>
    <n v="104.8"/>
    <n v="123.8"/>
    <n v="131.4"/>
    <n v="127.2"/>
    <n v="93.2"/>
    <n v="127.4"/>
    <n v="117"/>
    <n v="129.19999999999999"/>
    <n v="123.9"/>
    <n v="128.80000000000001"/>
    <n v="121.7"/>
    <n v="116.9"/>
    <n v="120.9"/>
    <n v="118.6"/>
    <x v="36"/>
    <n v="118"/>
    <n v="114.3"/>
    <n v="108.4"/>
    <n v="115.4"/>
    <n v="120.6"/>
    <n v="111.3"/>
    <n v="113.8"/>
    <x v="57"/>
  </r>
  <r>
    <x v="2"/>
    <x v="2"/>
    <x v="2"/>
    <n v="123.5"/>
    <n v="125.4"/>
    <n v="116.8"/>
    <n v="126"/>
    <n v="109.2"/>
    <n v="127.6"/>
    <n v="129.19999999999999"/>
    <n v="122.4"/>
    <n v="97"/>
    <n v="122.1"/>
    <n v="118.1"/>
    <n v="128.4"/>
    <n v="123.4"/>
    <n v="125.8"/>
    <n v="124.3"/>
    <n v="120.4"/>
    <n v="123.7"/>
    <n v="118.6"/>
    <x v="57"/>
    <n v="119.2"/>
    <n v="116.7"/>
    <n v="109.9"/>
    <n v="115.4"/>
    <n v="120.1"/>
    <n v="111"/>
    <n v="114.7"/>
    <x v="66"/>
  </r>
  <r>
    <x v="0"/>
    <x v="2"/>
    <x v="3"/>
    <n v="123.3"/>
    <n v="125.5"/>
    <n v="117.2"/>
    <n v="126.8"/>
    <n v="111.9"/>
    <n v="134.19999999999999"/>
    <n v="127.5"/>
    <n v="121.5"/>
    <n v="97.8"/>
    <n v="119.8"/>
    <n v="119.4"/>
    <n v="128.69999999999999"/>
    <n v="123.6"/>
    <n v="125.7"/>
    <n v="126.4"/>
    <n v="123.3"/>
    <n v="126"/>
    <n v="119.2"/>
    <x v="58"/>
    <n v="120.9"/>
    <n v="118.6"/>
    <n v="111.9"/>
    <n v="116.2"/>
    <n v="119.9"/>
    <n v="111.6"/>
    <n v="116"/>
    <x v="67"/>
  </r>
  <r>
    <x v="1"/>
    <x v="2"/>
    <x v="3"/>
    <n v="123.8"/>
    <n v="128.19999999999999"/>
    <n v="110"/>
    <n v="126.3"/>
    <n v="104.5"/>
    <n v="130.6"/>
    <n v="130.80000000000001"/>
    <n v="131.30000000000001"/>
    <n v="91.6"/>
    <n v="127.7"/>
    <n v="117.2"/>
    <n v="129.5"/>
    <n v="124.6"/>
    <n v="130.1"/>
    <n v="122.1"/>
    <n v="117.2"/>
    <n v="121.3"/>
    <n v="119.2"/>
    <x v="47"/>
    <n v="118.4"/>
    <n v="114.6"/>
    <n v="108.4"/>
    <n v="115.6"/>
    <n v="121.7"/>
    <n v="111.8"/>
    <n v="114.2"/>
    <x v="65"/>
  </r>
  <r>
    <x v="2"/>
    <x v="2"/>
    <x v="3"/>
    <n v="123.5"/>
    <n v="126.4"/>
    <n v="114.4"/>
    <n v="126.6"/>
    <n v="109.2"/>
    <n v="132.5"/>
    <n v="128.6"/>
    <n v="124.8"/>
    <n v="95.7"/>
    <n v="122.4"/>
    <n v="118.5"/>
    <n v="129.1"/>
    <n v="124"/>
    <n v="126.9"/>
    <n v="124.7"/>
    <n v="120.8"/>
    <n v="124.1"/>
    <n v="119.2"/>
    <x v="59"/>
    <n v="119.7"/>
    <n v="117.1"/>
    <n v="110.1"/>
    <n v="115.9"/>
    <n v="121"/>
    <n v="111.7"/>
    <n v="115.1"/>
    <x v="51"/>
  </r>
  <r>
    <x v="0"/>
    <x v="2"/>
    <x v="4"/>
    <n v="123.5"/>
    <n v="127.1"/>
    <n v="117.3"/>
    <n v="127.7"/>
    <n v="112.5"/>
    <n v="134.1"/>
    <n v="128.5"/>
    <n v="124.3"/>
    <n v="97.6"/>
    <n v="120.7"/>
    <n v="120.2"/>
    <n v="129.80000000000001"/>
    <n v="124.4"/>
    <n v="126.7"/>
    <n v="127.3"/>
    <n v="124.1"/>
    <n v="126.8"/>
    <n v="119.6"/>
    <x v="60"/>
    <n v="121.5"/>
    <n v="119.4"/>
    <n v="113.3"/>
    <n v="116.7"/>
    <n v="120.5"/>
    <n v="112.3"/>
    <n v="116.9"/>
    <x v="68"/>
  </r>
  <r>
    <x v="1"/>
    <x v="2"/>
    <x v="4"/>
    <n v="123.8"/>
    <n v="129.69999999999999"/>
    <n v="111.3"/>
    <n v="126.6"/>
    <n v="105.2"/>
    <n v="130.80000000000001"/>
    <n v="135.6"/>
    <n v="142.6"/>
    <n v="90.8"/>
    <n v="128.80000000000001"/>
    <n v="117.7"/>
    <n v="129.9"/>
    <n v="126.1"/>
    <n v="131.30000000000001"/>
    <n v="122.4"/>
    <n v="117.4"/>
    <n v="121.6"/>
    <n v="119.6"/>
    <x v="61"/>
    <n v="118.7"/>
    <n v="114.9"/>
    <n v="110.8"/>
    <n v="116"/>
    <n v="122"/>
    <n v="112.4"/>
    <n v="115.2"/>
    <x v="51"/>
  </r>
  <r>
    <x v="2"/>
    <x v="2"/>
    <x v="4"/>
    <n v="123.6"/>
    <n v="128"/>
    <n v="115"/>
    <n v="127.3"/>
    <n v="109.8"/>
    <n v="132.6"/>
    <n v="130.9"/>
    <n v="130.5"/>
    <n v="95.3"/>
    <n v="123.4"/>
    <n v="119.2"/>
    <n v="129.80000000000001"/>
    <n v="125"/>
    <n v="127.9"/>
    <n v="125.4"/>
    <n v="121.3"/>
    <n v="124.7"/>
    <n v="119.6"/>
    <x v="62"/>
    <n v="120.2"/>
    <n v="117.7"/>
    <n v="112"/>
    <n v="116.3"/>
    <n v="121.4"/>
    <n v="112.3"/>
    <n v="116.1"/>
    <x v="69"/>
  </r>
  <r>
    <x v="0"/>
    <x v="2"/>
    <x v="5"/>
    <n v="124.1"/>
    <n v="130.4"/>
    <n v="122.1"/>
    <n v="128.69999999999999"/>
    <n v="114.1"/>
    <n v="133.19999999999999"/>
    <n v="135.19999999999999"/>
    <n v="131.9"/>
    <n v="96.3"/>
    <n v="123"/>
    <n v="121.1"/>
    <n v="131.19999999999999"/>
    <n v="126.6"/>
    <n v="128.19999999999999"/>
    <n v="128.4"/>
    <n v="125.1"/>
    <n v="128"/>
    <n v="119"/>
    <x v="63"/>
    <n v="122.8"/>
    <n v="120.4"/>
    <n v="114.2"/>
    <n v="117.9"/>
    <n v="122"/>
    <n v="113"/>
    <n v="117.9"/>
    <x v="70"/>
  </r>
  <r>
    <x v="1"/>
    <x v="2"/>
    <x v="5"/>
    <n v="123.6"/>
    <n v="134.4"/>
    <n v="120.9"/>
    <n v="127.3"/>
    <n v="106"/>
    <n v="132.30000000000001"/>
    <n v="146.69999999999999"/>
    <n v="148.1"/>
    <n v="89.8"/>
    <n v="130.5"/>
    <n v="118"/>
    <n v="130.5"/>
    <n v="128.5"/>
    <n v="132.1"/>
    <n v="123.2"/>
    <n v="117.6"/>
    <n v="122.3"/>
    <n v="119"/>
    <x v="64"/>
    <n v="119.2"/>
    <n v="115.4"/>
    <n v="111.7"/>
    <n v="116.2"/>
    <n v="123.8"/>
    <n v="112.5"/>
    <n v="116"/>
    <x v="71"/>
  </r>
  <r>
    <x v="2"/>
    <x v="2"/>
    <x v="5"/>
    <n v="123.9"/>
    <n v="131.80000000000001"/>
    <n v="121.6"/>
    <n v="128.19999999999999"/>
    <n v="111.1"/>
    <n v="132.80000000000001"/>
    <n v="139.1"/>
    <n v="137.4"/>
    <n v="94.1"/>
    <n v="125.5"/>
    <n v="119.8"/>
    <n v="130.9"/>
    <n v="127.3"/>
    <n v="129.19999999999999"/>
    <n v="126.4"/>
    <n v="122"/>
    <n v="125.7"/>
    <n v="119"/>
    <x v="65"/>
    <n v="121.1"/>
    <n v="118.5"/>
    <n v="112.9"/>
    <n v="116.9"/>
    <n v="123.1"/>
    <n v="112.8"/>
    <n v="117"/>
    <x v="72"/>
  </r>
  <r>
    <x v="0"/>
    <x v="2"/>
    <x v="6"/>
    <n v="124"/>
    <n v="131.5"/>
    <n v="122"/>
    <n v="128.69999999999999"/>
    <n v="113.5"/>
    <n v="133.30000000000001"/>
    <n v="140.80000000000001"/>
    <n v="133.80000000000001"/>
    <n v="94.1"/>
    <n v="123.4"/>
    <n v="121"/>
    <n v="131.69999999999999"/>
    <n v="127.5"/>
    <n v="129.4"/>
    <n v="128.80000000000001"/>
    <n v="125.5"/>
    <n v="128.30000000000001"/>
    <n v="119.9"/>
    <x v="66"/>
    <n v="123"/>
    <n v="120.8"/>
    <n v="114.1"/>
    <n v="118"/>
    <n v="122.9"/>
    <n v="112.7"/>
    <n v="118.1"/>
    <x v="73"/>
  </r>
  <r>
    <x v="1"/>
    <x v="2"/>
    <x v="6"/>
    <n v="123.2"/>
    <n v="134.30000000000001"/>
    <n v="119.5"/>
    <n v="127.7"/>
    <n v="106.3"/>
    <n v="132.80000000000001"/>
    <n v="153.5"/>
    <n v="149.5"/>
    <n v="85.7"/>
    <n v="131.5"/>
    <n v="118.3"/>
    <n v="131.1"/>
    <n v="129.5"/>
    <n v="133.1"/>
    <n v="123.5"/>
    <n v="117.9"/>
    <n v="122.7"/>
    <n v="119.9"/>
    <x v="38"/>
    <n v="119.5"/>
    <n v="116"/>
    <n v="111.5"/>
    <n v="116.6"/>
    <n v="125.4"/>
    <n v="111.7"/>
    <n v="116.3"/>
    <x v="68"/>
  </r>
  <r>
    <x v="2"/>
    <x v="2"/>
    <x v="6"/>
    <n v="123.7"/>
    <n v="132.5"/>
    <n v="121"/>
    <n v="128.30000000000001"/>
    <n v="110.9"/>
    <n v="133.1"/>
    <n v="145.1"/>
    <n v="139.1"/>
    <n v="91.3"/>
    <n v="126.1"/>
    <n v="119.9"/>
    <n v="131.4"/>
    <n v="128.19999999999999"/>
    <n v="130.4"/>
    <n v="126.7"/>
    <n v="122.3"/>
    <n v="126.1"/>
    <n v="119.9"/>
    <x v="67"/>
    <n v="121.3"/>
    <n v="119"/>
    <n v="112.7"/>
    <n v="117.2"/>
    <n v="124.4"/>
    <n v="112.3"/>
    <n v="117.2"/>
    <x v="74"/>
  </r>
  <r>
    <x v="0"/>
    <x v="2"/>
    <x v="7"/>
    <n v="124.7"/>
    <n v="131.30000000000001"/>
    <n v="121.3"/>
    <n v="128.80000000000001"/>
    <n v="114"/>
    <n v="134.19999999999999"/>
    <n v="153.6"/>
    <n v="137.9"/>
    <n v="93.1"/>
    <n v="123.9"/>
    <n v="121.5"/>
    <n v="132.5"/>
    <n v="129.80000000000001"/>
    <n v="130.1"/>
    <n v="129.5"/>
    <n v="126.3"/>
    <n v="129"/>
    <n v="120.9"/>
    <x v="68"/>
    <n v="123.7"/>
    <n v="121.1"/>
    <n v="113.6"/>
    <n v="118.5"/>
    <n v="123.6"/>
    <n v="112.5"/>
    <n v="118.2"/>
    <x v="75"/>
  </r>
  <r>
    <x v="1"/>
    <x v="2"/>
    <x v="7"/>
    <n v="123.1"/>
    <n v="131.69999999999999"/>
    <n v="118.1"/>
    <n v="128"/>
    <n v="106.8"/>
    <n v="130.1"/>
    <n v="165.5"/>
    <n v="156"/>
    <n v="85.3"/>
    <n v="132.69999999999999"/>
    <n v="118.8"/>
    <n v="131.69999999999999"/>
    <n v="131.1"/>
    <n v="134.19999999999999"/>
    <n v="123.7"/>
    <n v="118.2"/>
    <n v="122.9"/>
    <n v="120.9"/>
    <x v="38"/>
    <n v="120"/>
    <n v="116.6"/>
    <n v="109.9"/>
    <n v="117.2"/>
    <n v="126.2"/>
    <n v="112"/>
    <n v="116.2"/>
    <x v="76"/>
  </r>
  <r>
    <x v="2"/>
    <x v="2"/>
    <x v="7"/>
    <n v="124.2"/>
    <n v="131.4"/>
    <n v="120.1"/>
    <n v="128.5"/>
    <n v="111.4"/>
    <n v="132.30000000000001"/>
    <n v="157.6"/>
    <n v="144"/>
    <n v="90.5"/>
    <n v="126.8"/>
    <n v="120.4"/>
    <n v="132.1"/>
    <n v="130.30000000000001"/>
    <n v="131.19999999999999"/>
    <n v="127.2"/>
    <n v="122.9"/>
    <n v="126.6"/>
    <n v="120.9"/>
    <x v="56"/>
    <n v="122"/>
    <n v="119.4"/>
    <n v="111.7"/>
    <n v="117.8"/>
    <n v="125.1"/>
    <n v="112.3"/>
    <n v="117.2"/>
    <x v="77"/>
  </r>
  <r>
    <x v="0"/>
    <x v="2"/>
    <x v="8"/>
    <n v="125.1"/>
    <n v="131.1"/>
    <n v="120.7"/>
    <n v="129.19999999999999"/>
    <n v="114.7"/>
    <n v="132.30000000000001"/>
    <n v="158.9"/>
    <n v="142.1"/>
    <n v="92.5"/>
    <n v="125.4"/>
    <n v="121.9"/>
    <n v="132.69999999999999"/>
    <n v="131"/>
    <n v="131"/>
    <n v="130.4"/>
    <n v="126.8"/>
    <n v="129.9"/>
    <n v="121.6"/>
    <x v="69"/>
    <n v="124.5"/>
    <n v="121.4"/>
    <n v="113.8"/>
    <n v="119.6"/>
    <n v="124.5"/>
    <n v="113.7"/>
    <n v="118.8"/>
    <x v="78"/>
  </r>
  <r>
    <x v="1"/>
    <x v="2"/>
    <x v="8"/>
    <n v="123.4"/>
    <n v="129"/>
    <n v="115.6"/>
    <n v="128.30000000000001"/>
    <n v="107"/>
    <n v="124"/>
    <n v="168.5"/>
    <n v="165.4"/>
    <n v="86.3"/>
    <n v="134.4"/>
    <n v="119.1"/>
    <n v="132.30000000000001"/>
    <n v="131.5"/>
    <n v="134.69999999999999"/>
    <n v="124"/>
    <n v="118.6"/>
    <n v="123.2"/>
    <n v="121.6"/>
    <x v="64"/>
    <n v="120.4"/>
    <n v="117.1"/>
    <n v="109.1"/>
    <n v="117.3"/>
    <n v="126.5"/>
    <n v="112.9"/>
    <n v="116.2"/>
    <x v="79"/>
  </r>
  <r>
    <x v="2"/>
    <x v="2"/>
    <x v="8"/>
    <n v="124.6"/>
    <n v="130.4"/>
    <n v="118.7"/>
    <n v="128.9"/>
    <n v="111.9"/>
    <n v="128.4"/>
    <n v="162.19999999999999"/>
    <n v="150"/>
    <n v="90.4"/>
    <n v="128.4"/>
    <n v="120.7"/>
    <n v="132.5"/>
    <n v="131.19999999999999"/>
    <n v="132"/>
    <n v="127.9"/>
    <n v="123.4"/>
    <n v="127.2"/>
    <n v="121.6"/>
    <x v="70"/>
    <n v="122.6"/>
    <n v="119.8"/>
    <n v="111.3"/>
    <n v="118.3"/>
    <n v="125.7"/>
    <n v="113.4"/>
    <n v="117.5"/>
    <x v="80"/>
  </r>
  <r>
    <x v="0"/>
    <x v="2"/>
    <x v="9"/>
    <n v="125.6"/>
    <n v="130.4"/>
    <n v="120.8"/>
    <n v="129.4"/>
    <n v="115.8"/>
    <n v="133.19999999999999"/>
    <n v="157.69999999999999"/>
    <n v="154.19999999999999"/>
    <n v="93.7"/>
    <n v="126.6"/>
    <n v="122.3"/>
    <n v="133.1"/>
    <n v="131.80000000000001"/>
    <n v="131.5"/>
    <n v="131.1"/>
    <n v="127.3"/>
    <n v="130.6"/>
    <n v="122.4"/>
    <x v="71"/>
    <n v="125.1"/>
    <n v="122"/>
    <n v="113.8"/>
    <n v="120.1"/>
    <n v="125.1"/>
    <n v="114.2"/>
    <n v="119.2"/>
    <x v="81"/>
  </r>
  <r>
    <x v="1"/>
    <x v="2"/>
    <x v="9"/>
    <n v="123.6"/>
    <n v="128.6"/>
    <n v="115.9"/>
    <n v="128.5"/>
    <n v="109"/>
    <n v="124.1"/>
    <n v="165.8"/>
    <n v="187.2"/>
    <n v="89.4"/>
    <n v="135.80000000000001"/>
    <n v="119.4"/>
    <n v="132.9"/>
    <n v="132.6"/>
    <n v="135.30000000000001"/>
    <n v="124.4"/>
    <n v="118.8"/>
    <n v="123.6"/>
    <n v="122.4"/>
    <x v="61"/>
    <n v="120.7"/>
    <n v="117.7"/>
    <n v="109.3"/>
    <n v="117.7"/>
    <n v="126.5"/>
    <n v="113.5"/>
    <n v="116.5"/>
    <x v="82"/>
  </r>
  <r>
    <x v="2"/>
    <x v="2"/>
    <x v="9"/>
    <n v="125"/>
    <n v="129.80000000000001"/>
    <n v="118.9"/>
    <n v="129.1"/>
    <n v="113.3"/>
    <n v="129"/>
    <n v="160.4"/>
    <n v="165.3"/>
    <n v="92.3"/>
    <n v="129.69999999999999"/>
    <n v="121.1"/>
    <n v="133"/>
    <n v="132.1"/>
    <n v="132.5"/>
    <n v="128.5"/>
    <n v="123.8"/>
    <n v="127.8"/>
    <n v="122.4"/>
    <x v="72"/>
    <n v="123"/>
    <n v="120.4"/>
    <n v="111.4"/>
    <n v="118.7"/>
    <n v="125.9"/>
    <n v="113.9"/>
    <n v="117.9"/>
    <x v="75"/>
  </r>
  <r>
    <x v="0"/>
    <x v="2"/>
    <x v="10"/>
    <n v="126.1"/>
    <n v="130.6"/>
    <n v="121.7"/>
    <n v="129.5"/>
    <n v="117.8"/>
    <n v="132.1"/>
    <n v="155.19999999999999"/>
    <n v="160.80000000000001"/>
    <n v="94.5"/>
    <n v="128.30000000000001"/>
    <n v="123.1"/>
    <n v="134.19999999999999"/>
    <n v="132.4"/>
    <n v="132.19999999999999"/>
    <n v="132.1"/>
    <n v="128.19999999999999"/>
    <n v="131.5"/>
    <n v="122.9"/>
    <x v="73"/>
    <n v="125.6"/>
    <n v="122.6"/>
    <n v="114"/>
    <n v="120.9"/>
    <n v="125.8"/>
    <n v="114.2"/>
    <n v="119.6"/>
    <x v="83"/>
  </r>
  <r>
    <x v="1"/>
    <x v="2"/>
    <x v="10"/>
    <n v="124"/>
    <n v="129.80000000000001"/>
    <n v="121.5"/>
    <n v="128.6"/>
    <n v="110"/>
    <n v="123.7"/>
    <n v="164.6"/>
    <n v="191.6"/>
    <n v="90.8"/>
    <n v="137.1"/>
    <n v="119.8"/>
    <n v="133.69999999999999"/>
    <n v="133.30000000000001"/>
    <n v="137.6"/>
    <n v="125"/>
    <n v="119.3"/>
    <n v="124.2"/>
    <n v="122.9"/>
    <x v="64"/>
    <n v="121"/>
    <n v="118.1"/>
    <n v="109.3"/>
    <n v="117.9"/>
    <n v="126.6"/>
    <n v="113.3"/>
    <n v="116.6"/>
    <x v="84"/>
  </r>
  <r>
    <x v="2"/>
    <x v="2"/>
    <x v="10"/>
    <n v="125.4"/>
    <n v="130.30000000000001"/>
    <n v="121.6"/>
    <n v="129.19999999999999"/>
    <n v="114.9"/>
    <n v="128.19999999999999"/>
    <n v="158.4"/>
    <n v="171.2"/>
    <n v="93.3"/>
    <n v="131.19999999999999"/>
    <n v="121.7"/>
    <n v="134"/>
    <n v="132.69999999999999"/>
    <n v="133.6"/>
    <n v="129.30000000000001"/>
    <n v="124.5"/>
    <n v="128.6"/>
    <n v="122.9"/>
    <x v="74"/>
    <n v="123.4"/>
    <n v="120.9"/>
    <n v="111.5"/>
    <n v="119.2"/>
    <n v="126.3"/>
    <n v="113.8"/>
    <n v="118.1"/>
    <x v="85"/>
  </r>
  <r>
    <x v="0"/>
    <x v="2"/>
    <x v="11"/>
    <n v="126.3"/>
    <n v="131.30000000000001"/>
    <n v="123.3"/>
    <n v="129.80000000000001"/>
    <n v="118.3"/>
    <n v="131.6"/>
    <n v="145.5"/>
    <n v="162.1"/>
    <n v="95.4"/>
    <n v="128.9"/>
    <n v="123.3"/>
    <n v="135.1"/>
    <n v="131.4"/>
    <n v="133.1"/>
    <n v="132.5"/>
    <n v="128.5"/>
    <n v="131.9"/>
    <n v="122.4"/>
    <x v="75"/>
    <n v="126"/>
    <n v="123.1"/>
    <n v="114"/>
    <n v="121.6"/>
    <n v="125.6"/>
    <n v="114.1"/>
    <n v="119.8"/>
    <x v="86"/>
  </r>
  <r>
    <x v="1"/>
    <x v="2"/>
    <x v="11"/>
    <n v="124.3"/>
    <n v="131.69999999999999"/>
    <n v="127.1"/>
    <n v="128.6"/>
    <n v="110"/>
    <n v="120.8"/>
    <n v="149"/>
    <n v="190.1"/>
    <n v="92.7"/>
    <n v="138.6"/>
    <n v="120.2"/>
    <n v="134.19999999999999"/>
    <n v="131.5"/>
    <n v="138.19999999999999"/>
    <n v="125.4"/>
    <n v="119.5"/>
    <n v="124.5"/>
    <n v="122.4"/>
    <x v="76"/>
    <n v="121"/>
    <n v="118.6"/>
    <n v="109.3"/>
    <n v="118.1"/>
    <n v="126.6"/>
    <n v="113.2"/>
    <n v="116.7"/>
    <x v="87"/>
  </r>
  <r>
    <x v="2"/>
    <x v="2"/>
    <x v="11"/>
    <n v="125.7"/>
    <n v="131.4"/>
    <n v="124.8"/>
    <n v="129.4"/>
    <n v="115.3"/>
    <n v="126.6"/>
    <n v="146.69999999999999"/>
    <n v="171.5"/>
    <n v="94.5"/>
    <n v="132.1"/>
    <n v="122"/>
    <n v="134.69999999999999"/>
    <n v="131.4"/>
    <n v="134.5"/>
    <n v="129.69999999999999"/>
    <n v="124.8"/>
    <n v="129"/>
    <n v="122.4"/>
    <x v="77"/>
    <n v="123.6"/>
    <n v="121.4"/>
    <n v="111.5"/>
    <n v="119.6"/>
    <n v="126.2"/>
    <n v="113.7"/>
    <n v="118.3"/>
    <x v="75"/>
  </r>
  <r>
    <x v="0"/>
    <x v="3"/>
    <x v="0"/>
    <n v="126.8"/>
    <n v="133.19999999999999"/>
    <n v="126.5"/>
    <n v="130.30000000000001"/>
    <n v="118.9"/>
    <n v="131.6"/>
    <n v="140.1"/>
    <n v="163.80000000000001"/>
    <n v="97.7"/>
    <n v="129.6"/>
    <n v="124.3"/>
    <n v="135.9"/>
    <n v="131.4"/>
    <n v="133.6"/>
    <n v="133.19999999999999"/>
    <n v="128.9"/>
    <n v="132.6"/>
    <n v="123.4"/>
    <x v="78"/>
    <n v="126.6"/>
    <n v="123.7"/>
    <n v="113.6"/>
    <n v="121.4"/>
    <n v="126.2"/>
    <n v="114.9"/>
    <n v="120.1"/>
    <x v="88"/>
  </r>
  <r>
    <x v="1"/>
    <x v="3"/>
    <x v="0"/>
    <n v="124.7"/>
    <n v="135.9"/>
    <n v="132"/>
    <n v="129.19999999999999"/>
    <n v="109.7"/>
    <n v="119"/>
    <n v="144.1"/>
    <n v="184.2"/>
    <n v="96.7"/>
    <n v="139.5"/>
    <n v="120.5"/>
    <n v="134.69999999999999"/>
    <n v="131.19999999999999"/>
    <n v="139.5"/>
    <n v="125.8"/>
    <n v="119.8"/>
    <n v="124.9"/>
    <n v="123.4"/>
    <x v="79"/>
    <n v="121.6"/>
    <n v="119.1"/>
    <n v="108.9"/>
    <n v="118.5"/>
    <n v="126.4"/>
    <n v="114"/>
    <n v="116.8"/>
    <x v="82"/>
  </r>
  <r>
    <x v="2"/>
    <x v="3"/>
    <x v="0"/>
    <n v="126.1"/>
    <n v="134.1"/>
    <n v="128.6"/>
    <n v="129.9"/>
    <n v="115.5"/>
    <n v="125.7"/>
    <n v="141.5"/>
    <n v="170.7"/>
    <n v="97.4"/>
    <n v="132.9"/>
    <n v="122.7"/>
    <n v="135.30000000000001"/>
    <n v="131.30000000000001"/>
    <n v="135.19999999999999"/>
    <n v="130.30000000000001"/>
    <n v="125.1"/>
    <n v="129.5"/>
    <n v="123.4"/>
    <x v="80"/>
    <n v="124.2"/>
    <n v="122"/>
    <n v="111.1"/>
    <n v="119.8"/>
    <n v="126.3"/>
    <n v="114.5"/>
    <n v="118.5"/>
    <x v="89"/>
  </r>
  <r>
    <x v="0"/>
    <x v="3"/>
    <x v="1"/>
    <n v="127.1"/>
    <n v="133.69999999999999"/>
    <n v="127.7"/>
    <n v="130.69999999999999"/>
    <n v="118.5"/>
    <n v="130.4"/>
    <n v="130.9"/>
    <n v="162.80000000000001"/>
    <n v="98.7"/>
    <n v="130.6"/>
    <n v="124.8"/>
    <n v="136.4"/>
    <n v="130.30000000000001"/>
    <n v="134.4"/>
    <n v="133.9"/>
    <n v="129.80000000000001"/>
    <n v="133.4"/>
    <n v="124.4"/>
    <x v="81"/>
    <n v="127.1"/>
    <n v="124.3"/>
    <n v="113.9"/>
    <n v="122.3"/>
    <n v="127.1"/>
    <n v="116.8"/>
    <n v="120.9"/>
    <x v="86"/>
  </r>
  <r>
    <x v="1"/>
    <x v="3"/>
    <x v="1"/>
    <n v="124.8"/>
    <n v="135.1"/>
    <n v="130.30000000000001"/>
    <n v="129.6"/>
    <n v="108.4"/>
    <n v="118.6"/>
    <n v="129.19999999999999"/>
    <n v="176.4"/>
    <n v="99.1"/>
    <n v="139.69999999999999"/>
    <n v="120.6"/>
    <n v="135.19999999999999"/>
    <n v="129.1"/>
    <n v="140"/>
    <n v="126.2"/>
    <n v="120.1"/>
    <n v="125.3"/>
    <n v="124.4"/>
    <x v="76"/>
    <n v="121.8"/>
    <n v="119.5"/>
    <n v="109.1"/>
    <n v="118.8"/>
    <n v="126.3"/>
    <n v="116.2"/>
    <n v="117.2"/>
    <x v="90"/>
  </r>
  <r>
    <x v="2"/>
    <x v="3"/>
    <x v="1"/>
    <n v="126.4"/>
    <n v="134.19999999999999"/>
    <n v="128.69999999999999"/>
    <n v="130.30000000000001"/>
    <n v="114.8"/>
    <n v="124.9"/>
    <n v="130.30000000000001"/>
    <n v="167.4"/>
    <n v="98.8"/>
    <n v="133.6"/>
    <n v="123"/>
    <n v="135.80000000000001"/>
    <n v="129.9"/>
    <n v="135.9"/>
    <n v="130.9"/>
    <n v="125.8"/>
    <n v="130.19999999999999"/>
    <n v="124.4"/>
    <x v="82"/>
    <n v="124.6"/>
    <n v="122.5"/>
    <n v="111.4"/>
    <n v="120.3"/>
    <n v="126.6"/>
    <n v="116.6"/>
    <n v="119.1"/>
    <x v="91"/>
  </r>
  <r>
    <x v="0"/>
    <x v="3"/>
    <x v="2"/>
    <n v="127.3"/>
    <n v="134.4"/>
    <n v="125.1"/>
    <n v="130.5"/>
    <n v="118.3"/>
    <n v="131.69999999999999"/>
    <n v="130.69999999999999"/>
    <n v="161.19999999999999"/>
    <n v="100.4"/>
    <n v="130.80000000000001"/>
    <n v="124.9"/>
    <n v="137"/>
    <n v="130.4"/>
    <n v="135"/>
    <n v="134.4"/>
    <n v="130.19999999999999"/>
    <n v="133.80000000000001"/>
    <n v="124.9"/>
    <x v="83"/>
    <n v="127.7"/>
    <n v="124.8"/>
    <n v="113.6"/>
    <n v="122.5"/>
    <n v="127.5"/>
    <n v="117.4"/>
    <n v="121.1"/>
    <x v="92"/>
  </r>
  <r>
    <x v="1"/>
    <x v="3"/>
    <x v="2"/>
    <n v="124.8"/>
    <n v="136.30000000000001"/>
    <n v="123.7"/>
    <n v="129.69999999999999"/>
    <n v="107.9"/>
    <n v="119.9"/>
    <n v="128.1"/>
    <n v="170.3"/>
    <n v="101.8"/>
    <n v="140.1"/>
    <n v="120.7"/>
    <n v="135.4"/>
    <n v="128.9"/>
    <n v="140.6"/>
    <n v="126.4"/>
    <n v="120.3"/>
    <n v="125.5"/>
    <n v="124.9"/>
    <x v="84"/>
    <n v="122.3"/>
    <n v="119.7"/>
    <n v="108.5"/>
    <n v="119.1"/>
    <n v="126.4"/>
    <n v="117.1"/>
    <n v="117.3"/>
    <x v="90"/>
  </r>
  <r>
    <x v="2"/>
    <x v="3"/>
    <x v="2"/>
    <n v="126.5"/>
    <n v="135.1"/>
    <n v="124.6"/>
    <n v="130.19999999999999"/>
    <n v="114.5"/>
    <n v="126.2"/>
    <n v="129.80000000000001"/>
    <n v="164.3"/>
    <n v="100.9"/>
    <n v="133.9"/>
    <n v="123.1"/>
    <n v="136.30000000000001"/>
    <n v="129.80000000000001"/>
    <n v="136.5"/>
    <n v="131.30000000000001"/>
    <n v="126.1"/>
    <n v="130.5"/>
    <n v="124.9"/>
    <x v="85"/>
    <n v="125.1"/>
    <n v="122.9"/>
    <n v="110.9"/>
    <n v="120.6"/>
    <n v="126.9"/>
    <n v="117.3"/>
    <n v="119.3"/>
    <x v="91"/>
  </r>
  <r>
    <x v="0"/>
    <x v="3"/>
    <x v="3"/>
    <n v="127.4"/>
    <n v="135.4"/>
    <n v="123.4"/>
    <n v="131.30000000000001"/>
    <n v="118.2"/>
    <n v="138.1"/>
    <n v="134.1"/>
    <n v="162.69999999999999"/>
    <n v="105"/>
    <n v="131.4"/>
    <n v="125.4"/>
    <n v="137.4"/>
    <n v="131.80000000000001"/>
    <n v="135.5"/>
    <n v="135"/>
    <n v="130.6"/>
    <n v="134.4"/>
    <n v="125.6"/>
    <x v="83"/>
    <n v="128"/>
    <n v="125.2"/>
    <n v="114.4"/>
    <n v="123.2"/>
    <n v="127.9"/>
    <n v="118.4"/>
    <n v="121.7"/>
    <x v="93"/>
  </r>
  <r>
    <x v="1"/>
    <x v="3"/>
    <x v="3"/>
    <n v="124.9"/>
    <n v="139.30000000000001"/>
    <n v="119.9"/>
    <n v="130.19999999999999"/>
    <n v="108.9"/>
    <n v="131.1"/>
    <n v="136.80000000000001"/>
    <n v="176.9"/>
    <n v="109.1"/>
    <n v="140.4"/>
    <n v="121.1"/>
    <n v="135.9"/>
    <n v="131.80000000000001"/>
    <n v="141.5"/>
    <n v="126.8"/>
    <n v="120.5"/>
    <n v="125.8"/>
    <n v="125.6"/>
    <x v="86"/>
    <n v="122.8"/>
    <n v="120"/>
    <n v="110"/>
    <n v="119.5"/>
    <n v="127.6"/>
    <n v="117.6"/>
    <n v="118.2"/>
    <x v="94"/>
  </r>
  <r>
    <x v="2"/>
    <x v="3"/>
    <x v="3"/>
    <n v="126.6"/>
    <n v="136.80000000000001"/>
    <n v="122"/>
    <n v="130.9"/>
    <n v="114.8"/>
    <n v="134.80000000000001"/>
    <n v="135"/>
    <n v="167.5"/>
    <n v="106.4"/>
    <n v="134.4"/>
    <n v="123.6"/>
    <n v="136.69999999999999"/>
    <n v="131.80000000000001"/>
    <n v="137.1"/>
    <n v="131.80000000000001"/>
    <n v="126.4"/>
    <n v="131"/>
    <n v="125.6"/>
    <x v="87"/>
    <n v="125.5"/>
    <n v="123.2"/>
    <n v="112.1"/>
    <n v="121.1"/>
    <n v="127.7"/>
    <n v="118.1"/>
    <n v="120"/>
    <x v="95"/>
  </r>
  <r>
    <x v="0"/>
    <x v="3"/>
    <x v="4"/>
    <n v="127.6"/>
    <n v="137.5"/>
    <n v="124.4"/>
    <n v="132.4"/>
    <n v="118.2"/>
    <n v="138.1"/>
    <n v="141.80000000000001"/>
    <n v="166"/>
    <n v="107.5"/>
    <n v="132.19999999999999"/>
    <n v="126.1"/>
    <n v="138.30000000000001"/>
    <n v="133.6"/>
    <n v="136"/>
    <n v="135.4"/>
    <n v="131.1"/>
    <n v="134.80000000000001"/>
    <n v="126"/>
    <x v="88"/>
    <n v="128.5"/>
    <n v="125.8"/>
    <n v="115.1"/>
    <n v="123.6"/>
    <n v="129.1"/>
    <n v="119.7"/>
    <n v="122.5"/>
    <x v="96"/>
  </r>
  <r>
    <x v="1"/>
    <x v="3"/>
    <x v="4"/>
    <n v="125"/>
    <n v="142.1"/>
    <n v="127"/>
    <n v="130.4"/>
    <n v="109.6"/>
    <n v="133.5"/>
    <n v="151.4"/>
    <n v="182.8"/>
    <n v="111.1"/>
    <n v="141.5"/>
    <n v="121.5"/>
    <n v="136.30000000000001"/>
    <n v="134.6"/>
    <n v="142.19999999999999"/>
    <n v="127.2"/>
    <n v="120.7"/>
    <n v="126.2"/>
    <n v="126"/>
    <x v="89"/>
    <n v="123.2"/>
    <n v="120.3"/>
    <n v="110.7"/>
    <n v="119.8"/>
    <n v="128"/>
    <n v="118.5"/>
    <n v="118.7"/>
    <x v="85"/>
  </r>
  <r>
    <x v="2"/>
    <x v="3"/>
    <x v="4"/>
    <n v="126.8"/>
    <n v="139.1"/>
    <n v="125.4"/>
    <n v="131.69999999999999"/>
    <n v="115"/>
    <n v="136"/>
    <n v="145.1"/>
    <n v="171.7"/>
    <n v="108.7"/>
    <n v="135.30000000000001"/>
    <n v="124.2"/>
    <n v="137.4"/>
    <n v="134"/>
    <n v="137.69999999999999"/>
    <n v="132.19999999999999"/>
    <n v="126.8"/>
    <n v="131.4"/>
    <n v="126"/>
    <x v="80"/>
    <n v="126"/>
    <n v="123.7"/>
    <n v="112.8"/>
    <n v="121.5"/>
    <n v="128.5"/>
    <n v="119.2"/>
    <n v="120.7"/>
    <x v="97"/>
  </r>
  <r>
    <x v="0"/>
    <x v="3"/>
    <x v="5"/>
    <n v="128.6"/>
    <n v="138.6"/>
    <n v="126.6"/>
    <n v="133.6"/>
    <n v="118.6"/>
    <n v="137.4"/>
    <n v="152.5"/>
    <n v="169.2"/>
    <n v="108.8"/>
    <n v="133.1"/>
    <n v="126.4"/>
    <n v="139.19999999999999"/>
    <n v="136"/>
    <n v="137.19999999999999"/>
    <n v="136.30000000000001"/>
    <n v="131.6"/>
    <n v="135.6"/>
    <n v="125.5"/>
    <x v="90"/>
    <n v="129.30000000000001"/>
    <n v="126.2"/>
    <n v="116.3"/>
    <n v="124.1"/>
    <n v="130.19999999999999"/>
    <n v="119.9"/>
    <n v="123.3"/>
    <x v="98"/>
  </r>
  <r>
    <x v="1"/>
    <x v="3"/>
    <x v="5"/>
    <n v="125.9"/>
    <n v="143.9"/>
    <n v="130.9"/>
    <n v="131"/>
    <n v="110.2"/>
    <n v="135.5"/>
    <n v="173.7"/>
    <n v="184.4"/>
    <n v="112"/>
    <n v="142.80000000000001"/>
    <n v="121.6"/>
    <n v="136.9"/>
    <n v="138.19999999999999"/>
    <n v="142.69999999999999"/>
    <n v="127.6"/>
    <n v="121.1"/>
    <n v="126.6"/>
    <n v="125.5"/>
    <x v="49"/>
    <n v="123.2"/>
    <n v="120.6"/>
    <n v="112.3"/>
    <n v="119.9"/>
    <n v="129.30000000000001"/>
    <n v="118.8"/>
    <n v="119.6"/>
    <x v="88"/>
  </r>
  <r>
    <x v="2"/>
    <x v="3"/>
    <x v="5"/>
    <n v="127.7"/>
    <n v="140.5"/>
    <n v="128.30000000000001"/>
    <n v="132.6"/>
    <n v="115.5"/>
    <n v="136.5"/>
    <n v="159.69999999999999"/>
    <n v="174.3"/>
    <n v="109.9"/>
    <n v="136.30000000000001"/>
    <n v="124.4"/>
    <n v="138.1"/>
    <n v="136.80000000000001"/>
    <n v="138.69999999999999"/>
    <n v="132.9"/>
    <n v="127.2"/>
    <n v="132"/>
    <n v="125.5"/>
    <x v="91"/>
    <n v="126.4"/>
    <n v="124.1"/>
    <n v="114.2"/>
    <n v="121.7"/>
    <n v="129.69999999999999"/>
    <n v="119.4"/>
    <n v="121.5"/>
    <x v="99"/>
  </r>
  <r>
    <x v="0"/>
    <x v="3"/>
    <x v="6"/>
    <n v="129.30000000000001"/>
    <n v="139.5"/>
    <n v="129.6"/>
    <n v="134.5"/>
    <n v="119.5"/>
    <n v="138.5"/>
    <n v="158.19999999999999"/>
    <n v="171.8"/>
    <n v="110.3"/>
    <n v="134.30000000000001"/>
    <n v="127.3"/>
    <n v="139.9"/>
    <n v="137.6"/>
    <n v="138"/>
    <n v="137.19999999999999"/>
    <n v="132.19999999999999"/>
    <n v="136.5"/>
    <n v="126.4"/>
    <x v="92"/>
    <n v="130"/>
    <n v="126.7"/>
    <n v="116.4"/>
    <n v="125.2"/>
    <n v="130.80000000000001"/>
    <n v="120.9"/>
    <n v="123.8"/>
    <x v="100"/>
  </r>
  <r>
    <x v="1"/>
    <x v="3"/>
    <x v="6"/>
    <n v="126.8"/>
    <n v="144.19999999999999"/>
    <n v="136.6"/>
    <n v="131.80000000000001"/>
    <n v="111"/>
    <n v="137"/>
    <n v="179.5"/>
    <n v="188.4"/>
    <n v="113.3"/>
    <n v="143.9"/>
    <n v="121.7"/>
    <n v="137.5"/>
    <n v="139.80000000000001"/>
    <n v="142.9"/>
    <n v="127.9"/>
    <n v="121.1"/>
    <n v="126.9"/>
    <n v="126.4"/>
    <x v="49"/>
    <n v="123.5"/>
    <n v="120.9"/>
    <n v="111.7"/>
    <n v="120.3"/>
    <n v="130.80000000000001"/>
    <n v="120"/>
    <n v="119.9"/>
    <x v="93"/>
  </r>
  <r>
    <x v="2"/>
    <x v="3"/>
    <x v="6"/>
    <n v="128.5"/>
    <n v="141.19999999999999"/>
    <n v="132.30000000000001"/>
    <n v="133.5"/>
    <n v="116.4"/>
    <n v="137.80000000000001"/>
    <n v="165.4"/>
    <n v="177.4"/>
    <n v="111.3"/>
    <n v="137.5"/>
    <n v="125"/>
    <n v="138.80000000000001"/>
    <n v="138.4"/>
    <n v="139.30000000000001"/>
    <n v="133.5"/>
    <n v="127.6"/>
    <n v="132.69999999999999"/>
    <n v="126.4"/>
    <x v="93"/>
    <n v="126.9"/>
    <n v="124.5"/>
    <n v="113.9"/>
    <n v="122.4"/>
    <n v="130.80000000000001"/>
    <n v="120.5"/>
    <n v="121.9"/>
    <x v="101"/>
  </r>
  <r>
    <x v="0"/>
    <x v="3"/>
    <x v="7"/>
    <n v="130.1"/>
    <n v="138.80000000000001"/>
    <n v="130.30000000000001"/>
    <n v="135.30000000000001"/>
    <n v="119.9"/>
    <n v="140.19999999999999"/>
    <n v="156.9"/>
    <n v="172.2"/>
    <n v="112.1"/>
    <n v="134.9"/>
    <n v="128.1"/>
    <n v="140.69999999999999"/>
    <n v="138"/>
    <n v="138.9"/>
    <n v="137.80000000000001"/>
    <n v="133"/>
    <n v="137.1"/>
    <n v="127.3"/>
    <x v="94"/>
    <n v="130.6"/>
    <n v="127"/>
    <n v="116"/>
    <n v="125.5"/>
    <n v="131.9"/>
    <n v="122"/>
    <n v="124.2"/>
    <x v="102"/>
  </r>
  <r>
    <x v="1"/>
    <x v="3"/>
    <x v="7"/>
    <n v="127.6"/>
    <n v="140.30000000000001"/>
    <n v="133.69999999999999"/>
    <n v="132.19999999999999"/>
    <n v="111.8"/>
    <n v="135.80000000000001"/>
    <n v="163.5"/>
    <n v="182.3"/>
    <n v="114.6"/>
    <n v="144.6"/>
    <n v="121.9"/>
    <n v="138.1"/>
    <n v="137.6"/>
    <n v="143.6"/>
    <n v="128.30000000000001"/>
    <n v="121.4"/>
    <n v="127.3"/>
    <n v="127.3"/>
    <x v="47"/>
    <n v="123.9"/>
    <n v="121.2"/>
    <n v="110.4"/>
    <n v="120.6"/>
    <n v="131.5"/>
    <n v="120.9"/>
    <n v="119.9"/>
    <x v="103"/>
  </r>
  <r>
    <x v="2"/>
    <x v="3"/>
    <x v="7"/>
    <n v="129.30000000000001"/>
    <n v="139.30000000000001"/>
    <n v="131.6"/>
    <n v="134.1"/>
    <n v="116.9"/>
    <n v="138.1"/>
    <n v="159.1"/>
    <n v="175.6"/>
    <n v="112.9"/>
    <n v="138.1"/>
    <n v="125.5"/>
    <n v="139.5"/>
    <n v="137.9"/>
    <n v="140.19999999999999"/>
    <n v="134.1"/>
    <n v="128.19999999999999"/>
    <n v="133.19999999999999"/>
    <n v="127.3"/>
    <x v="95"/>
    <n v="127.4"/>
    <n v="124.8"/>
    <n v="113.1"/>
    <n v="122.7"/>
    <n v="131.69999999999999"/>
    <n v="121.5"/>
    <n v="122.1"/>
    <x v="101"/>
  </r>
  <r>
    <x v="0"/>
    <x v="3"/>
    <x v="8"/>
    <n v="130.80000000000001"/>
    <n v="138.19999999999999"/>
    <n v="130.5"/>
    <n v="135.5"/>
    <n v="120.2"/>
    <n v="139.19999999999999"/>
    <n v="149.5"/>
    <n v="170.4"/>
    <n v="113.1"/>
    <n v="135.80000000000001"/>
    <n v="128.80000000000001"/>
    <n v="141.5"/>
    <n v="137.19999999999999"/>
    <n v="139.9"/>
    <n v="138.5"/>
    <n v="133.5"/>
    <n v="137.80000000000001"/>
    <n v="127.9"/>
    <x v="96"/>
    <n v="131.1"/>
    <n v="127.8"/>
    <n v="117"/>
    <n v="125.7"/>
    <n v="132.19999999999999"/>
    <n v="122.8"/>
    <n v="124.9"/>
    <x v="104"/>
  </r>
  <r>
    <x v="1"/>
    <x v="3"/>
    <x v="8"/>
    <n v="128.1"/>
    <n v="137.69999999999999"/>
    <n v="130.6"/>
    <n v="132.6"/>
    <n v="111.9"/>
    <n v="132.5"/>
    <n v="152.9"/>
    <n v="173.6"/>
    <n v="115.1"/>
    <n v="144.80000000000001"/>
    <n v="122.1"/>
    <n v="138.80000000000001"/>
    <n v="135.69999999999999"/>
    <n v="143.9"/>
    <n v="128.69999999999999"/>
    <n v="121.6"/>
    <n v="127.7"/>
    <n v="127.9"/>
    <x v="84"/>
    <n v="124.3"/>
    <n v="121.4"/>
    <n v="111.8"/>
    <n v="120.8"/>
    <n v="131.6"/>
    <n v="121.2"/>
    <n v="120.5"/>
    <x v="92"/>
  </r>
  <r>
    <x v="2"/>
    <x v="3"/>
    <x v="8"/>
    <n v="129.9"/>
    <n v="138"/>
    <n v="130.5"/>
    <n v="134.4"/>
    <n v="117.2"/>
    <n v="136.1"/>
    <n v="150.69999999999999"/>
    <n v="171.5"/>
    <n v="113.8"/>
    <n v="138.80000000000001"/>
    <n v="126"/>
    <n v="140.19999999999999"/>
    <n v="136.6"/>
    <n v="141"/>
    <n v="134.6"/>
    <n v="128.6"/>
    <n v="133.80000000000001"/>
    <n v="127.9"/>
    <x v="97"/>
    <n v="127.9"/>
    <n v="125.4"/>
    <n v="114.3"/>
    <n v="122.9"/>
    <n v="131.80000000000001"/>
    <n v="122.1"/>
    <n v="122.8"/>
    <x v="105"/>
  </r>
  <r>
    <x v="0"/>
    <x v="3"/>
    <x v="9"/>
    <n v="131.30000000000001"/>
    <n v="137.6"/>
    <n v="130.1"/>
    <n v="136"/>
    <n v="120.8"/>
    <n v="138.4"/>
    <n v="149.19999999999999"/>
    <n v="170.2"/>
    <n v="113.4"/>
    <n v="136.30000000000001"/>
    <n v="128.69999999999999"/>
    <n v="142.4"/>
    <n v="137.4"/>
    <n v="140.9"/>
    <n v="139.6"/>
    <n v="134.30000000000001"/>
    <n v="138.80000000000001"/>
    <n v="128.69999999999999"/>
    <x v="98"/>
    <n v="131.80000000000001"/>
    <n v="128.69999999999999"/>
    <n v="117.8"/>
    <n v="126.5"/>
    <n v="133"/>
    <n v="123"/>
    <n v="125.7"/>
    <x v="106"/>
  </r>
  <r>
    <x v="1"/>
    <x v="3"/>
    <x v="9"/>
    <n v="128.69999999999999"/>
    <n v="138.4"/>
    <n v="130.30000000000001"/>
    <n v="132.69999999999999"/>
    <n v="112.5"/>
    <n v="130.4"/>
    <n v="155.1"/>
    <n v="175.7"/>
    <n v="115.4"/>
    <n v="145.30000000000001"/>
    <n v="122.5"/>
    <n v="139.6"/>
    <n v="136.30000000000001"/>
    <n v="144.30000000000001"/>
    <n v="129.1"/>
    <n v="121.9"/>
    <n v="128"/>
    <n v="128.69999999999999"/>
    <x v="99"/>
    <n v="124.5"/>
    <n v="121.8"/>
    <n v="112.8"/>
    <n v="121.2"/>
    <n v="131.9"/>
    <n v="120.8"/>
    <n v="120.9"/>
    <x v="97"/>
  </r>
  <r>
    <x v="2"/>
    <x v="3"/>
    <x v="9"/>
    <n v="130.5"/>
    <n v="137.9"/>
    <n v="130.19999999999999"/>
    <n v="134.80000000000001"/>
    <n v="117.8"/>
    <n v="134.69999999999999"/>
    <n v="151.19999999999999"/>
    <n v="172.1"/>
    <n v="114.1"/>
    <n v="139.30000000000001"/>
    <n v="126.1"/>
    <n v="141.1"/>
    <n v="137"/>
    <n v="141.80000000000001"/>
    <n v="135.5"/>
    <n v="129.1"/>
    <n v="134.5"/>
    <n v="128.69999999999999"/>
    <x v="100"/>
    <n v="128.4"/>
    <n v="126.1"/>
    <n v="115.2"/>
    <n v="123.5"/>
    <n v="132.4"/>
    <n v="122.1"/>
    <n v="123.4"/>
    <x v="107"/>
  </r>
  <r>
    <x v="0"/>
    <x v="3"/>
    <x v="10"/>
    <n v="132"/>
    <n v="137.4"/>
    <n v="130.6"/>
    <n v="136.19999999999999"/>
    <n v="121.1"/>
    <n v="136.9"/>
    <n v="141.80000000000001"/>
    <n v="170"/>
    <n v="113.4"/>
    <n v="136.80000000000001"/>
    <n v="128.69999999999999"/>
    <n v="143.1"/>
    <n v="136.6"/>
    <n v="141.19999999999999"/>
    <n v="139.9"/>
    <n v="134.5"/>
    <n v="139.19999999999999"/>
    <n v="129.1"/>
    <x v="101"/>
    <n v="132.1"/>
    <n v="129.1"/>
    <n v="118.2"/>
    <n v="126.9"/>
    <n v="133.69999999999999"/>
    <n v="123.5"/>
    <n v="126.1"/>
    <x v="108"/>
  </r>
  <r>
    <x v="1"/>
    <x v="3"/>
    <x v="10"/>
    <n v="130.19999999999999"/>
    <n v="138.5"/>
    <n v="134.1"/>
    <n v="132.9"/>
    <n v="112.6"/>
    <n v="130.80000000000001"/>
    <n v="142"/>
    <n v="174.9"/>
    <n v="115.6"/>
    <n v="145.4"/>
    <n v="122.7"/>
    <n v="140.30000000000001"/>
    <n v="135.19999999999999"/>
    <n v="144.30000000000001"/>
    <n v="129.6"/>
    <n v="122.1"/>
    <n v="128.5"/>
    <n v="129.1"/>
    <x v="102"/>
    <n v="124.7"/>
    <n v="122.1"/>
    <n v="113.4"/>
    <n v="121.7"/>
    <n v="132.1"/>
    <n v="121.3"/>
    <n v="121.3"/>
    <x v="109"/>
  </r>
  <r>
    <x v="2"/>
    <x v="3"/>
    <x v="10"/>
    <n v="131.4"/>
    <n v="137.80000000000001"/>
    <n v="132"/>
    <n v="135"/>
    <n v="118"/>
    <n v="134.1"/>
    <n v="141.9"/>
    <n v="171.7"/>
    <n v="114.1"/>
    <n v="139.69999999999999"/>
    <n v="126.2"/>
    <n v="141.80000000000001"/>
    <n v="136.1"/>
    <n v="142"/>
    <n v="135.80000000000001"/>
    <n v="129.30000000000001"/>
    <n v="135"/>
    <n v="129.1"/>
    <x v="103"/>
    <n v="128.6"/>
    <n v="126.4"/>
    <n v="115.7"/>
    <n v="124"/>
    <n v="132.80000000000001"/>
    <n v="122.6"/>
    <n v="123.8"/>
    <x v="110"/>
  </r>
  <r>
    <x v="0"/>
    <x v="3"/>
    <x v="11"/>
    <n v="132.6"/>
    <n v="137.30000000000001"/>
    <n v="131.6"/>
    <n v="136.30000000000001"/>
    <n v="121.6"/>
    <n v="135.6"/>
    <n v="127.5"/>
    <n v="167.9"/>
    <n v="113.8"/>
    <n v="137.5"/>
    <n v="129.1"/>
    <n v="143.6"/>
    <n v="134.69999999999999"/>
    <n v="142.4"/>
    <n v="140.4"/>
    <n v="135.19999999999999"/>
    <n v="139.69999999999999"/>
    <n v="128.5"/>
    <x v="104"/>
    <n v="132.9"/>
    <n v="129.69999999999999"/>
    <n v="118.6"/>
    <n v="127.3"/>
    <n v="134.19999999999999"/>
    <n v="121.9"/>
    <n v="126.3"/>
    <x v="111"/>
  </r>
  <r>
    <x v="1"/>
    <x v="3"/>
    <x v="11"/>
    <n v="131.6"/>
    <n v="138.19999999999999"/>
    <n v="134.9"/>
    <n v="133.1"/>
    <n v="113.5"/>
    <n v="129.30000000000001"/>
    <n v="121.1"/>
    <n v="170.3"/>
    <n v="115.5"/>
    <n v="145.5"/>
    <n v="123.1"/>
    <n v="140.9"/>
    <n v="132.80000000000001"/>
    <n v="145"/>
    <n v="130"/>
    <n v="122.2"/>
    <n v="128.80000000000001"/>
    <n v="128.5"/>
    <x v="105"/>
    <n v="125"/>
    <n v="122.3"/>
    <n v="113.7"/>
    <n v="121.8"/>
    <n v="132.30000000000001"/>
    <n v="119.9"/>
    <n v="121.4"/>
    <x v="112"/>
  </r>
  <r>
    <x v="2"/>
    <x v="3"/>
    <x v="11"/>
    <n v="132.30000000000001"/>
    <n v="137.6"/>
    <n v="132.9"/>
    <n v="135.1"/>
    <n v="118.6"/>
    <n v="132.69999999999999"/>
    <n v="125.3"/>
    <n v="168.7"/>
    <n v="114.4"/>
    <n v="140.19999999999999"/>
    <n v="126.6"/>
    <n v="142.30000000000001"/>
    <n v="134"/>
    <n v="143.1"/>
    <n v="136.30000000000001"/>
    <n v="129.80000000000001"/>
    <n v="135.4"/>
    <n v="128.5"/>
    <x v="106"/>
    <n v="129.19999999999999"/>
    <n v="126.9"/>
    <n v="116"/>
    <n v="124.2"/>
    <n v="133.1"/>
    <n v="121.1"/>
    <n v="123.9"/>
    <x v="113"/>
  </r>
  <r>
    <x v="0"/>
    <x v="4"/>
    <x v="0"/>
    <n v="133.1"/>
    <n v="137.80000000000001"/>
    <n v="131.9"/>
    <n v="136.69999999999999"/>
    <n v="122"/>
    <n v="136"/>
    <n v="119.8"/>
    <n v="161.69999999999999"/>
    <n v="114.8"/>
    <n v="136.9"/>
    <n v="129"/>
    <n v="143.9"/>
    <n v="133.69999999999999"/>
    <n v="143.1"/>
    <n v="140.69999999999999"/>
    <n v="135.80000000000001"/>
    <n v="140"/>
    <n v="129.6"/>
    <x v="107"/>
    <n v="133.19999999999999"/>
    <n v="129.9"/>
    <n v="119.1"/>
    <n v="127"/>
    <n v="134.6"/>
    <n v="122.3"/>
    <n v="126.6"/>
    <x v="114"/>
  </r>
  <r>
    <x v="1"/>
    <x v="4"/>
    <x v="0"/>
    <n v="132.19999999999999"/>
    <n v="138.9"/>
    <n v="132.6"/>
    <n v="133.1"/>
    <n v="114"/>
    <n v="129.6"/>
    <n v="118.7"/>
    <n v="155.1"/>
    <n v="117.3"/>
    <n v="144.9"/>
    <n v="123.2"/>
    <n v="141.6"/>
    <n v="132"/>
    <n v="145.6"/>
    <n v="130.19999999999999"/>
    <n v="122.3"/>
    <n v="129"/>
    <n v="129.6"/>
    <x v="108"/>
    <n v="125.1"/>
    <n v="122.6"/>
    <n v="115.2"/>
    <n v="122"/>
    <n v="132.4"/>
    <n v="120.9"/>
    <n v="122.1"/>
    <x v="115"/>
  </r>
  <r>
    <x v="2"/>
    <x v="4"/>
    <x v="0"/>
    <n v="132.80000000000001"/>
    <n v="138.19999999999999"/>
    <n v="132.19999999999999"/>
    <n v="135.4"/>
    <n v="119.1"/>
    <n v="133"/>
    <n v="119.4"/>
    <n v="159.5"/>
    <n v="115.6"/>
    <n v="139.6"/>
    <n v="126.6"/>
    <n v="142.80000000000001"/>
    <n v="133.1"/>
    <n v="143.80000000000001"/>
    <n v="136.6"/>
    <n v="130.19999999999999"/>
    <n v="135.6"/>
    <n v="129.6"/>
    <x v="109"/>
    <n v="129.4"/>
    <n v="127.1"/>
    <n v="117"/>
    <n v="124.2"/>
    <n v="133.30000000000001"/>
    <n v="121.7"/>
    <n v="124.4"/>
    <x v="96"/>
  </r>
  <r>
    <x v="0"/>
    <x v="4"/>
    <x v="1"/>
    <n v="133.30000000000001"/>
    <n v="138.30000000000001"/>
    <n v="129.30000000000001"/>
    <n v="137.19999999999999"/>
    <n v="122.1"/>
    <n v="138.69999999999999"/>
    <n v="119.1"/>
    <n v="156.9"/>
    <n v="116.2"/>
    <n v="136"/>
    <n v="129.4"/>
    <n v="144.4"/>
    <n v="133.6"/>
    <n v="143.69999999999999"/>
    <n v="140.9"/>
    <n v="135.80000000000001"/>
    <n v="140.19999999999999"/>
    <n v="130.5"/>
    <x v="110"/>
    <n v="133.6"/>
    <n v="130.1"/>
    <n v="119.5"/>
    <n v="127.7"/>
    <n v="134.9"/>
    <n v="123.2"/>
    <n v="127"/>
    <x v="116"/>
  </r>
  <r>
    <x v="1"/>
    <x v="4"/>
    <x v="1"/>
    <n v="132.80000000000001"/>
    <n v="139.80000000000001"/>
    <n v="129.30000000000001"/>
    <n v="133.5"/>
    <n v="114.3"/>
    <n v="131.4"/>
    <n v="120.2"/>
    <n v="143.1"/>
    <n v="119.5"/>
    <n v="144"/>
    <n v="123.4"/>
    <n v="141.9"/>
    <n v="132.1"/>
    <n v="146.30000000000001"/>
    <n v="130.5"/>
    <n v="122.5"/>
    <n v="129.30000000000001"/>
    <n v="130.5"/>
    <x v="62"/>
    <n v="125.3"/>
    <n v="122.9"/>
    <n v="115.5"/>
    <n v="122.2"/>
    <n v="132.4"/>
    <n v="121.7"/>
    <n v="122.4"/>
    <x v="117"/>
  </r>
  <r>
    <x v="2"/>
    <x v="4"/>
    <x v="1"/>
    <n v="133.1"/>
    <n v="138.80000000000001"/>
    <n v="129.30000000000001"/>
    <n v="135.80000000000001"/>
    <n v="119.2"/>
    <n v="135.30000000000001"/>
    <n v="119.5"/>
    <n v="152.19999999999999"/>
    <n v="117.3"/>
    <n v="138.69999999999999"/>
    <n v="126.9"/>
    <n v="143.19999999999999"/>
    <n v="133"/>
    <n v="144.4"/>
    <n v="136.80000000000001"/>
    <n v="130.30000000000001"/>
    <n v="135.9"/>
    <n v="130.5"/>
    <x v="111"/>
    <n v="129.69999999999999"/>
    <n v="127.4"/>
    <n v="117.4"/>
    <n v="124.6"/>
    <n v="133.4"/>
    <n v="122.6"/>
    <n v="124.8"/>
    <x v="118"/>
  </r>
  <r>
    <x v="0"/>
    <x v="4"/>
    <x v="2"/>
    <n v="133.6"/>
    <n v="138.80000000000001"/>
    <n v="128.80000000000001"/>
    <n v="137.19999999999999"/>
    <n v="121.6"/>
    <n v="139.69999999999999"/>
    <n v="119.7"/>
    <n v="148"/>
    <n v="116.9"/>
    <n v="135.6"/>
    <n v="129.80000000000001"/>
    <n v="145.4"/>
    <n v="133.4"/>
    <n v="144.19999999999999"/>
    <n v="141.6"/>
    <n v="136.19999999999999"/>
    <n v="140.80000000000001"/>
    <n v="131.1"/>
    <x v="112"/>
    <n v="134.1"/>
    <n v="130.6"/>
    <n v="119.8"/>
    <n v="128.30000000000001"/>
    <n v="135.19999999999999"/>
    <n v="123.3"/>
    <n v="127.4"/>
    <x v="111"/>
  </r>
  <r>
    <x v="1"/>
    <x v="4"/>
    <x v="2"/>
    <n v="132.69999999999999"/>
    <n v="139.4"/>
    <n v="128.4"/>
    <n v="134.9"/>
    <n v="114"/>
    <n v="136.80000000000001"/>
    <n v="122.2"/>
    <n v="135.80000000000001"/>
    <n v="120.3"/>
    <n v="142.6"/>
    <n v="123.6"/>
    <n v="142.4"/>
    <n v="132.6"/>
    <n v="147.5"/>
    <n v="130.80000000000001"/>
    <n v="122.8"/>
    <n v="129.6"/>
    <n v="131.1"/>
    <x v="72"/>
    <n v="125.6"/>
    <n v="123.1"/>
    <n v="115.6"/>
    <n v="122.4"/>
    <n v="132.80000000000001"/>
    <n v="121.7"/>
    <n v="122.6"/>
    <x v="119"/>
  </r>
  <r>
    <x v="2"/>
    <x v="4"/>
    <x v="2"/>
    <n v="133.30000000000001"/>
    <n v="139"/>
    <n v="128.6"/>
    <n v="136.30000000000001"/>
    <n v="118.8"/>
    <n v="138.30000000000001"/>
    <n v="120.5"/>
    <n v="143.9"/>
    <n v="118"/>
    <n v="137.9"/>
    <n v="127.2"/>
    <n v="144"/>
    <n v="133.1"/>
    <n v="145.1"/>
    <n v="137.30000000000001"/>
    <n v="130.6"/>
    <n v="136.4"/>
    <n v="131.1"/>
    <x v="94"/>
    <n v="130.1"/>
    <n v="127.8"/>
    <n v="117.6"/>
    <n v="125"/>
    <n v="133.80000000000001"/>
    <n v="122.6"/>
    <n v="125.1"/>
    <x v="105"/>
  </r>
  <r>
    <x v="0"/>
    <x v="4"/>
    <x v="3"/>
    <n v="133.19999999999999"/>
    <n v="138.69999999999999"/>
    <n v="127.1"/>
    <n v="137.69999999999999"/>
    <n v="121.3"/>
    <n v="141.80000000000001"/>
    <n v="121.5"/>
    <n v="144.5"/>
    <n v="117.4"/>
    <n v="134.1"/>
    <n v="130"/>
    <n v="145.5"/>
    <n v="133.5"/>
    <n v="144.4"/>
    <n v="142.4"/>
    <n v="136.80000000000001"/>
    <n v="141.6"/>
    <n v="131.69999999999999"/>
    <x v="113"/>
    <n v="134.30000000000001"/>
    <n v="131"/>
    <n v="119.2"/>
    <n v="128.30000000000001"/>
    <n v="135.69999999999999"/>
    <n v="123.7"/>
    <n v="127.5"/>
    <x v="120"/>
  </r>
  <r>
    <x v="1"/>
    <x v="4"/>
    <x v="3"/>
    <n v="132.69999999999999"/>
    <n v="140.6"/>
    <n v="124.5"/>
    <n v="136.30000000000001"/>
    <n v="113.5"/>
    <n v="137.69999999999999"/>
    <n v="127.1"/>
    <n v="133.80000000000001"/>
    <n v="120.8"/>
    <n v="141.30000000000001"/>
    <n v="123.8"/>
    <n v="142.6"/>
    <n v="133.4"/>
    <n v="148"/>
    <n v="131.19999999999999"/>
    <n v="123"/>
    <n v="130"/>
    <n v="131.69999999999999"/>
    <x v="114"/>
    <n v="126"/>
    <n v="123.4"/>
    <n v="114.3"/>
    <n v="122.6"/>
    <n v="133.6"/>
    <n v="122.2"/>
    <n v="122.5"/>
    <x v="121"/>
  </r>
  <r>
    <x v="2"/>
    <x v="4"/>
    <x v="3"/>
    <n v="133"/>
    <n v="139.4"/>
    <n v="126.1"/>
    <n v="137.19999999999999"/>
    <n v="118.4"/>
    <n v="139.9"/>
    <n v="123.4"/>
    <n v="140.9"/>
    <n v="118.5"/>
    <n v="136.5"/>
    <n v="127.4"/>
    <n v="144.19999999999999"/>
    <n v="133.5"/>
    <n v="145.4"/>
    <n v="138"/>
    <n v="131.1"/>
    <n v="137"/>
    <n v="131.69999999999999"/>
    <x v="98"/>
    <n v="130.4"/>
    <n v="128.1"/>
    <n v="116.6"/>
    <n v="125.1"/>
    <n v="134.5"/>
    <n v="123.1"/>
    <n v="125.1"/>
    <x v="101"/>
  </r>
  <r>
    <x v="0"/>
    <x v="4"/>
    <x v="4"/>
    <n v="133.1"/>
    <n v="140.30000000000001"/>
    <n v="126.8"/>
    <n v="138.19999999999999"/>
    <n v="120.8"/>
    <n v="140.19999999999999"/>
    <n v="123.8"/>
    <n v="141.80000000000001"/>
    <n v="118.6"/>
    <n v="134"/>
    <n v="130.30000000000001"/>
    <n v="145.80000000000001"/>
    <n v="133.80000000000001"/>
    <n v="145.5"/>
    <n v="142.5"/>
    <n v="137.30000000000001"/>
    <n v="141.80000000000001"/>
    <n v="132.1"/>
    <x v="113"/>
    <n v="134.9"/>
    <n v="131.4"/>
    <n v="119.4"/>
    <n v="129.4"/>
    <n v="136.30000000000001"/>
    <n v="123.7"/>
    <n v="127.9"/>
    <x v="122"/>
  </r>
  <r>
    <x v="1"/>
    <x v="4"/>
    <x v="4"/>
    <n v="132.6"/>
    <n v="144.1"/>
    <n v="125.6"/>
    <n v="136.80000000000001"/>
    <n v="113.4"/>
    <n v="135.19999999999999"/>
    <n v="129.19999999999999"/>
    <n v="131.5"/>
    <n v="121"/>
    <n v="139.9"/>
    <n v="123.8"/>
    <n v="142.9"/>
    <n v="133.6"/>
    <n v="148.30000000000001"/>
    <n v="131.5"/>
    <n v="123.2"/>
    <n v="130.19999999999999"/>
    <n v="132.1"/>
    <x v="67"/>
    <n v="126.5"/>
    <n v="123.6"/>
    <n v="114.3"/>
    <n v="122.8"/>
    <n v="133.80000000000001"/>
    <n v="122"/>
    <n v="122.6"/>
    <x v="123"/>
  </r>
  <r>
    <x v="2"/>
    <x v="4"/>
    <x v="4"/>
    <n v="132.9"/>
    <n v="141.6"/>
    <n v="126.3"/>
    <n v="137.69999999999999"/>
    <n v="118.1"/>
    <n v="137.9"/>
    <n v="125.6"/>
    <n v="138.30000000000001"/>
    <n v="119.4"/>
    <n v="136"/>
    <n v="127.6"/>
    <n v="144.5"/>
    <n v="133.69999999999999"/>
    <n v="146.19999999999999"/>
    <n v="138.19999999999999"/>
    <n v="131.4"/>
    <n v="137.19999999999999"/>
    <n v="132.1"/>
    <x v="115"/>
    <n v="130.9"/>
    <n v="128.4"/>
    <n v="116.7"/>
    <n v="125.7"/>
    <n v="134.80000000000001"/>
    <n v="123"/>
    <n v="125.3"/>
    <x v="107"/>
  </r>
  <r>
    <x v="0"/>
    <x v="4"/>
    <x v="5"/>
    <n v="133.5"/>
    <n v="143.69999999999999"/>
    <n v="128"/>
    <n v="138.6"/>
    <n v="120.9"/>
    <n v="140.9"/>
    <n v="128.80000000000001"/>
    <n v="140.19999999999999"/>
    <n v="118.9"/>
    <n v="133.5"/>
    <n v="130.4"/>
    <n v="146.5"/>
    <n v="134.9"/>
    <n v="145.80000000000001"/>
    <n v="143.1"/>
    <n v="137.69999999999999"/>
    <n v="142.30000000000001"/>
    <n v="131.4"/>
    <x v="116"/>
    <n v="135.19999999999999"/>
    <n v="131.30000000000001"/>
    <n v="119.4"/>
    <n v="129.80000000000001"/>
    <n v="136.9"/>
    <n v="124.1"/>
    <n v="128.1"/>
    <x v="124"/>
  </r>
  <r>
    <x v="1"/>
    <x v="4"/>
    <x v="5"/>
    <n v="132.9"/>
    <n v="148.69999999999999"/>
    <n v="128.30000000000001"/>
    <n v="137.30000000000001"/>
    <n v="113.5"/>
    <n v="137.19999999999999"/>
    <n v="142.19999999999999"/>
    <n v="128.19999999999999"/>
    <n v="120.9"/>
    <n v="138.80000000000001"/>
    <n v="124.2"/>
    <n v="143.1"/>
    <n v="135.69999999999999"/>
    <n v="148.6"/>
    <n v="131.5"/>
    <n v="123.2"/>
    <n v="130.19999999999999"/>
    <n v="131.4"/>
    <x v="117"/>
    <n v="126.8"/>
    <n v="123.8"/>
    <n v="113.9"/>
    <n v="122.9"/>
    <n v="134.30000000000001"/>
    <n v="122.5"/>
    <n v="122.7"/>
    <x v="125"/>
  </r>
  <r>
    <x v="2"/>
    <x v="4"/>
    <x v="5"/>
    <n v="133.30000000000001"/>
    <n v="145.5"/>
    <n v="128.1"/>
    <n v="138.1"/>
    <n v="118.2"/>
    <n v="139.19999999999999"/>
    <n v="133.30000000000001"/>
    <n v="136.19999999999999"/>
    <n v="119.6"/>
    <n v="135.30000000000001"/>
    <n v="127.8"/>
    <n v="144.9"/>
    <n v="135.19999999999999"/>
    <n v="146.5"/>
    <n v="138.5"/>
    <n v="131.69999999999999"/>
    <n v="137.5"/>
    <n v="131.4"/>
    <x v="118"/>
    <n v="131.19999999999999"/>
    <n v="128.5"/>
    <n v="116.5"/>
    <n v="125.9"/>
    <n v="135.4"/>
    <n v="123.4"/>
    <n v="125.5"/>
    <x v="126"/>
  </r>
  <r>
    <x v="0"/>
    <x v="4"/>
    <x v="6"/>
    <n v="134"/>
    <n v="144.19999999999999"/>
    <n v="129.80000000000001"/>
    <n v="139"/>
    <n v="120.9"/>
    <n v="143.9"/>
    <n v="151.5"/>
    <n v="138.1"/>
    <n v="120"/>
    <n v="133.9"/>
    <n v="131.4"/>
    <n v="147.69999999999999"/>
    <n v="138.5"/>
    <n v="147.4"/>
    <n v="144.30000000000001"/>
    <n v="138.1"/>
    <n v="143.5"/>
    <n v="132.6"/>
    <x v="119"/>
    <n v="136.1"/>
    <n v="132.1"/>
    <n v="119.1"/>
    <n v="130.6"/>
    <n v="138.6"/>
    <n v="124.4"/>
    <n v="128.6"/>
    <x v="127"/>
  </r>
  <r>
    <x v="1"/>
    <x v="4"/>
    <x v="6"/>
    <n v="132.80000000000001"/>
    <n v="148.4"/>
    <n v="129.4"/>
    <n v="137.69999999999999"/>
    <n v="113.4"/>
    <n v="139.4"/>
    <n v="175.1"/>
    <n v="124.7"/>
    <n v="121.5"/>
    <n v="137.80000000000001"/>
    <n v="124.4"/>
    <n v="143.69999999999999"/>
    <n v="139.80000000000001"/>
    <n v="150.5"/>
    <n v="131.6"/>
    <n v="123.7"/>
    <n v="130.4"/>
    <n v="132.6"/>
    <x v="120"/>
    <n v="127.2"/>
    <n v="125"/>
    <n v="113.2"/>
    <n v="123.5"/>
    <n v="135.5"/>
    <n v="122.4"/>
    <n v="123"/>
    <x v="128"/>
  </r>
  <r>
    <x v="2"/>
    <x v="4"/>
    <x v="6"/>
    <n v="133.6"/>
    <n v="145.69999999999999"/>
    <n v="129.6"/>
    <n v="138.5"/>
    <n v="118.1"/>
    <n v="141.80000000000001"/>
    <n v="159.5"/>
    <n v="133.6"/>
    <n v="120.5"/>
    <n v="135.19999999999999"/>
    <n v="128.5"/>
    <n v="145.80000000000001"/>
    <n v="139"/>
    <n v="148.19999999999999"/>
    <n v="139.30000000000001"/>
    <n v="132.1"/>
    <n v="138.30000000000001"/>
    <n v="132.6"/>
    <x v="115"/>
    <n v="131.9"/>
    <n v="129.4"/>
    <n v="116"/>
    <n v="126.6"/>
    <n v="136.80000000000001"/>
    <n v="123.6"/>
    <n v="125.9"/>
    <x v="129"/>
  </r>
  <r>
    <x v="0"/>
    <x v="4"/>
    <x v="7"/>
    <n v="134.80000000000001"/>
    <n v="143.1"/>
    <n v="130"/>
    <n v="139.4"/>
    <n v="120.5"/>
    <n v="148"/>
    <n v="162.9"/>
    <n v="137.4"/>
    <n v="120.8"/>
    <n v="134.69999999999999"/>
    <n v="131.6"/>
    <n v="148.69999999999999"/>
    <n v="140.6"/>
    <n v="149"/>
    <n v="145.30000000000001"/>
    <n v="139.19999999999999"/>
    <n v="144.5"/>
    <n v="134.4"/>
    <x v="121"/>
    <n v="137.30000000000001"/>
    <n v="133"/>
    <n v="120.3"/>
    <n v="131.5"/>
    <n v="140.19999999999999"/>
    <n v="125.4"/>
    <n v="129.69999999999999"/>
    <x v="130"/>
  </r>
  <r>
    <x v="1"/>
    <x v="4"/>
    <x v="7"/>
    <n v="133.19999999999999"/>
    <n v="143.9"/>
    <n v="128.30000000000001"/>
    <n v="138.30000000000001"/>
    <n v="114.1"/>
    <n v="142.69999999999999"/>
    <n v="179.8"/>
    <n v="123.5"/>
    <n v="122.1"/>
    <n v="137.5"/>
    <n v="124.6"/>
    <n v="144.5"/>
    <n v="140.5"/>
    <n v="152.1"/>
    <n v="132.69999999999999"/>
    <n v="124.3"/>
    <n v="131.4"/>
    <n v="134.4"/>
    <x v="122"/>
    <n v="127.7"/>
    <n v="125.7"/>
    <n v="114.6"/>
    <n v="124.1"/>
    <n v="135.69999999999999"/>
    <n v="123.3"/>
    <n v="123.8"/>
    <x v="131"/>
  </r>
  <r>
    <x v="2"/>
    <x v="4"/>
    <x v="7"/>
    <n v="134.30000000000001"/>
    <n v="143.4"/>
    <n v="129.30000000000001"/>
    <n v="139"/>
    <n v="118.1"/>
    <n v="145.5"/>
    <n v="168.6"/>
    <n v="132.69999999999999"/>
    <n v="121.2"/>
    <n v="135.6"/>
    <n v="128.69999999999999"/>
    <n v="146.80000000000001"/>
    <n v="140.6"/>
    <n v="149.80000000000001"/>
    <n v="140.30000000000001"/>
    <n v="133"/>
    <n v="139.30000000000001"/>
    <n v="134.4"/>
    <x v="98"/>
    <n v="132.80000000000001"/>
    <n v="130.19999999999999"/>
    <n v="117.3"/>
    <n v="127.3"/>
    <n v="137.6"/>
    <n v="124.5"/>
    <n v="126.8"/>
    <x v="132"/>
  </r>
  <r>
    <x v="0"/>
    <x v="4"/>
    <x v="8"/>
    <n v="135.19999999999999"/>
    <n v="142"/>
    <n v="130.5"/>
    <n v="140.19999999999999"/>
    <n v="120.7"/>
    <n v="147.80000000000001"/>
    <n v="154.5"/>
    <n v="137.1"/>
    <n v="121"/>
    <n v="134.69999999999999"/>
    <n v="131.69999999999999"/>
    <n v="149.30000000000001"/>
    <n v="139.6"/>
    <n v="149.80000000000001"/>
    <n v="146.1"/>
    <n v="139.69999999999999"/>
    <n v="145.19999999999999"/>
    <n v="135.69999999999999"/>
    <x v="123"/>
    <n v="137.9"/>
    <n v="133.4"/>
    <n v="121.2"/>
    <n v="132.30000000000001"/>
    <n v="139.6"/>
    <n v="126.7"/>
    <n v="130.30000000000001"/>
    <x v="133"/>
  </r>
  <r>
    <x v="1"/>
    <x v="4"/>
    <x v="8"/>
    <n v="133.6"/>
    <n v="143"/>
    <n v="129.69999999999999"/>
    <n v="138.69999999999999"/>
    <n v="114.5"/>
    <n v="137.5"/>
    <n v="160.69999999999999"/>
    <n v="124.5"/>
    <n v="122.4"/>
    <n v="137.30000000000001"/>
    <n v="124.8"/>
    <n v="145"/>
    <n v="138"/>
    <n v="153.6"/>
    <n v="133.30000000000001"/>
    <n v="124.6"/>
    <n v="132"/>
    <n v="135.69999999999999"/>
    <x v="56"/>
    <n v="128.1"/>
    <n v="126.1"/>
    <n v="115.7"/>
    <n v="124.5"/>
    <n v="135.9"/>
    <n v="124.4"/>
    <n v="124.5"/>
    <x v="114"/>
  </r>
  <r>
    <x v="2"/>
    <x v="4"/>
    <x v="8"/>
    <n v="134.69999999999999"/>
    <n v="142.4"/>
    <n v="130.19999999999999"/>
    <n v="139.6"/>
    <n v="118.4"/>
    <n v="143"/>
    <n v="156.6"/>
    <n v="132.9"/>
    <n v="121.5"/>
    <n v="135.6"/>
    <n v="128.80000000000001"/>
    <n v="147.30000000000001"/>
    <n v="139"/>
    <n v="150.80000000000001"/>
    <n v="141.1"/>
    <n v="133.4"/>
    <n v="140"/>
    <n v="135.69999999999999"/>
    <x v="124"/>
    <n v="133.30000000000001"/>
    <n v="130.6"/>
    <n v="118.3"/>
    <n v="127.9"/>
    <n v="137.4"/>
    <n v="125.7"/>
    <n v="127.5"/>
    <x v="134"/>
  </r>
  <r>
    <x v="0"/>
    <x v="4"/>
    <x v="9"/>
    <n v="135.9"/>
    <n v="141.9"/>
    <n v="131"/>
    <n v="141.5"/>
    <n v="121.4"/>
    <n v="146.69999999999999"/>
    <n v="157.1"/>
    <n v="136.4"/>
    <n v="121.4"/>
    <n v="135.6"/>
    <n v="131.30000000000001"/>
    <n v="150.30000000000001"/>
    <n v="140.4"/>
    <n v="150.5"/>
    <n v="147.19999999999999"/>
    <n v="140.6"/>
    <n v="146.19999999999999"/>
    <n v="137.30000000000001"/>
    <x v="125"/>
    <n v="138.4"/>
    <n v="134.19999999999999"/>
    <n v="121"/>
    <n v="133"/>
    <n v="140.1"/>
    <n v="127.4"/>
    <n v="130.69999999999999"/>
    <x v="135"/>
  </r>
  <r>
    <x v="1"/>
    <x v="4"/>
    <x v="9"/>
    <n v="133.9"/>
    <n v="142.80000000000001"/>
    <n v="131.4"/>
    <n v="139.1"/>
    <n v="114.9"/>
    <n v="135.6"/>
    <n v="173.2"/>
    <n v="124.1"/>
    <n v="122.6"/>
    <n v="137.80000000000001"/>
    <n v="125.1"/>
    <n v="145.5"/>
    <n v="139.69999999999999"/>
    <n v="154.6"/>
    <n v="134"/>
    <n v="124.9"/>
    <n v="132.6"/>
    <n v="137.30000000000001"/>
    <x v="63"/>
    <n v="128.30000000000001"/>
    <n v="126.6"/>
    <n v="115"/>
    <n v="124.8"/>
    <n v="136.30000000000001"/>
    <n v="124.6"/>
    <n v="124.5"/>
    <x v="102"/>
  </r>
  <r>
    <x v="2"/>
    <x v="4"/>
    <x v="9"/>
    <n v="135.30000000000001"/>
    <n v="142.19999999999999"/>
    <n v="131.19999999999999"/>
    <n v="140.6"/>
    <n v="119"/>
    <n v="141.5"/>
    <n v="162.6"/>
    <n v="132.30000000000001"/>
    <n v="121.8"/>
    <n v="136.30000000000001"/>
    <n v="128.69999999999999"/>
    <n v="148.1"/>
    <n v="140.1"/>
    <n v="151.6"/>
    <n v="142"/>
    <n v="134.1"/>
    <n v="140.80000000000001"/>
    <n v="137.30000000000001"/>
    <x v="126"/>
    <n v="133.6"/>
    <n v="131.30000000000001"/>
    <n v="117.8"/>
    <n v="128.4"/>
    <n v="137.9"/>
    <n v="126.2"/>
    <n v="127.7"/>
    <x v="136"/>
  </r>
  <r>
    <x v="0"/>
    <x v="4"/>
    <x v="10"/>
    <n v="136.30000000000001"/>
    <n v="142.5"/>
    <n v="140.5"/>
    <n v="141.5"/>
    <n v="121.6"/>
    <n v="147.30000000000001"/>
    <n v="168"/>
    <n v="135.80000000000001"/>
    <n v="122.5"/>
    <n v="136"/>
    <n v="131.9"/>
    <n v="151.4"/>
    <n v="142.4"/>
    <n v="152.1"/>
    <n v="148.19999999999999"/>
    <n v="141.5"/>
    <n v="147.30000000000001"/>
    <n v="138.6"/>
    <x v="127"/>
    <n v="139.4"/>
    <n v="135.80000000000001"/>
    <n v="121.6"/>
    <n v="133.69999999999999"/>
    <n v="141.5"/>
    <n v="128.1"/>
    <n v="131.69999999999999"/>
    <x v="137"/>
  </r>
  <r>
    <x v="1"/>
    <x v="4"/>
    <x v="10"/>
    <n v="134.30000000000001"/>
    <n v="142.1"/>
    <n v="146.69999999999999"/>
    <n v="139.5"/>
    <n v="115.2"/>
    <n v="136.4"/>
    <n v="185.2"/>
    <n v="122.2"/>
    <n v="123.9"/>
    <n v="138.30000000000001"/>
    <n v="125.4"/>
    <n v="146"/>
    <n v="141.5"/>
    <n v="156.19999999999999"/>
    <n v="135"/>
    <n v="125.4"/>
    <n v="133.5"/>
    <n v="138.6"/>
    <x v="75"/>
    <n v="128.80000000000001"/>
    <n v="127.4"/>
    <n v="115.3"/>
    <n v="125.1"/>
    <n v="136.6"/>
    <n v="124.9"/>
    <n v="124.9"/>
    <x v="138"/>
  </r>
  <r>
    <x v="2"/>
    <x v="4"/>
    <x v="10"/>
    <n v="135.69999999999999"/>
    <n v="142.4"/>
    <n v="142.9"/>
    <n v="140.80000000000001"/>
    <n v="119.2"/>
    <n v="142.19999999999999"/>
    <n v="173.8"/>
    <n v="131.19999999999999"/>
    <n v="123"/>
    <n v="136.80000000000001"/>
    <n v="129.19999999999999"/>
    <n v="148.9"/>
    <n v="142.1"/>
    <n v="153.19999999999999"/>
    <n v="143"/>
    <n v="134.80000000000001"/>
    <n v="141.80000000000001"/>
    <n v="138.6"/>
    <x v="119"/>
    <n v="134.4"/>
    <n v="132.6"/>
    <n v="118.3"/>
    <n v="128.9"/>
    <n v="138.6"/>
    <n v="126.8"/>
    <n v="128.4"/>
    <x v="133"/>
  </r>
  <r>
    <x v="0"/>
    <x v="4"/>
    <x v="11"/>
    <n v="136.4"/>
    <n v="143.69999999999999"/>
    <n v="144.80000000000001"/>
    <n v="141.9"/>
    <n v="123.1"/>
    <n v="147.19999999999999"/>
    <n v="161"/>
    <n v="133.80000000000001"/>
    <n v="121.9"/>
    <n v="135.80000000000001"/>
    <n v="131.1"/>
    <n v="151.4"/>
    <n v="141.5"/>
    <n v="153.19999999999999"/>
    <n v="148"/>
    <n v="141.9"/>
    <n v="147.19999999999999"/>
    <n v="139.1"/>
    <x v="128"/>
    <n v="139.5"/>
    <n v="136.1"/>
    <n v="122"/>
    <n v="133.4"/>
    <n v="141.1"/>
    <n v="127.8"/>
    <n v="131.9"/>
    <x v="139"/>
  </r>
  <r>
    <x v="1"/>
    <x v="4"/>
    <x v="11"/>
    <n v="134.4"/>
    <n v="142.6"/>
    <n v="145.9"/>
    <n v="139.5"/>
    <n v="115.9"/>
    <n v="135"/>
    <n v="163.19999999999999"/>
    <n v="119.8"/>
    <n v="120.7"/>
    <n v="139.69999999999999"/>
    <n v="125.7"/>
    <n v="146.30000000000001"/>
    <n v="138.80000000000001"/>
    <n v="157"/>
    <n v="135.6"/>
    <n v="125.6"/>
    <n v="134"/>
    <n v="139.1"/>
    <x v="109"/>
    <n v="129.30000000000001"/>
    <n v="128.19999999999999"/>
    <n v="115.3"/>
    <n v="125.6"/>
    <n v="136.69999999999999"/>
    <n v="124.6"/>
    <n v="125.1"/>
    <x v="140"/>
  </r>
  <r>
    <x v="2"/>
    <x v="4"/>
    <x v="11"/>
    <n v="135.80000000000001"/>
    <n v="143.30000000000001"/>
    <n v="145.19999999999999"/>
    <n v="141"/>
    <n v="120.5"/>
    <n v="141.5"/>
    <n v="161.69999999999999"/>
    <n v="129.1"/>
    <n v="121.5"/>
    <n v="137.1"/>
    <n v="128.80000000000001"/>
    <n v="149"/>
    <n v="140.5"/>
    <n v="154.19999999999999"/>
    <n v="143.1"/>
    <n v="135.1"/>
    <n v="142"/>
    <n v="139.1"/>
    <x v="129"/>
    <n v="134.69999999999999"/>
    <n v="133.1"/>
    <n v="118.5"/>
    <n v="129"/>
    <n v="138.5"/>
    <n v="126.5"/>
    <n v="128.6"/>
    <x v="141"/>
  </r>
  <r>
    <x v="0"/>
    <x v="5"/>
    <x v="0"/>
    <n v="136.6"/>
    <n v="144.4"/>
    <n v="143.80000000000001"/>
    <n v="142"/>
    <n v="123.2"/>
    <n v="147.9"/>
    <n v="152.1"/>
    <n v="131.80000000000001"/>
    <n v="119.5"/>
    <n v="136"/>
    <n v="131.19999999999999"/>
    <n v="151.80000000000001"/>
    <n v="140.4"/>
    <n v="153.6"/>
    <n v="148.30000000000001"/>
    <n v="142.30000000000001"/>
    <n v="147.5"/>
    <n v="140.4"/>
    <x v="130"/>
    <n v="139.80000000000001"/>
    <n v="136"/>
    <n v="122.7"/>
    <n v="134.30000000000001"/>
    <n v="141.6"/>
    <n v="128.6"/>
    <n v="132.30000000000001"/>
    <x v="142"/>
  </r>
  <r>
    <x v="1"/>
    <x v="5"/>
    <x v="0"/>
    <n v="134.6"/>
    <n v="143.69999999999999"/>
    <n v="143.6"/>
    <n v="139.6"/>
    <n v="116.4"/>
    <n v="133.80000000000001"/>
    <n v="150.5"/>
    <n v="118.4"/>
    <n v="117.3"/>
    <n v="140.5"/>
    <n v="125.9"/>
    <n v="146.80000000000001"/>
    <n v="137.19999999999999"/>
    <n v="157.69999999999999"/>
    <n v="136"/>
    <n v="125.9"/>
    <n v="134.4"/>
    <n v="140.4"/>
    <x v="131"/>
    <n v="129.5"/>
    <n v="129"/>
    <n v="116.3"/>
    <n v="126.2"/>
    <n v="137.1"/>
    <n v="125.5"/>
    <n v="125.8"/>
    <x v="140"/>
  </r>
  <r>
    <x v="2"/>
    <x v="5"/>
    <x v="0"/>
    <n v="136"/>
    <n v="144.19999999999999"/>
    <n v="143.69999999999999"/>
    <n v="141.1"/>
    <n v="120.7"/>
    <n v="141.30000000000001"/>
    <n v="151.6"/>
    <n v="127.3"/>
    <n v="118.8"/>
    <n v="137.5"/>
    <n v="129"/>
    <n v="149.5"/>
    <n v="139.19999999999999"/>
    <n v="154.69999999999999"/>
    <n v="143.5"/>
    <n v="135.5"/>
    <n v="142.30000000000001"/>
    <n v="140.4"/>
    <x v="129"/>
    <n v="134.9"/>
    <n v="133.30000000000001"/>
    <n v="119.3"/>
    <n v="129.69999999999999"/>
    <n v="139"/>
    <n v="127.3"/>
    <n v="129.1"/>
    <x v="143"/>
  </r>
  <r>
    <x v="0"/>
    <x v="5"/>
    <x v="1"/>
    <n v="136.4"/>
    <n v="143.69999999999999"/>
    <n v="140.6"/>
    <n v="141.5"/>
    <n v="122.9"/>
    <n v="149.4"/>
    <n v="142.4"/>
    <n v="130.19999999999999"/>
    <n v="117.9"/>
    <n v="135.6"/>
    <n v="130.5"/>
    <n v="151.69999999999999"/>
    <n v="138.69999999999999"/>
    <n v="153.30000000000001"/>
    <n v="148.69999999999999"/>
    <n v="142.4"/>
    <n v="147.80000000000001"/>
    <n v="141.30000000000001"/>
    <x v="132"/>
    <n v="139.9"/>
    <n v="136.19999999999999"/>
    <n v="123.3"/>
    <n v="134.30000000000001"/>
    <n v="141.5"/>
    <n v="128.80000000000001"/>
    <n v="132.5"/>
    <x v="144"/>
  </r>
  <r>
    <x v="1"/>
    <x v="5"/>
    <x v="1"/>
    <n v="134.80000000000001"/>
    <n v="143"/>
    <n v="139.9"/>
    <n v="139.9"/>
    <n v="116.2"/>
    <n v="135.5"/>
    <n v="136.9"/>
    <n v="117"/>
    <n v="115.4"/>
    <n v="140.69999999999999"/>
    <n v="125.9"/>
    <n v="147.1"/>
    <n v="135.6"/>
    <n v="159.30000000000001"/>
    <n v="136.30000000000001"/>
    <n v="126.1"/>
    <n v="134.69999999999999"/>
    <n v="141.30000000000001"/>
    <x v="131"/>
    <n v="129.9"/>
    <n v="129.80000000000001"/>
    <n v="117.4"/>
    <n v="126.5"/>
    <n v="137.19999999999999"/>
    <n v="126.2"/>
    <n v="126.5"/>
    <x v="145"/>
  </r>
  <r>
    <x v="2"/>
    <x v="5"/>
    <x v="1"/>
    <n v="135.9"/>
    <n v="143.5"/>
    <n v="140.30000000000001"/>
    <n v="140.9"/>
    <n v="120.4"/>
    <n v="142.9"/>
    <n v="140.5"/>
    <n v="125.8"/>
    <n v="117.1"/>
    <n v="137.30000000000001"/>
    <n v="128.6"/>
    <n v="149.6"/>
    <n v="137.6"/>
    <n v="154.9"/>
    <n v="143.80000000000001"/>
    <n v="135.6"/>
    <n v="142.6"/>
    <n v="141.30000000000001"/>
    <x v="133"/>
    <n v="135.19999999999999"/>
    <n v="133.80000000000001"/>
    <n v="120.2"/>
    <n v="129.9"/>
    <n v="139"/>
    <n v="127.7"/>
    <n v="129.6"/>
    <x v="146"/>
  </r>
  <r>
    <x v="0"/>
    <x v="5"/>
    <x v="2"/>
    <n v="136.80000000000001"/>
    <n v="143.80000000000001"/>
    <n v="140"/>
    <n v="142"/>
    <n v="123.2"/>
    <n v="152.9"/>
    <n v="138"/>
    <n v="129.30000000000001"/>
    <n v="117.1"/>
    <n v="136.30000000000001"/>
    <n v="131.19999999999999"/>
    <n v="152.80000000000001"/>
    <n v="138.6"/>
    <n v="155.1"/>
    <n v="149.19999999999999"/>
    <n v="143"/>
    <n v="148.30000000000001"/>
    <n v="142"/>
    <x v="128"/>
    <n v="139.9"/>
    <n v="136.69999999999999"/>
    <n v="124.6"/>
    <n v="135.1"/>
    <n v="142.69999999999999"/>
    <n v="129.30000000000001"/>
    <n v="133.30000000000001"/>
    <x v="147"/>
  </r>
  <r>
    <x v="1"/>
    <x v="5"/>
    <x v="2"/>
    <n v="135"/>
    <n v="143.1"/>
    <n v="135.5"/>
    <n v="139.9"/>
    <n v="116.5"/>
    <n v="138.5"/>
    <n v="128"/>
    <n v="115.5"/>
    <n v="114.2"/>
    <n v="140.69999999999999"/>
    <n v="126.2"/>
    <n v="147.6"/>
    <n v="134.80000000000001"/>
    <n v="159.69999999999999"/>
    <n v="136.69999999999999"/>
    <n v="126.7"/>
    <n v="135.19999999999999"/>
    <n v="142"/>
    <x v="134"/>
    <n v="130.80000000000001"/>
    <n v="130.5"/>
    <n v="117.8"/>
    <n v="126.8"/>
    <n v="137.80000000000001"/>
    <n v="126.7"/>
    <n v="127.1"/>
    <x v="145"/>
  </r>
  <r>
    <x v="2"/>
    <x v="5"/>
    <x v="2"/>
    <n v="136.19999999999999"/>
    <n v="143.6"/>
    <n v="138.30000000000001"/>
    <n v="141.19999999999999"/>
    <n v="120.7"/>
    <n v="146.19999999999999"/>
    <n v="134.6"/>
    <n v="124.6"/>
    <n v="116.1"/>
    <n v="137.80000000000001"/>
    <n v="129.1"/>
    <n v="150.4"/>
    <n v="137.19999999999999"/>
    <n v="156.30000000000001"/>
    <n v="144.30000000000001"/>
    <n v="136.19999999999999"/>
    <n v="143.1"/>
    <n v="142"/>
    <x v="135"/>
    <n v="135.6"/>
    <n v="134.30000000000001"/>
    <n v="121"/>
    <n v="130.4"/>
    <n v="139.80000000000001"/>
    <n v="128.19999999999999"/>
    <n v="130.30000000000001"/>
    <x v="148"/>
  </r>
  <r>
    <x v="0"/>
    <x v="5"/>
    <x v="3"/>
    <n v="137.1"/>
    <n v="144.5"/>
    <n v="135.9"/>
    <n v="142.4"/>
    <n v="123.5"/>
    <n v="156.4"/>
    <n v="135.1"/>
    <n v="128.4"/>
    <n v="115.2"/>
    <n v="137.19999999999999"/>
    <n v="131.9"/>
    <n v="153.80000000000001"/>
    <n v="138.6"/>
    <n v="156.1"/>
    <n v="150.1"/>
    <n v="143.30000000000001"/>
    <n v="149.1"/>
    <n v="142.9"/>
    <x v="136"/>
    <n v="140.9"/>
    <n v="137.6"/>
    <n v="125.3"/>
    <n v="136"/>
    <n v="143.69999999999999"/>
    <n v="130.4"/>
    <n v="134.19999999999999"/>
    <x v="149"/>
  </r>
  <r>
    <x v="1"/>
    <x v="5"/>
    <x v="3"/>
    <n v="135"/>
    <n v="144.30000000000001"/>
    <n v="130.80000000000001"/>
    <n v="140.30000000000001"/>
    <n v="116.6"/>
    <n v="150.1"/>
    <n v="127.6"/>
    <n v="114"/>
    <n v="110.6"/>
    <n v="140.19999999999999"/>
    <n v="126.5"/>
    <n v="148.30000000000001"/>
    <n v="135.69999999999999"/>
    <n v="159.19999999999999"/>
    <n v="137.80000000000001"/>
    <n v="127.4"/>
    <n v="136.19999999999999"/>
    <n v="142.9"/>
    <x v="137"/>
    <n v="131.80000000000001"/>
    <n v="131.30000000000001"/>
    <n v="118.9"/>
    <n v="127.6"/>
    <n v="139.69999999999999"/>
    <n v="127.6"/>
    <n v="128.19999999999999"/>
    <x v="138"/>
  </r>
  <r>
    <x v="2"/>
    <x v="5"/>
    <x v="3"/>
    <n v="136.4"/>
    <n v="144.4"/>
    <n v="133.9"/>
    <n v="141.6"/>
    <n v="121"/>
    <n v="153.5"/>
    <n v="132.6"/>
    <n v="123.5"/>
    <n v="113.7"/>
    <n v="138.19999999999999"/>
    <n v="129.6"/>
    <n v="151.19999999999999"/>
    <n v="137.5"/>
    <n v="156.9"/>
    <n v="145.30000000000001"/>
    <n v="136.69999999999999"/>
    <n v="144"/>
    <n v="142.9"/>
    <x v="135"/>
    <n v="136.6"/>
    <n v="135.19999999999999"/>
    <n v="121.9"/>
    <n v="131.30000000000001"/>
    <n v="141.4"/>
    <n v="129.19999999999999"/>
    <n v="131.30000000000001"/>
    <x v="150"/>
  </r>
  <r>
    <x v="0"/>
    <x v="5"/>
    <x v="4"/>
    <n v="137.4"/>
    <n v="145.69999999999999"/>
    <n v="135.5"/>
    <n v="142.9"/>
    <n v="123.6"/>
    <n v="157.5"/>
    <n v="137.80000000000001"/>
    <n v="127.2"/>
    <n v="111.8"/>
    <n v="137.4"/>
    <n v="132.19999999999999"/>
    <n v="154.30000000000001"/>
    <n v="139.1"/>
    <n v="157"/>
    <n v="150.80000000000001"/>
    <n v="144.1"/>
    <n v="149.80000000000001"/>
    <n v="143.19999999999999"/>
    <x v="138"/>
    <n v="141.80000000000001"/>
    <n v="138.4"/>
    <n v="126.4"/>
    <n v="136.80000000000001"/>
    <n v="144.4"/>
    <n v="131.19999999999999"/>
    <n v="135.1"/>
    <x v="139"/>
  </r>
  <r>
    <x v="1"/>
    <x v="5"/>
    <x v="4"/>
    <n v="135"/>
    <n v="148.19999999999999"/>
    <n v="130.5"/>
    <n v="140.69999999999999"/>
    <n v="116.4"/>
    <n v="151.30000000000001"/>
    <n v="131.4"/>
    <n v="112.8"/>
    <n v="105.3"/>
    <n v="139.6"/>
    <n v="126.6"/>
    <n v="148.69999999999999"/>
    <n v="136.4"/>
    <n v="160.30000000000001"/>
    <n v="138.6"/>
    <n v="127.9"/>
    <n v="137"/>
    <n v="143.19999999999999"/>
    <x v="139"/>
    <n v="132.5"/>
    <n v="132"/>
    <n v="119.8"/>
    <n v="128"/>
    <n v="140.4"/>
    <n v="128.1"/>
    <n v="128.9"/>
    <x v="132"/>
  </r>
  <r>
    <x v="2"/>
    <x v="5"/>
    <x v="4"/>
    <n v="136.6"/>
    <n v="146.6"/>
    <n v="133.6"/>
    <n v="142.1"/>
    <n v="121"/>
    <n v="154.6"/>
    <n v="135.6"/>
    <n v="122.3"/>
    <n v="109.6"/>
    <n v="138.1"/>
    <n v="129.9"/>
    <n v="151.69999999999999"/>
    <n v="138.1"/>
    <n v="157.9"/>
    <n v="146"/>
    <n v="137.4"/>
    <n v="144.69999999999999"/>
    <n v="143.19999999999999"/>
    <x v="140"/>
    <n v="137.4"/>
    <n v="136"/>
    <n v="122.9"/>
    <n v="131.80000000000001"/>
    <n v="142.1"/>
    <n v="129.9"/>
    <n v="132.1"/>
    <x v="130"/>
  </r>
  <r>
    <x v="0"/>
    <x v="5"/>
    <x v="5"/>
    <n v="137.6"/>
    <n v="148.1"/>
    <n v="136.69999999999999"/>
    <n v="143.19999999999999"/>
    <n v="124"/>
    <n v="154.1"/>
    <n v="143.5"/>
    <n v="126"/>
    <n v="112.4"/>
    <n v="137.6"/>
    <n v="132.80000000000001"/>
    <n v="154.30000000000001"/>
    <n v="140"/>
    <n v="157.30000000000001"/>
    <n v="151.30000000000001"/>
    <n v="144.69999999999999"/>
    <n v="150.30000000000001"/>
    <n v="142.5"/>
    <x v="141"/>
    <n v="142.19999999999999"/>
    <n v="138.4"/>
    <n v="127.4"/>
    <n v="137.80000000000001"/>
    <n v="145.1"/>
    <n v="131.4"/>
    <n v="135.6"/>
    <x v="151"/>
  </r>
  <r>
    <x v="1"/>
    <x v="5"/>
    <x v="5"/>
    <n v="135.30000000000001"/>
    <n v="149.69999999999999"/>
    <n v="133.9"/>
    <n v="140.80000000000001"/>
    <n v="116.6"/>
    <n v="152.19999999999999"/>
    <n v="144"/>
    <n v="112.3"/>
    <n v="108.4"/>
    <n v="140"/>
    <n v="126.7"/>
    <n v="149"/>
    <n v="138.4"/>
    <n v="161"/>
    <n v="138.9"/>
    <n v="128.69999999999999"/>
    <n v="137.4"/>
    <n v="142.5"/>
    <x v="142"/>
    <n v="133.1"/>
    <n v="132.6"/>
    <n v="120.4"/>
    <n v="128.5"/>
    <n v="141.19999999999999"/>
    <n v="128.19999999999999"/>
    <n v="129.5"/>
    <x v="127"/>
  </r>
  <r>
    <x v="2"/>
    <x v="5"/>
    <x v="5"/>
    <n v="136.9"/>
    <n v="148.69999999999999"/>
    <n v="135.6"/>
    <n v="142.30000000000001"/>
    <n v="121.3"/>
    <n v="153.19999999999999"/>
    <n v="143.69999999999999"/>
    <n v="121.4"/>
    <n v="111.1"/>
    <n v="138.4"/>
    <n v="130.30000000000001"/>
    <n v="151.80000000000001"/>
    <n v="139.4"/>
    <n v="158.30000000000001"/>
    <n v="146.4"/>
    <n v="138.1"/>
    <n v="145.19999999999999"/>
    <n v="142.5"/>
    <x v="125"/>
    <n v="137.9"/>
    <n v="136.19999999999999"/>
    <n v="123.7"/>
    <n v="132.6"/>
    <n v="142.80000000000001"/>
    <n v="130.1"/>
    <n v="132.6"/>
    <x v="144"/>
  </r>
  <r>
    <x v="0"/>
    <x v="5"/>
    <x v="6"/>
    <n v="138.4"/>
    <n v="149.30000000000001"/>
    <n v="139.30000000000001"/>
    <n v="143.4"/>
    <n v="124.1"/>
    <n v="153.30000000000001"/>
    <n v="154.19999999999999"/>
    <n v="126.4"/>
    <n v="114.3"/>
    <n v="138.19999999999999"/>
    <n v="132.80000000000001"/>
    <n v="154.80000000000001"/>
    <n v="142"/>
    <n v="156.1"/>
    <n v="151.5"/>
    <n v="145.1"/>
    <n v="150.6"/>
    <n v="143.6"/>
    <x v="143"/>
    <n v="143.1"/>
    <n v="139"/>
    <n v="127.5"/>
    <n v="138.4"/>
    <n v="145.80000000000001"/>
    <n v="131.4"/>
    <n v="136"/>
    <x v="152"/>
  </r>
  <r>
    <x v="1"/>
    <x v="5"/>
    <x v="6"/>
    <n v="135.6"/>
    <n v="148.6"/>
    <n v="139.1"/>
    <n v="141"/>
    <n v="116.7"/>
    <n v="149.69999999999999"/>
    <n v="159.19999999999999"/>
    <n v="112.6"/>
    <n v="111.8"/>
    <n v="140.30000000000001"/>
    <n v="126.8"/>
    <n v="149.4"/>
    <n v="140.30000000000001"/>
    <n v="161.4"/>
    <n v="139.6"/>
    <n v="128.9"/>
    <n v="137.9"/>
    <n v="143.6"/>
    <x v="144"/>
    <n v="133.6"/>
    <n v="133.6"/>
    <n v="120.1"/>
    <n v="129"/>
    <n v="144"/>
    <n v="128.19999999999999"/>
    <n v="130.19999999999999"/>
    <x v="153"/>
  </r>
  <r>
    <x v="2"/>
    <x v="5"/>
    <x v="6"/>
    <n v="137.5"/>
    <n v="149.1"/>
    <n v="139.19999999999999"/>
    <n v="142.5"/>
    <n v="121.4"/>
    <n v="151.6"/>
    <n v="155.9"/>
    <n v="121.7"/>
    <n v="113.5"/>
    <n v="138.9"/>
    <n v="130.30000000000001"/>
    <n v="152.30000000000001"/>
    <n v="141.4"/>
    <n v="157.5"/>
    <n v="146.80000000000001"/>
    <n v="138.4"/>
    <n v="145.6"/>
    <n v="143.6"/>
    <x v="145"/>
    <n v="138.6"/>
    <n v="137"/>
    <n v="123.6"/>
    <n v="133.1"/>
    <n v="144.69999999999999"/>
    <n v="130.1"/>
    <n v="133.19999999999999"/>
    <x v="139"/>
  </r>
  <r>
    <x v="0"/>
    <x v="5"/>
    <x v="7"/>
    <n v="139.19999999999999"/>
    <n v="148.80000000000001"/>
    <n v="139.1"/>
    <n v="143.5"/>
    <n v="125"/>
    <n v="154.4"/>
    <n v="156.30000000000001"/>
    <n v="126.8"/>
    <n v="115.4"/>
    <n v="138.6"/>
    <n v="133.80000000000001"/>
    <n v="155.19999999999999"/>
    <n v="142.69999999999999"/>
    <n v="156.4"/>
    <n v="152.1"/>
    <n v="145.80000000000001"/>
    <n v="151.30000000000001"/>
    <n v="144.6"/>
    <x v="146"/>
    <n v="143.80000000000001"/>
    <n v="139.4"/>
    <n v="128.30000000000001"/>
    <n v="138.6"/>
    <n v="146.9"/>
    <n v="131.30000000000001"/>
    <n v="136.6"/>
    <x v="154"/>
  </r>
  <r>
    <x v="1"/>
    <x v="5"/>
    <x v="7"/>
    <n v="136.5"/>
    <n v="146.4"/>
    <n v="136.6"/>
    <n v="141.19999999999999"/>
    <n v="117.4"/>
    <n v="146.30000000000001"/>
    <n v="157.30000000000001"/>
    <n v="113.6"/>
    <n v="113.3"/>
    <n v="141.1"/>
    <n v="127.4"/>
    <n v="150.4"/>
    <n v="140.1"/>
    <n v="162.1"/>
    <n v="140"/>
    <n v="129"/>
    <n v="138.30000000000001"/>
    <n v="144.6"/>
    <x v="98"/>
    <n v="134.4"/>
    <n v="134.9"/>
    <n v="120.7"/>
    <n v="129.80000000000001"/>
    <n v="145.30000000000001"/>
    <n v="128.30000000000001"/>
    <n v="131"/>
    <x v="155"/>
  </r>
  <r>
    <x v="2"/>
    <x v="5"/>
    <x v="7"/>
    <n v="138.30000000000001"/>
    <n v="148"/>
    <n v="138.1"/>
    <n v="142.6"/>
    <n v="122.2"/>
    <n v="150.6"/>
    <n v="156.6"/>
    <n v="122.4"/>
    <n v="114.7"/>
    <n v="139.4"/>
    <n v="131.1"/>
    <n v="153"/>
    <n v="141.69999999999999"/>
    <n v="157.9"/>
    <n v="147.30000000000001"/>
    <n v="138.80000000000001"/>
    <n v="146.1"/>
    <n v="144.6"/>
    <x v="147"/>
    <n v="139.4"/>
    <n v="137.69999999999999"/>
    <n v="124.3"/>
    <n v="133.6"/>
    <n v="146"/>
    <n v="130.1"/>
    <n v="133.9"/>
    <x v="156"/>
  </r>
  <r>
    <x v="0"/>
    <x v="5"/>
    <x v="8"/>
    <n v="139.4"/>
    <n v="147.19999999999999"/>
    <n v="136.6"/>
    <n v="143.69999999999999"/>
    <n v="124.6"/>
    <n v="150.1"/>
    <n v="149.4"/>
    <n v="125.4"/>
    <n v="114.4"/>
    <n v="138.69999999999999"/>
    <n v="133.1"/>
    <n v="155.9"/>
    <n v="141.30000000000001"/>
    <n v="157.69999999999999"/>
    <n v="152.1"/>
    <n v="146.1"/>
    <n v="151.30000000000001"/>
    <n v="145.30000000000001"/>
    <x v="148"/>
    <n v="144"/>
    <n v="140"/>
    <n v="129.9"/>
    <n v="140"/>
    <n v="147.6"/>
    <n v="132"/>
    <n v="137.4"/>
    <x v="157"/>
  </r>
  <r>
    <x v="1"/>
    <x v="5"/>
    <x v="8"/>
    <n v="137"/>
    <n v="143.1"/>
    <n v="132.80000000000001"/>
    <n v="141.5"/>
    <n v="117.8"/>
    <n v="140"/>
    <n v="151.30000000000001"/>
    <n v="113.5"/>
    <n v="112.3"/>
    <n v="141.19999999999999"/>
    <n v="127.7"/>
    <n v="151.30000000000001"/>
    <n v="138.9"/>
    <n v="163.30000000000001"/>
    <n v="140.80000000000001"/>
    <n v="129.30000000000001"/>
    <n v="139.1"/>
    <n v="145.30000000000001"/>
    <x v="149"/>
    <n v="134.9"/>
    <n v="135.69999999999999"/>
    <n v="122.5"/>
    <n v="130.19999999999999"/>
    <n v="145.19999999999999"/>
    <n v="129.30000000000001"/>
    <n v="131.9"/>
    <x v="158"/>
  </r>
  <r>
    <x v="2"/>
    <x v="5"/>
    <x v="8"/>
    <n v="138.6"/>
    <n v="145.80000000000001"/>
    <n v="135.1"/>
    <n v="142.9"/>
    <n v="122.1"/>
    <n v="145.4"/>
    <n v="150"/>
    <n v="121.4"/>
    <n v="113.7"/>
    <n v="139.5"/>
    <n v="130.80000000000001"/>
    <n v="153.80000000000001"/>
    <n v="140.4"/>
    <n v="159.19999999999999"/>
    <n v="147.69999999999999"/>
    <n v="139.1"/>
    <n v="146.5"/>
    <n v="145.30000000000001"/>
    <x v="130"/>
    <n v="139.69999999999999"/>
    <n v="138.4"/>
    <n v="126"/>
    <n v="134.5"/>
    <n v="146.19999999999999"/>
    <n v="130.9"/>
    <n v="134.69999999999999"/>
    <x v="159"/>
  </r>
  <r>
    <x v="0"/>
    <x v="5"/>
    <x v="9"/>
    <n v="139.30000000000001"/>
    <n v="147.6"/>
    <n v="134.6"/>
    <n v="141.9"/>
    <n v="123.5"/>
    <n v="144.5"/>
    <n v="147.6"/>
    <n v="121.4"/>
    <n v="112.3"/>
    <n v="139.5"/>
    <n v="134.6"/>
    <n v="155.19999999999999"/>
    <n v="140.19999999999999"/>
    <n v="159.6"/>
    <n v="150.69999999999999"/>
    <n v="144.5"/>
    <n v="149.80000000000001"/>
    <n v="146.30000000000001"/>
    <x v="150"/>
    <n v="147.5"/>
    <n v="144.80000000000001"/>
    <n v="130.80000000000001"/>
    <n v="140.1"/>
    <n v="148"/>
    <n v="134.4"/>
    <n v="139.80000000000001"/>
    <x v="160"/>
  </r>
  <r>
    <x v="1"/>
    <x v="5"/>
    <x v="9"/>
    <n v="137.6"/>
    <n v="144.9"/>
    <n v="133.5"/>
    <n v="141.5"/>
    <n v="118"/>
    <n v="139.5"/>
    <n v="153"/>
    <n v="113.2"/>
    <n v="112.8"/>
    <n v="141.1"/>
    <n v="127.6"/>
    <n v="152"/>
    <n v="139.4"/>
    <n v="164"/>
    <n v="141.5"/>
    <n v="129.80000000000001"/>
    <n v="139.69999999999999"/>
    <n v="146.30000000000001"/>
    <x v="151"/>
    <n v="135.1"/>
    <n v="136.19999999999999"/>
    <n v="123.3"/>
    <n v="130.69999999999999"/>
    <n v="145.5"/>
    <n v="130.4"/>
    <n v="132.5"/>
    <x v="161"/>
  </r>
  <r>
    <x v="2"/>
    <x v="5"/>
    <x v="9"/>
    <n v="137.4"/>
    <n v="149.5"/>
    <n v="137.30000000000001"/>
    <n v="141.9"/>
    <n v="121.1"/>
    <n v="142.5"/>
    <n v="146.69999999999999"/>
    <n v="119.1"/>
    <n v="111.9"/>
    <n v="141"/>
    <n v="133.6"/>
    <n v="154.5"/>
    <n v="139.69999999999999"/>
    <n v="162.6"/>
    <n v="148"/>
    <n v="139.19999999999999"/>
    <n v="146.80000000000001"/>
    <n v="146.9"/>
    <x v="152"/>
    <n v="142.19999999999999"/>
    <n v="142.1"/>
    <n v="125.5"/>
    <n v="136.5"/>
    <n v="147.80000000000001"/>
    <n v="132"/>
    <n v="136.30000000000001"/>
    <x v="162"/>
  </r>
  <r>
    <x v="0"/>
    <x v="5"/>
    <x v="10"/>
    <n v="137.1"/>
    <n v="150.80000000000001"/>
    <n v="136.69999999999999"/>
    <n v="141.9"/>
    <n v="122.8"/>
    <n v="143.9"/>
    <n v="147.5"/>
    <n v="121"/>
    <n v="111.6"/>
    <n v="140.6"/>
    <n v="137.5"/>
    <n v="156.1"/>
    <n v="140"/>
    <n v="161.9"/>
    <n v="151.69999999999999"/>
    <n v="145.5"/>
    <n v="150.80000000000001"/>
    <n v="146.9"/>
    <x v="153"/>
    <n v="148"/>
    <n v="145.4"/>
    <n v="130.30000000000001"/>
    <n v="143.1"/>
    <n v="150.19999999999999"/>
    <n v="133.1"/>
    <n v="140.1"/>
    <x v="163"/>
  </r>
  <r>
    <x v="1"/>
    <x v="5"/>
    <x v="10"/>
    <n v="138.1"/>
    <n v="146.30000000000001"/>
    <n v="137.80000000000001"/>
    <n v="141.6"/>
    <n v="118.1"/>
    <n v="141.5"/>
    <n v="145.19999999999999"/>
    <n v="115.3"/>
    <n v="112.5"/>
    <n v="141.4"/>
    <n v="128"/>
    <n v="152.6"/>
    <n v="139.1"/>
    <n v="164.4"/>
    <n v="142.4"/>
    <n v="130.19999999999999"/>
    <n v="140.5"/>
    <n v="146.9"/>
    <x v="133"/>
    <n v="135.80000000000001"/>
    <n v="136.80000000000001"/>
    <n v="121.2"/>
    <n v="131.30000000000001"/>
    <n v="146.1"/>
    <n v="130.5"/>
    <n v="132.19999999999999"/>
    <x v="164"/>
  </r>
  <r>
    <x v="2"/>
    <x v="5"/>
    <x v="10"/>
    <n v="137.4"/>
    <n v="149.19999999999999"/>
    <n v="137.1"/>
    <n v="141.80000000000001"/>
    <n v="121.1"/>
    <n v="142.80000000000001"/>
    <n v="146.69999999999999"/>
    <n v="119.1"/>
    <n v="111.9"/>
    <n v="140.9"/>
    <n v="133.5"/>
    <n v="154.5"/>
    <n v="139.69999999999999"/>
    <n v="162.6"/>
    <n v="148"/>
    <n v="139.1"/>
    <n v="146.69999999999999"/>
    <n v="146.9"/>
    <x v="141"/>
    <n v="142.19999999999999"/>
    <n v="142.1"/>
    <n v="125.5"/>
    <n v="136.5"/>
    <n v="147.80000000000001"/>
    <n v="132"/>
    <n v="136.30000000000001"/>
    <x v="162"/>
  </r>
  <r>
    <x v="0"/>
    <x v="5"/>
    <x v="11"/>
    <n v="137.1"/>
    <n v="151.9"/>
    <n v="137.4"/>
    <n v="142.4"/>
    <n v="124.2"/>
    <n v="140.19999999999999"/>
    <n v="136.6"/>
    <n v="120.9"/>
    <n v="109.9"/>
    <n v="140.19999999999999"/>
    <n v="137.80000000000001"/>
    <n v="156"/>
    <n v="138.5"/>
    <n v="162.4"/>
    <n v="151.6"/>
    <n v="145.9"/>
    <n v="150.80000000000001"/>
    <n v="146.5"/>
    <x v="148"/>
    <n v="149.5"/>
    <n v="149.6"/>
    <n v="128.9"/>
    <n v="143.30000000000001"/>
    <n v="155.1"/>
    <n v="133.19999999999999"/>
    <n v="141.6"/>
    <x v="165"/>
  </r>
  <r>
    <x v="1"/>
    <x v="5"/>
    <x v="11"/>
    <n v="138.5"/>
    <n v="147.80000000000001"/>
    <n v="141.1"/>
    <n v="141.6"/>
    <n v="118.1"/>
    <n v="138.5"/>
    <n v="132.4"/>
    <n v="117.5"/>
    <n v="111"/>
    <n v="141.5"/>
    <n v="128.1"/>
    <n v="152.9"/>
    <n v="137.6"/>
    <n v="164.6"/>
    <n v="142.69999999999999"/>
    <n v="130.30000000000001"/>
    <n v="140.80000000000001"/>
    <n v="146.5"/>
    <x v="154"/>
    <n v="136.19999999999999"/>
    <n v="137.30000000000001"/>
    <n v="118.8"/>
    <n v="131.69999999999999"/>
    <n v="146.5"/>
    <n v="130.80000000000001"/>
    <n v="131.69999999999999"/>
    <x v="155"/>
  </r>
  <r>
    <x v="2"/>
    <x v="5"/>
    <x v="11"/>
    <n v="137.5"/>
    <n v="150.5"/>
    <n v="138.80000000000001"/>
    <n v="142.1"/>
    <n v="122"/>
    <n v="139.4"/>
    <n v="135.19999999999999"/>
    <n v="119.8"/>
    <n v="110.3"/>
    <n v="140.6"/>
    <n v="133.80000000000001"/>
    <n v="154.6"/>
    <n v="138.19999999999999"/>
    <n v="163"/>
    <n v="148.1"/>
    <n v="139.4"/>
    <n v="146.80000000000001"/>
    <n v="146.5"/>
    <x v="155"/>
    <n v="143.19999999999999"/>
    <n v="144.9"/>
    <n v="123.6"/>
    <n v="136.80000000000001"/>
    <n v="150.1"/>
    <n v="132.19999999999999"/>
    <n v="136.80000000000001"/>
    <x v="166"/>
  </r>
  <r>
    <x v="0"/>
    <x v="6"/>
    <x v="0"/>
    <n v="136.6"/>
    <n v="152.5"/>
    <n v="138.19999999999999"/>
    <n v="142.4"/>
    <n v="123.9"/>
    <n v="135.5"/>
    <n v="131.69999999999999"/>
    <n v="121.3"/>
    <n v="108.4"/>
    <n v="138.9"/>
    <n v="137"/>
    <n v="155.80000000000001"/>
    <n v="137.4"/>
    <n v="162.69999999999999"/>
    <n v="150.6"/>
    <n v="145.1"/>
    <n v="149.9"/>
    <n v="147.69999999999999"/>
    <x v="156"/>
    <n v="150.1"/>
    <n v="149.6"/>
    <n v="128.6"/>
    <n v="142.9"/>
    <n v="155.19999999999999"/>
    <n v="133.5"/>
    <n v="141.69999999999999"/>
    <x v="167"/>
  </r>
  <r>
    <x v="1"/>
    <x v="6"/>
    <x v="0"/>
    <n v="138.30000000000001"/>
    <n v="149.4"/>
    <n v="143.5"/>
    <n v="141.69999999999999"/>
    <n v="118.1"/>
    <n v="135.19999999999999"/>
    <n v="130.5"/>
    <n v="118.2"/>
    <n v="110.4"/>
    <n v="140.4"/>
    <n v="128.1"/>
    <n v="153.19999999999999"/>
    <n v="137.30000000000001"/>
    <n v="164.7"/>
    <n v="143"/>
    <n v="130.4"/>
    <n v="141.1"/>
    <n v="147.69999999999999"/>
    <x v="157"/>
    <n v="136.30000000000001"/>
    <n v="137.80000000000001"/>
    <n v="118.6"/>
    <n v="131.9"/>
    <n v="146.6"/>
    <n v="131.69999999999999"/>
    <n v="131.80000000000001"/>
    <x v="155"/>
  </r>
  <r>
    <x v="2"/>
    <x v="6"/>
    <x v="0"/>
    <n v="137.1"/>
    <n v="151.4"/>
    <n v="140.19999999999999"/>
    <n v="142.1"/>
    <n v="121.8"/>
    <n v="135.4"/>
    <n v="131.30000000000001"/>
    <n v="120.3"/>
    <n v="109.1"/>
    <n v="139.4"/>
    <n v="133.30000000000001"/>
    <n v="154.6"/>
    <n v="137.4"/>
    <n v="163.19999999999999"/>
    <n v="147.6"/>
    <n v="139"/>
    <n v="146.4"/>
    <n v="147.69999999999999"/>
    <x v="158"/>
    <n v="143.6"/>
    <n v="145.1"/>
    <n v="123.3"/>
    <n v="136.69999999999999"/>
    <n v="150.19999999999999"/>
    <n v="132.80000000000001"/>
    <n v="136.9"/>
    <x v="168"/>
  </r>
  <r>
    <x v="0"/>
    <x v="6"/>
    <x v="1"/>
    <n v="136.80000000000001"/>
    <n v="153"/>
    <n v="139.1"/>
    <n v="142.5"/>
    <n v="124.1"/>
    <n v="135.80000000000001"/>
    <n v="128.69999999999999"/>
    <n v="121.5"/>
    <n v="108.3"/>
    <n v="139.19999999999999"/>
    <n v="137.4"/>
    <n v="156.19999999999999"/>
    <n v="137.19999999999999"/>
    <n v="162.80000000000001"/>
    <n v="150.5"/>
    <n v="146.1"/>
    <n v="149.9"/>
    <n v="148.5"/>
    <x v="152"/>
    <n v="150.1"/>
    <n v="149.9"/>
    <n v="129.19999999999999"/>
    <n v="143.4"/>
    <n v="155.5"/>
    <n v="134.9"/>
    <n v="142.19999999999999"/>
    <x v="167"/>
  </r>
  <r>
    <x v="1"/>
    <x v="6"/>
    <x v="1"/>
    <n v="139.4"/>
    <n v="150.1"/>
    <n v="145.30000000000001"/>
    <n v="141.69999999999999"/>
    <n v="118.4"/>
    <n v="137"/>
    <n v="131.6"/>
    <n v="119.9"/>
    <n v="110.4"/>
    <n v="140.80000000000001"/>
    <n v="128.30000000000001"/>
    <n v="153.5"/>
    <n v="138"/>
    <n v="164.9"/>
    <n v="143.30000000000001"/>
    <n v="130.80000000000001"/>
    <n v="141.4"/>
    <n v="148.5"/>
    <x v="159"/>
    <n v="136.6"/>
    <n v="138.5"/>
    <n v="119.2"/>
    <n v="132.19999999999999"/>
    <n v="146.6"/>
    <n v="133"/>
    <n v="132.4"/>
    <x v="169"/>
  </r>
  <r>
    <x v="2"/>
    <x v="6"/>
    <x v="1"/>
    <n v="137.6"/>
    <n v="152"/>
    <n v="141.5"/>
    <n v="142.19999999999999"/>
    <n v="122"/>
    <n v="136.4"/>
    <n v="129.69999999999999"/>
    <n v="121"/>
    <n v="109"/>
    <n v="139.69999999999999"/>
    <n v="133.6"/>
    <n v="154.9"/>
    <n v="137.5"/>
    <n v="163.4"/>
    <n v="147.69999999999999"/>
    <n v="139.69999999999999"/>
    <n v="146.5"/>
    <n v="148.5"/>
    <x v="160"/>
    <n v="143.69999999999999"/>
    <n v="145.6"/>
    <n v="123.9"/>
    <n v="137.1"/>
    <n v="150.30000000000001"/>
    <n v="134.1"/>
    <n v="137.4"/>
    <x v="170"/>
  </r>
  <r>
    <x v="0"/>
    <x v="6"/>
    <x v="2"/>
    <n v="136.9"/>
    <n v="154.1"/>
    <n v="138.69999999999999"/>
    <n v="142.5"/>
    <n v="124.1"/>
    <n v="136.1"/>
    <n v="128.19999999999999"/>
    <n v="122.3"/>
    <n v="108.3"/>
    <n v="138.9"/>
    <n v="137.4"/>
    <n v="156.4"/>
    <n v="137.30000000000001"/>
    <n v="162.9"/>
    <n v="150.80000000000001"/>
    <n v="146.1"/>
    <n v="150.1"/>
    <n v="149"/>
    <x v="161"/>
    <n v="150"/>
    <n v="150.4"/>
    <n v="129.9"/>
    <n v="143.80000000000001"/>
    <n v="155.5"/>
    <n v="134"/>
    <n v="142.4"/>
    <x v="171"/>
  </r>
  <r>
    <x v="1"/>
    <x v="6"/>
    <x v="2"/>
    <n v="139.69999999999999"/>
    <n v="151.1"/>
    <n v="142.9"/>
    <n v="141.9"/>
    <n v="118.4"/>
    <n v="139.4"/>
    <n v="141.19999999999999"/>
    <n v="120.7"/>
    <n v="110.4"/>
    <n v="140.69999999999999"/>
    <n v="128.5"/>
    <n v="153.9"/>
    <n v="139.6"/>
    <n v="165.3"/>
    <n v="143.5"/>
    <n v="131.19999999999999"/>
    <n v="141.6"/>
    <n v="149"/>
    <x v="118"/>
    <n v="136.80000000000001"/>
    <n v="139.19999999999999"/>
    <n v="119.9"/>
    <n v="133"/>
    <n v="146.69999999999999"/>
    <n v="132.5"/>
    <n v="132.80000000000001"/>
    <x v="172"/>
  </r>
  <r>
    <x v="2"/>
    <x v="6"/>
    <x v="2"/>
    <n v="137.80000000000001"/>
    <n v="153"/>
    <n v="140.30000000000001"/>
    <n v="142.30000000000001"/>
    <n v="122"/>
    <n v="137.6"/>
    <n v="132.6"/>
    <n v="121.8"/>
    <n v="109"/>
    <n v="139.5"/>
    <n v="133.69999999999999"/>
    <n v="155.19999999999999"/>
    <n v="138.1"/>
    <n v="163.5"/>
    <n v="147.9"/>
    <n v="139.9"/>
    <n v="146.69999999999999"/>
    <n v="149"/>
    <x v="145"/>
    <n v="143.80000000000001"/>
    <n v="146.19999999999999"/>
    <n v="124.6"/>
    <n v="137.69999999999999"/>
    <n v="150.30000000000001"/>
    <n v="133.4"/>
    <n v="137.69999999999999"/>
    <x v="156"/>
  </r>
  <r>
    <x v="0"/>
    <x v="6"/>
    <x v="4"/>
    <n v="137.4"/>
    <n v="159.5"/>
    <n v="134.5"/>
    <n v="142.6"/>
    <n v="124"/>
    <n v="143.69999999999999"/>
    <n v="133.4"/>
    <n v="125.1"/>
    <n v="109.3"/>
    <n v="139.30000000000001"/>
    <n v="137.69999999999999"/>
    <n v="156.4"/>
    <n v="139.19999999999999"/>
    <n v="163.30000000000001"/>
    <n v="151.30000000000001"/>
    <n v="146.6"/>
    <n v="150.69999999999999"/>
    <n v="150.1"/>
    <x v="162"/>
    <n v="149.5"/>
    <n v="151.30000000000001"/>
    <n v="130.19999999999999"/>
    <n v="145.9"/>
    <n v="156.69999999999999"/>
    <n v="133.9"/>
    <n v="142.9"/>
    <x v="163"/>
  </r>
  <r>
    <x v="1"/>
    <x v="6"/>
    <x v="4"/>
    <n v="140.4"/>
    <n v="156.69999999999999"/>
    <n v="138.30000000000001"/>
    <n v="142.4"/>
    <n v="118.6"/>
    <n v="149.69999999999999"/>
    <n v="161.6"/>
    <n v="124.4"/>
    <n v="111.2"/>
    <n v="141"/>
    <n v="128.9"/>
    <n v="154.5"/>
    <n v="143.80000000000001"/>
    <n v="166.2"/>
    <n v="144"/>
    <n v="131.69999999999999"/>
    <n v="142.19999999999999"/>
    <n v="150.1"/>
    <x v="115"/>
    <n v="137.19999999999999"/>
    <n v="139.80000000000001"/>
    <n v="120.1"/>
    <n v="134"/>
    <n v="148"/>
    <n v="132.6"/>
    <n v="133.30000000000001"/>
    <x v="173"/>
  </r>
  <r>
    <x v="2"/>
    <x v="6"/>
    <x v="4"/>
    <n v="138.30000000000001"/>
    <n v="158.5"/>
    <n v="136"/>
    <n v="142.5"/>
    <n v="122"/>
    <n v="146.5"/>
    <n v="143"/>
    <n v="124.9"/>
    <n v="109.9"/>
    <n v="139.9"/>
    <n v="134"/>
    <n v="155.5"/>
    <n v="140.9"/>
    <n v="164.1"/>
    <n v="148.4"/>
    <n v="140.4"/>
    <n v="147.30000000000001"/>
    <n v="150.1"/>
    <x v="163"/>
    <n v="143.69999999999999"/>
    <n v="146.9"/>
    <n v="124.9"/>
    <n v="139.19999999999999"/>
    <n v="151.6"/>
    <n v="133.4"/>
    <n v="138.19999999999999"/>
    <x v="174"/>
  </r>
  <r>
    <x v="0"/>
    <x v="6"/>
    <x v="5"/>
    <n v="137.80000000000001"/>
    <n v="163.5"/>
    <n v="136.19999999999999"/>
    <n v="143.19999999999999"/>
    <n v="124.3"/>
    <n v="143.30000000000001"/>
    <n v="140.6"/>
    <n v="128.69999999999999"/>
    <n v="110.6"/>
    <n v="140.4"/>
    <n v="138"/>
    <n v="156.6"/>
    <n v="141"/>
    <n v="164.2"/>
    <n v="151.4"/>
    <n v="146.5"/>
    <n v="150.69999999999999"/>
    <n v="149.4"/>
    <x v="164"/>
    <n v="149.6"/>
    <n v="151.69999999999999"/>
    <n v="130.19999999999999"/>
    <n v="146.4"/>
    <n v="157.69999999999999"/>
    <n v="134.80000000000001"/>
    <n v="143.30000000000001"/>
    <x v="175"/>
  </r>
  <r>
    <x v="1"/>
    <x v="6"/>
    <x v="5"/>
    <n v="140.69999999999999"/>
    <n v="159.6"/>
    <n v="140.4"/>
    <n v="143.4"/>
    <n v="118.6"/>
    <n v="150.9"/>
    <n v="169.8"/>
    <n v="127.4"/>
    <n v="111.8"/>
    <n v="141"/>
    <n v="129"/>
    <n v="155.1"/>
    <n v="145.6"/>
    <n v="166.7"/>
    <n v="144.30000000000001"/>
    <n v="131.69999999999999"/>
    <n v="142.4"/>
    <n v="149.4"/>
    <x v="165"/>
    <n v="137.4"/>
    <n v="140.30000000000001"/>
    <n v="119.6"/>
    <n v="134.30000000000001"/>
    <n v="148.9"/>
    <n v="133.69999999999999"/>
    <n v="133.6"/>
    <x v="157"/>
  </r>
  <r>
    <x v="2"/>
    <x v="6"/>
    <x v="5"/>
    <n v="138.69999999999999"/>
    <n v="162.1"/>
    <n v="137.80000000000001"/>
    <n v="143.30000000000001"/>
    <n v="122.2"/>
    <n v="146.80000000000001"/>
    <n v="150.5"/>
    <n v="128.30000000000001"/>
    <n v="111"/>
    <n v="140.6"/>
    <n v="134.19999999999999"/>
    <n v="155.9"/>
    <n v="142.69999999999999"/>
    <n v="164.9"/>
    <n v="148.6"/>
    <n v="140.4"/>
    <n v="147.4"/>
    <n v="149.4"/>
    <x v="166"/>
    <n v="143.80000000000001"/>
    <n v="147.4"/>
    <n v="124.6"/>
    <n v="139.6"/>
    <n v="152.5"/>
    <n v="134.30000000000001"/>
    <n v="138.6"/>
    <x v="176"/>
  </r>
  <r>
    <x v="0"/>
    <x v="6"/>
    <x v="6"/>
    <n v="138.4"/>
    <n v="164"/>
    <n v="138.4"/>
    <n v="143.9"/>
    <n v="124.4"/>
    <n v="146.4"/>
    <n v="150.1"/>
    <n v="130.6"/>
    <n v="110.8"/>
    <n v="141.69999999999999"/>
    <n v="138.5"/>
    <n v="156.69999999999999"/>
    <n v="143"/>
    <n v="164.5"/>
    <n v="151.6"/>
    <n v="146.6"/>
    <n v="150.9"/>
    <n v="150.6"/>
    <x v="143"/>
    <n v="150"/>
    <n v="152.19999999999999"/>
    <n v="131.19999999999999"/>
    <n v="147.5"/>
    <n v="159.1"/>
    <n v="136.1"/>
    <n v="144.19999999999999"/>
    <x v="177"/>
  </r>
  <r>
    <x v="1"/>
    <x v="6"/>
    <x v="6"/>
    <n v="141.4"/>
    <n v="160.19999999999999"/>
    <n v="142.5"/>
    <n v="144.1"/>
    <n v="119.3"/>
    <n v="154.69999999999999"/>
    <n v="180.1"/>
    <n v="128.9"/>
    <n v="111.8"/>
    <n v="141.6"/>
    <n v="129.5"/>
    <n v="155.6"/>
    <n v="147.69999999999999"/>
    <n v="167.2"/>
    <n v="144.69999999999999"/>
    <n v="131.9"/>
    <n v="142.69999999999999"/>
    <n v="150.6"/>
    <x v="83"/>
    <n v="137.69999999999999"/>
    <n v="140.80000000000001"/>
    <n v="120.6"/>
    <n v="135"/>
    <n v="150.4"/>
    <n v="135.1"/>
    <n v="134.5"/>
    <x v="178"/>
  </r>
  <r>
    <x v="2"/>
    <x v="6"/>
    <x v="6"/>
    <n v="139.30000000000001"/>
    <n v="162.69999999999999"/>
    <n v="140"/>
    <n v="144"/>
    <n v="122.5"/>
    <n v="150.30000000000001"/>
    <n v="160.30000000000001"/>
    <n v="130"/>
    <n v="111.1"/>
    <n v="141.69999999999999"/>
    <n v="134.69999999999999"/>
    <n v="156.19999999999999"/>
    <n v="144.69999999999999"/>
    <n v="165.2"/>
    <n v="148.9"/>
    <n v="140.5"/>
    <n v="147.6"/>
    <n v="150.6"/>
    <x v="167"/>
    <n v="144.19999999999999"/>
    <n v="147.9"/>
    <n v="125.6"/>
    <n v="140.5"/>
    <n v="154"/>
    <n v="135.69999999999999"/>
    <n v="139.5"/>
    <x v="179"/>
  </r>
  <r>
    <x v="0"/>
    <x v="6"/>
    <x v="7"/>
    <n v="139.19999999999999"/>
    <n v="161.9"/>
    <n v="137.1"/>
    <n v="144.6"/>
    <n v="124.7"/>
    <n v="145.5"/>
    <n v="156.19999999999999"/>
    <n v="131.5"/>
    <n v="111.7"/>
    <n v="142.69999999999999"/>
    <n v="138.5"/>
    <n v="156.9"/>
    <n v="144"/>
    <n v="165.1"/>
    <n v="151.80000000000001"/>
    <n v="146.6"/>
    <n v="151.1"/>
    <n v="151.6"/>
    <x v="161"/>
    <n v="150.19999999999999"/>
    <n v="152.69999999999999"/>
    <n v="131.4"/>
    <n v="148"/>
    <n v="159.69999999999999"/>
    <n v="138.80000000000001"/>
    <n v="144.9"/>
    <x v="180"/>
  </r>
  <r>
    <x v="1"/>
    <x v="6"/>
    <x v="7"/>
    <n v="142.1"/>
    <n v="158.30000000000001"/>
    <n v="140.80000000000001"/>
    <n v="144.9"/>
    <n v="119.9"/>
    <n v="153.9"/>
    <n v="189.1"/>
    <n v="129.80000000000001"/>
    <n v="112.7"/>
    <n v="142.5"/>
    <n v="129.80000000000001"/>
    <n v="156.19999999999999"/>
    <n v="149.1"/>
    <n v="167.9"/>
    <n v="145"/>
    <n v="132.19999999999999"/>
    <n v="143"/>
    <n v="151.6"/>
    <x v="168"/>
    <n v="138.1"/>
    <n v="141.5"/>
    <n v="120.8"/>
    <n v="135.4"/>
    <n v="151.5"/>
    <n v="137.80000000000001"/>
    <n v="135.30000000000001"/>
    <x v="179"/>
  </r>
  <r>
    <x v="2"/>
    <x v="6"/>
    <x v="7"/>
    <n v="140.1"/>
    <n v="160.6"/>
    <n v="138.5"/>
    <n v="144.69999999999999"/>
    <n v="122.9"/>
    <n v="149.4"/>
    <n v="167.4"/>
    <n v="130.9"/>
    <n v="112"/>
    <n v="142.6"/>
    <n v="134.9"/>
    <n v="156.6"/>
    <n v="145.9"/>
    <n v="165.8"/>
    <n v="149.1"/>
    <n v="140.6"/>
    <n v="147.9"/>
    <n v="151.6"/>
    <x v="169"/>
    <n v="144.5"/>
    <n v="148.5"/>
    <n v="125.8"/>
    <n v="140.9"/>
    <n v="154.9"/>
    <n v="138.4"/>
    <n v="140.19999999999999"/>
    <x v="181"/>
  </r>
  <r>
    <x v="0"/>
    <x v="6"/>
    <x v="8"/>
    <n v="140.1"/>
    <n v="161.9"/>
    <n v="138.30000000000001"/>
    <n v="145.69999999999999"/>
    <n v="125.1"/>
    <n v="143.80000000000001"/>
    <n v="163.4"/>
    <n v="132.19999999999999"/>
    <n v="112.8"/>
    <n v="144.19999999999999"/>
    <n v="138.5"/>
    <n v="157.19999999999999"/>
    <n v="145.5"/>
    <n v="165.7"/>
    <n v="151.69999999999999"/>
    <n v="146.6"/>
    <n v="151"/>
    <n v="152.19999999999999"/>
    <x v="162"/>
    <n v="150.30000000000001"/>
    <n v="153.4"/>
    <n v="131.6"/>
    <n v="148.30000000000001"/>
    <n v="160.19999999999999"/>
    <n v="140.19999999999999"/>
    <n v="145.4"/>
    <x v="182"/>
  </r>
  <r>
    <x v="1"/>
    <x v="6"/>
    <x v="8"/>
    <n v="142.69999999999999"/>
    <n v="158.69999999999999"/>
    <n v="141.6"/>
    <n v="144.9"/>
    <n v="120.8"/>
    <n v="149.80000000000001"/>
    <n v="192.4"/>
    <n v="130.30000000000001"/>
    <n v="114"/>
    <n v="143.80000000000001"/>
    <n v="130"/>
    <n v="156.4"/>
    <n v="149.5"/>
    <n v="168.6"/>
    <n v="145.30000000000001"/>
    <n v="132.19999999999999"/>
    <n v="143.30000000000001"/>
    <n v="152.19999999999999"/>
    <x v="106"/>
    <n v="138.30000000000001"/>
    <n v="141.9"/>
    <n v="121.2"/>
    <n v="135.9"/>
    <n v="151.6"/>
    <n v="139"/>
    <n v="135.69999999999999"/>
    <x v="183"/>
  </r>
  <r>
    <x v="2"/>
    <x v="6"/>
    <x v="8"/>
    <n v="140.9"/>
    <n v="160.80000000000001"/>
    <n v="139.6"/>
    <n v="145.4"/>
    <n v="123.5"/>
    <n v="146.6"/>
    <n v="173.2"/>
    <n v="131.6"/>
    <n v="113.2"/>
    <n v="144.1"/>
    <n v="135"/>
    <n v="156.80000000000001"/>
    <n v="147"/>
    <n v="166.5"/>
    <n v="149.19999999999999"/>
    <n v="140.6"/>
    <n v="147.9"/>
    <n v="152.19999999999999"/>
    <x v="170"/>
    <n v="144.6"/>
    <n v="149"/>
    <n v="126.1"/>
    <n v="141.30000000000001"/>
    <n v="155.19999999999999"/>
    <n v="139.69999999999999"/>
    <n v="140.69999999999999"/>
    <x v="184"/>
  </r>
  <r>
    <x v="0"/>
    <x v="6"/>
    <x v="9"/>
    <n v="141"/>
    <n v="161.6"/>
    <n v="141.19999999999999"/>
    <n v="146.5"/>
    <n v="125.6"/>
    <n v="145.69999999999999"/>
    <n v="178.8"/>
    <n v="133.1"/>
    <n v="113.6"/>
    <n v="145.5"/>
    <n v="138.6"/>
    <n v="157.4"/>
    <n v="148.30000000000001"/>
    <n v="166.3"/>
    <n v="151.69999999999999"/>
    <n v="146.69999999999999"/>
    <n v="151"/>
    <n v="153"/>
    <x v="146"/>
    <n v="150.6"/>
    <n v="153.69999999999999"/>
    <n v="131.69999999999999"/>
    <n v="148.69999999999999"/>
    <n v="160.69999999999999"/>
    <n v="140.30000000000001"/>
    <n v="145.69999999999999"/>
    <x v="185"/>
  </r>
  <r>
    <x v="1"/>
    <x v="6"/>
    <x v="9"/>
    <n v="143.5"/>
    <n v="159.80000000000001"/>
    <n v="144.69999999999999"/>
    <n v="145.6"/>
    <n v="121.1"/>
    <n v="150.6"/>
    <n v="207.2"/>
    <n v="131.19999999999999"/>
    <n v="114.8"/>
    <n v="145.19999999999999"/>
    <n v="130.19999999999999"/>
    <n v="156.80000000000001"/>
    <n v="151.9"/>
    <n v="169.3"/>
    <n v="145.9"/>
    <n v="132.4"/>
    <n v="143.9"/>
    <n v="153"/>
    <x v="171"/>
    <n v="138.69999999999999"/>
    <n v="142.4"/>
    <n v="121.5"/>
    <n v="136.19999999999999"/>
    <n v="151.69999999999999"/>
    <n v="139.5"/>
    <n v="136"/>
    <x v="186"/>
  </r>
  <r>
    <x v="2"/>
    <x v="6"/>
    <x v="9"/>
    <n v="141.80000000000001"/>
    <n v="161"/>
    <n v="142.6"/>
    <n v="146.19999999999999"/>
    <n v="123.9"/>
    <n v="148"/>
    <n v="188.4"/>
    <n v="132.5"/>
    <n v="114"/>
    <n v="145.4"/>
    <n v="135.1"/>
    <n v="157.1"/>
    <n v="149.6"/>
    <n v="167.1"/>
    <n v="149.4"/>
    <n v="140.80000000000001"/>
    <n v="148.19999999999999"/>
    <n v="153"/>
    <x v="172"/>
    <n v="145"/>
    <n v="149.4"/>
    <n v="126.3"/>
    <n v="141.69999999999999"/>
    <n v="155.4"/>
    <n v="140"/>
    <n v="141"/>
    <x v="187"/>
  </r>
  <r>
    <x v="0"/>
    <x v="6"/>
    <x v="10"/>
    <n v="141.80000000000001"/>
    <n v="163.69999999999999"/>
    <n v="143.80000000000001"/>
    <n v="147.1"/>
    <n v="126"/>
    <n v="146.19999999999999"/>
    <n v="191.4"/>
    <n v="136.19999999999999"/>
    <n v="113.8"/>
    <n v="147.30000000000001"/>
    <n v="138.69999999999999"/>
    <n v="157.69999999999999"/>
    <n v="150.9"/>
    <n v="167.2"/>
    <n v="152.30000000000001"/>
    <n v="147"/>
    <n v="151.5"/>
    <n v="153.5"/>
    <x v="173"/>
    <n v="150.9"/>
    <n v="154.30000000000001"/>
    <n v="132.1"/>
    <n v="149.1"/>
    <n v="160.80000000000001"/>
    <n v="140.6"/>
    <n v="146.1"/>
    <x v="188"/>
  </r>
  <r>
    <x v="1"/>
    <x v="6"/>
    <x v="10"/>
    <n v="144.1"/>
    <n v="162.4"/>
    <n v="148.4"/>
    <n v="145.9"/>
    <n v="121.5"/>
    <n v="148.80000000000001"/>
    <n v="215.7"/>
    <n v="134.6"/>
    <n v="115"/>
    <n v="146.30000000000001"/>
    <n v="130.5"/>
    <n v="157.19999999999999"/>
    <n v="153.6"/>
    <n v="169.9"/>
    <n v="146.30000000000001"/>
    <n v="132.6"/>
    <n v="144.19999999999999"/>
    <n v="153.5"/>
    <x v="126"/>
    <n v="139.1"/>
    <n v="142.80000000000001"/>
    <n v="121.7"/>
    <n v="136.69999999999999"/>
    <n v="151.80000000000001"/>
    <n v="139.80000000000001"/>
    <n v="136.30000000000001"/>
    <x v="189"/>
  </r>
  <r>
    <x v="2"/>
    <x v="6"/>
    <x v="10"/>
    <n v="142.5"/>
    <n v="163.19999999999999"/>
    <n v="145.6"/>
    <n v="146.69999999999999"/>
    <n v="124.3"/>
    <n v="147.4"/>
    <n v="199.6"/>
    <n v="135.69999999999999"/>
    <n v="114.2"/>
    <n v="147"/>
    <n v="135.30000000000001"/>
    <n v="157.5"/>
    <n v="151.9"/>
    <n v="167.9"/>
    <n v="149.9"/>
    <n v="141"/>
    <n v="148.6"/>
    <n v="153.5"/>
    <x v="130"/>
    <n v="145.30000000000001"/>
    <n v="149.9"/>
    <n v="126.6"/>
    <n v="142.1"/>
    <n v="155.5"/>
    <n v="140.30000000000001"/>
    <n v="141.30000000000001"/>
    <x v="190"/>
  </r>
  <r>
    <x v="0"/>
    <x v="6"/>
    <x v="11"/>
    <n v="142.80000000000001"/>
    <n v="165.3"/>
    <n v="149.5"/>
    <n v="148.69999999999999"/>
    <n v="127.5"/>
    <n v="144.30000000000001"/>
    <n v="209.5"/>
    <n v="138.80000000000001"/>
    <n v="113.6"/>
    <n v="149.1"/>
    <n v="139.30000000000001"/>
    <n v="158.30000000000001"/>
    <n v="154.30000000000001"/>
    <n v="167.8"/>
    <n v="152.6"/>
    <n v="147.30000000000001"/>
    <n v="151.9"/>
    <n v="152.80000000000001"/>
    <x v="174"/>
    <n v="151.19999999999999"/>
    <n v="154.80000000000001"/>
    <n v="135"/>
    <n v="149.5"/>
    <n v="161.1"/>
    <n v="140.6"/>
    <n v="147.1"/>
    <x v="191"/>
  </r>
  <r>
    <x v="1"/>
    <x v="6"/>
    <x v="11"/>
    <n v="144.9"/>
    <n v="164.5"/>
    <n v="153.69999999999999"/>
    <n v="147.5"/>
    <n v="122.7"/>
    <n v="147.19999999999999"/>
    <n v="231.5"/>
    <n v="137.19999999999999"/>
    <n v="114.7"/>
    <n v="148"/>
    <n v="130.80000000000001"/>
    <n v="157.69999999999999"/>
    <n v="156.30000000000001"/>
    <n v="170.4"/>
    <n v="146.80000000000001"/>
    <n v="132.80000000000001"/>
    <n v="144.6"/>
    <n v="152.80000000000001"/>
    <x v="175"/>
    <n v="139.80000000000001"/>
    <n v="143.19999999999999"/>
    <n v="125.2"/>
    <n v="136.80000000000001"/>
    <n v="151.9"/>
    <n v="140.19999999999999"/>
    <n v="137.69999999999999"/>
    <x v="185"/>
  </r>
  <r>
    <x v="2"/>
    <x v="6"/>
    <x v="11"/>
    <n v="143.5"/>
    <n v="165"/>
    <n v="151.1"/>
    <n v="148.30000000000001"/>
    <n v="125.7"/>
    <n v="145.69999999999999"/>
    <n v="217"/>
    <n v="138.30000000000001"/>
    <n v="114"/>
    <n v="148.69999999999999"/>
    <n v="135.80000000000001"/>
    <n v="158"/>
    <n v="155"/>
    <n v="168.5"/>
    <n v="150.30000000000001"/>
    <n v="141.30000000000001"/>
    <n v="149"/>
    <n v="152.80000000000001"/>
    <x v="176"/>
    <n v="145.80000000000001"/>
    <n v="150.4"/>
    <n v="129.80000000000001"/>
    <n v="142.30000000000001"/>
    <n v="155.69999999999999"/>
    <n v="140.4"/>
    <n v="142.5"/>
    <x v="192"/>
  </r>
  <r>
    <x v="0"/>
    <x v="7"/>
    <x v="0"/>
    <n v="143.69999999999999"/>
    <n v="167.3"/>
    <n v="153.5"/>
    <n v="150.5"/>
    <n v="132"/>
    <n v="142.19999999999999"/>
    <n v="191.5"/>
    <n v="141.1"/>
    <n v="113.8"/>
    <n v="151.6"/>
    <n v="139.69999999999999"/>
    <n v="158.69999999999999"/>
    <n v="153"/>
    <n v="168.6"/>
    <n v="152.80000000000001"/>
    <n v="147.4"/>
    <n v="152.1"/>
    <n v="153.9"/>
    <x v="177"/>
    <n v="151.69999999999999"/>
    <n v="155.69999999999999"/>
    <n v="136.30000000000001"/>
    <n v="150.1"/>
    <n v="161.69999999999999"/>
    <n v="142.5"/>
    <n v="148.1"/>
    <x v="193"/>
  </r>
  <r>
    <x v="1"/>
    <x v="7"/>
    <x v="0"/>
    <n v="145.6"/>
    <n v="167.6"/>
    <n v="157"/>
    <n v="149.30000000000001"/>
    <n v="126.3"/>
    <n v="144.4"/>
    <n v="207.8"/>
    <n v="139.1"/>
    <n v="114.8"/>
    <n v="149.5"/>
    <n v="131.1"/>
    <n v="158.5"/>
    <n v="154.4"/>
    <n v="170.8"/>
    <n v="147"/>
    <n v="133.19999999999999"/>
    <n v="144.9"/>
    <n v="153.9"/>
    <x v="178"/>
    <n v="140.1"/>
    <n v="143.80000000000001"/>
    <n v="126.1"/>
    <n v="137.19999999999999"/>
    <n v="152.1"/>
    <n v="142.1"/>
    <n v="138.4"/>
    <x v="194"/>
  </r>
  <r>
    <x v="2"/>
    <x v="7"/>
    <x v="0"/>
    <n v="144.30000000000001"/>
    <n v="167.4"/>
    <n v="154.9"/>
    <n v="150.1"/>
    <n v="129.9"/>
    <n v="143.19999999999999"/>
    <n v="197"/>
    <n v="140.4"/>
    <n v="114.1"/>
    <n v="150.9"/>
    <n v="136.1"/>
    <n v="158.6"/>
    <n v="153.5"/>
    <n v="169.2"/>
    <n v="150.5"/>
    <n v="141.5"/>
    <n v="149.19999999999999"/>
    <n v="153.9"/>
    <x v="179"/>
    <n v="146.19999999999999"/>
    <n v="151.19999999999999"/>
    <n v="130.9"/>
    <n v="142.80000000000001"/>
    <n v="156.1"/>
    <n v="142.30000000000001"/>
    <n v="143.4"/>
    <x v="195"/>
  </r>
  <r>
    <x v="0"/>
    <x v="7"/>
    <x v="1"/>
    <n v="144.19999999999999"/>
    <n v="167.5"/>
    <n v="150.9"/>
    <n v="150.9"/>
    <n v="133.69999999999999"/>
    <n v="140.69999999999999"/>
    <n v="165.1"/>
    <n v="141.80000000000001"/>
    <n v="113.1"/>
    <n v="152.80000000000001"/>
    <n v="140.1"/>
    <n v="159.19999999999999"/>
    <n v="149.80000000000001"/>
    <n v="169.4"/>
    <n v="153"/>
    <n v="147.5"/>
    <n v="152.30000000000001"/>
    <n v="154.80000000000001"/>
    <x v="180"/>
    <n v="151.80000000000001"/>
    <n v="156.19999999999999"/>
    <n v="136"/>
    <n v="150.4"/>
    <n v="161.9"/>
    <n v="143.4"/>
    <n v="148.4"/>
    <x v="192"/>
  </r>
  <r>
    <x v="1"/>
    <x v="7"/>
    <x v="1"/>
    <n v="146.19999999999999"/>
    <n v="167.6"/>
    <n v="153.1"/>
    <n v="150.69999999999999"/>
    <n v="127.4"/>
    <n v="143.1"/>
    <n v="181.7"/>
    <n v="139.6"/>
    <n v="114.6"/>
    <n v="150.4"/>
    <n v="131.5"/>
    <n v="159"/>
    <n v="151.69999999999999"/>
    <n v="172"/>
    <n v="147.30000000000001"/>
    <n v="133.5"/>
    <n v="145.19999999999999"/>
    <n v="154.80000000000001"/>
    <x v="181"/>
    <n v="140.4"/>
    <n v="144.4"/>
    <n v="125.2"/>
    <n v="137.69999999999999"/>
    <n v="152.19999999999999"/>
    <n v="143.5"/>
    <n v="138.4"/>
    <x v="196"/>
  </r>
  <r>
    <x v="2"/>
    <x v="7"/>
    <x v="1"/>
    <n v="144.80000000000001"/>
    <n v="167.5"/>
    <n v="151.80000000000001"/>
    <n v="150.80000000000001"/>
    <n v="131.4"/>
    <n v="141.80000000000001"/>
    <n v="170.7"/>
    <n v="141.1"/>
    <n v="113.6"/>
    <n v="152"/>
    <n v="136.5"/>
    <n v="159.1"/>
    <n v="150.5"/>
    <n v="170.1"/>
    <n v="150.80000000000001"/>
    <n v="141.69999999999999"/>
    <n v="149.5"/>
    <n v="154.80000000000001"/>
    <x v="182"/>
    <n v="146.4"/>
    <n v="151.69999999999999"/>
    <n v="130.30000000000001"/>
    <n v="143.19999999999999"/>
    <n v="156.19999999999999"/>
    <n v="143.4"/>
    <n v="143.6"/>
    <x v="197"/>
  </r>
  <r>
    <x v="0"/>
    <x v="7"/>
    <x v="2"/>
    <n v="144.4"/>
    <n v="166.8"/>
    <n v="147.6"/>
    <n v="151.69999999999999"/>
    <n v="133.30000000000001"/>
    <n v="141.80000000000001"/>
    <n v="152.30000000000001"/>
    <n v="141.80000000000001"/>
    <n v="112.6"/>
    <n v="154"/>
    <n v="140.1"/>
    <n v="160"/>
    <n v="148.19999999999999"/>
    <n v="170.5"/>
    <n v="153.4"/>
    <n v="147.6"/>
    <n v="152.5"/>
    <n v="154.5"/>
    <x v="183"/>
    <n v="151.5"/>
    <n v="156.69999999999999"/>
    <n v="135.80000000000001"/>
    <n v="151.19999999999999"/>
    <n v="161.19999999999999"/>
    <n v="145.1"/>
    <n v="148.6"/>
    <x v="198"/>
  </r>
  <r>
    <x v="1"/>
    <x v="7"/>
    <x v="2"/>
    <n v="146.5"/>
    <n v="167.5"/>
    <n v="148.9"/>
    <n v="151.1"/>
    <n v="127.5"/>
    <n v="143.30000000000001"/>
    <n v="167"/>
    <n v="139.69999999999999"/>
    <n v="114.4"/>
    <n v="151.5"/>
    <n v="131.9"/>
    <n v="159.1"/>
    <n v="150.1"/>
    <n v="173.3"/>
    <n v="147.69999999999999"/>
    <n v="133.80000000000001"/>
    <n v="145.6"/>
    <n v="154.5"/>
    <x v="184"/>
    <n v="140.80000000000001"/>
    <n v="145"/>
    <n v="124.6"/>
    <n v="137.9"/>
    <n v="152.5"/>
    <n v="145.30000000000001"/>
    <n v="138.69999999999999"/>
    <x v="199"/>
  </r>
  <r>
    <x v="2"/>
    <x v="7"/>
    <x v="2"/>
    <n v="145.1"/>
    <n v="167"/>
    <n v="148.1"/>
    <n v="151.5"/>
    <n v="131.19999999999999"/>
    <n v="142.5"/>
    <n v="157.30000000000001"/>
    <n v="141.1"/>
    <n v="113.2"/>
    <n v="153.19999999999999"/>
    <n v="136.69999999999999"/>
    <n v="159.6"/>
    <n v="148.9"/>
    <n v="171.2"/>
    <n v="151.19999999999999"/>
    <n v="141.9"/>
    <n v="149.80000000000001"/>
    <n v="154.5"/>
    <x v="185"/>
    <n v="146.4"/>
    <n v="152.30000000000001"/>
    <n v="129.9"/>
    <n v="143.69999999999999"/>
    <n v="156.1"/>
    <n v="145.19999999999999"/>
    <n v="143.80000000000001"/>
    <x v="190"/>
  </r>
  <r>
    <x v="0"/>
    <x v="7"/>
    <x v="3"/>
    <n v="147.19999999999999"/>
    <n v="176.3857142857143"/>
    <n v="146.9"/>
    <n v="155.6"/>
    <n v="137.1"/>
    <n v="147.30000000000001"/>
    <n v="162.69999999999999"/>
    <n v="150.19999999999999"/>
    <n v="119.8"/>
    <n v="158.69999999999999"/>
    <n v="139.19999999999999"/>
    <n v="160.18571428571428"/>
    <n v="150.1"/>
    <n v="174.57142857142858"/>
    <n v="153.75714285714284"/>
    <n v="148.44285714285715"/>
    <n v="153.04285714285714"/>
    <n v="155.6"/>
    <x v="173"/>
    <n v="151.64285714285717"/>
    <n v="154.30000000000001"/>
    <n v="138.5"/>
    <n v="151.40000000000003"/>
    <n v="161.7428571428571"/>
    <n v="146.79999999999998"/>
    <n v="149.80000000000001"/>
    <x v="200"/>
  </r>
  <r>
    <x v="1"/>
    <x v="7"/>
    <x v="3"/>
    <n v="151.80000000000001"/>
    <n v="179.85714285714286"/>
    <n v="151.9"/>
    <n v="155.5"/>
    <n v="131.6"/>
    <n v="152.9"/>
    <n v="180"/>
    <n v="150.80000000000001"/>
    <n v="121.2"/>
    <n v="154"/>
    <n v="133.5"/>
    <n v="160.14285714285714"/>
    <n v="153.5"/>
    <n v="178.15714285714287"/>
    <n v="148.14285714285714"/>
    <n v="134.52857142857144"/>
    <n v="146.07142857142858"/>
    <n v="155.6"/>
    <x v="186"/>
    <n v="140.91428571428568"/>
    <n v="144.80000000000001"/>
    <n v="127.65714285714286"/>
    <n v="139.97142857142856"/>
    <n v="152.74285714285716"/>
    <n v="147.24285714285716"/>
    <n v="140.28571428571428"/>
    <x v="201"/>
  </r>
  <r>
    <x v="2"/>
    <x v="7"/>
    <x v="3"/>
    <n v="148.69999999999999"/>
    <n v="177.6"/>
    <n v="148.80000000000001"/>
    <n v="155.6"/>
    <n v="135.1"/>
    <n v="149.9"/>
    <n v="168.6"/>
    <n v="150.4"/>
    <n v="120.3"/>
    <n v="157.1"/>
    <n v="136.80000000000001"/>
    <n v="160.17142857142858"/>
    <n v="151.4"/>
    <n v="175.51428571428571"/>
    <n v="151.55714285714285"/>
    <n v="142.65714285714284"/>
    <n v="150.28571428571428"/>
    <n v="155.6"/>
    <x v="187"/>
    <n v="146.57142857142858"/>
    <n v="150.69999999999999"/>
    <n v="132.77142857142857"/>
    <n v="144.94285714285712"/>
    <n v="156.48571428571427"/>
    <n v="146.97142857142856"/>
    <n v="145.18571428571428"/>
    <x v="202"/>
  </r>
  <r>
    <x v="0"/>
    <x v="7"/>
    <x v="4"/>
    <n v="146.63333333333335"/>
    <n v="179.74761904761905"/>
    <n v="148.76666666666699"/>
    <n v="153.01666666666665"/>
    <n v="136.71666666666667"/>
    <n v="143.85"/>
    <n v="158.15"/>
    <n v="147.38333333333335"/>
    <n v="114.35000000000001"/>
    <n v="157.51666666666665"/>
    <n v="141.18333333333334"/>
    <n v="160.74761904761905"/>
    <n v="151.33333333333334"/>
    <n v="176.6952380952381"/>
    <n v="154.10952380952384"/>
    <n v="148.80714285714285"/>
    <n v="153.39047619047619"/>
    <n v="154.96666666666667"/>
    <x v="188"/>
    <n v="151.70714285714286"/>
    <n v="157.06666666666663"/>
    <n v="139.45000000000002"/>
    <n v="151.93333333333337"/>
    <n v="161.85714285714286"/>
    <n v="148.55000000000001"/>
    <n v="150.53333333333333"/>
    <x v="203"/>
  </r>
  <r>
    <x v="1"/>
    <x v="7"/>
    <x v="4"/>
    <n v="150.25000000000003"/>
    <n v="184.45952380952383"/>
    <n v="152.93333333333334"/>
    <n v="152.91666666666666"/>
    <n v="130.94999999999999"/>
    <n v="149.56666666666669"/>
    <n v="177.16666666666671"/>
    <n v="147.56666666666669"/>
    <n v="116.60000000000001"/>
    <n v="155.58333333333334"/>
    <n v="134.1"/>
    <n v="160.8238095238095"/>
    <n v="154.86666666666665"/>
    <n v="180.6761904761905"/>
    <n v="148.55714285714285"/>
    <n v="135.03809523809525"/>
    <n v="146.51190476190473"/>
    <n v="154.96666666666667"/>
    <x v="189"/>
    <n v="141.23571428571427"/>
    <n v="146.51666666666668"/>
    <n v="128.32619047619048"/>
    <n v="140.96190476190475"/>
    <n v="152.99047619047619"/>
    <n v="149.27380952380955"/>
    <n v="141.03095238095239"/>
    <x v="204"/>
  </r>
  <r>
    <x v="2"/>
    <x v="7"/>
    <x v="4"/>
    <n v="147.78333333333333"/>
    <n v="181.4"/>
    <n v="150.38333333333333"/>
    <n v="152.96666666666667"/>
    <n v="134.61666666666665"/>
    <n v="146.49999999999997"/>
    <n v="164.61666666666665"/>
    <n v="147.46666666666667"/>
    <n v="115.10000000000001"/>
    <n v="156.88333333333333"/>
    <n v="138.23333333333332"/>
    <n v="160.79523809523809"/>
    <n v="152.63333333333333"/>
    <n v="177.73571428571427"/>
    <n v="151.94285714285715"/>
    <n v="143.07619047619048"/>
    <n v="150.68095238095236"/>
    <n v="154.96666666666667"/>
    <x v="190"/>
    <n v="146.76190476190476"/>
    <n v="153.08333333333334"/>
    <n v="133.57857142857142"/>
    <n v="145.74047619047619"/>
    <n v="156.68095238095239"/>
    <n v="148.8452380952381"/>
    <n v="145.93095238095239"/>
    <x v="205"/>
  </r>
  <r>
    <x v="0"/>
    <x v="7"/>
    <x v="5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x v="191"/>
    <n v="151.69999999999999"/>
    <n v="158.19999999999999"/>
    <n v="141.4"/>
    <n v="153.19999999999999"/>
    <n v="161.80000000000001"/>
    <n v="151.19999999999999"/>
    <n v="151.69999999999999"/>
    <x v="206"/>
  </r>
  <r>
    <x v="1"/>
    <x v="7"/>
    <x v="5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x v="186"/>
    <n v="140.4"/>
    <n v="148.1"/>
    <n v="129.30000000000001"/>
    <n v="144.5"/>
    <n v="152.5"/>
    <n v="152.19999999999999"/>
    <n v="142"/>
    <x v="207"/>
  </r>
  <r>
    <x v="2"/>
    <x v="7"/>
    <x v="5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x v="192"/>
    <n v="146.4"/>
    <n v="154.4"/>
    <n v="135"/>
    <n v="148.30000000000001"/>
    <n v="156.4"/>
    <n v="151.6"/>
    <n v="147"/>
    <x v="208"/>
  </r>
  <r>
    <x v="0"/>
    <x v="7"/>
    <x v="6"/>
    <n v="148.19999999999999"/>
    <n v="190.3"/>
    <n v="149.4"/>
    <n v="153.30000000000001"/>
    <n v="138.19999999999999"/>
    <n v="143.19999999999999"/>
    <n v="148.9"/>
    <n v="150.30000000000001"/>
    <n v="113.2"/>
    <n v="159.80000000000001"/>
    <n v="142.1"/>
    <n v="161.80000000000001"/>
    <n v="152.30000000000001"/>
    <n v="182.4"/>
    <n v="154.69999999999999"/>
    <n v="150"/>
    <n v="154.1"/>
    <n v="154.69999999999999"/>
    <x v="191"/>
    <n v="151.69999999999999"/>
    <n v="158.19999999999999"/>
    <n v="141.4"/>
    <n v="153.19999999999999"/>
    <n v="161.80000000000001"/>
    <n v="151.19999999999999"/>
    <n v="151.69999999999999"/>
    <x v="206"/>
  </r>
  <r>
    <x v="1"/>
    <x v="7"/>
    <x v="6"/>
    <n v="152.69999999999999"/>
    <n v="197"/>
    <n v="154.6"/>
    <n v="153.4"/>
    <n v="132.9"/>
    <n v="151.80000000000001"/>
    <n v="171.2"/>
    <n v="152"/>
    <n v="116.3"/>
    <n v="158.80000000000001"/>
    <n v="135.6"/>
    <n v="161.69999999999999"/>
    <n v="157"/>
    <n v="186.7"/>
    <n v="149.1"/>
    <n v="136.6"/>
    <n v="147.19999999999999"/>
    <n v="154.69999999999999"/>
    <x v="186"/>
    <n v="140.4"/>
    <n v="148.1"/>
    <n v="129.30000000000001"/>
    <n v="144.5"/>
    <n v="152.5"/>
    <n v="152.19999999999999"/>
    <n v="142"/>
    <x v="207"/>
  </r>
  <r>
    <x v="2"/>
    <x v="7"/>
    <x v="6"/>
    <n v="149.6"/>
    <n v="192.7"/>
    <n v="151.4"/>
    <n v="153.30000000000001"/>
    <n v="136.30000000000001"/>
    <n v="147.19999999999999"/>
    <n v="156.5"/>
    <n v="150.9"/>
    <n v="114.2"/>
    <n v="159.5"/>
    <n v="139.4"/>
    <n v="161.80000000000001"/>
    <n v="154"/>
    <n v="183.5"/>
    <n v="152.5"/>
    <n v="144.4"/>
    <n v="151.4"/>
    <n v="154.69999999999999"/>
    <x v="192"/>
    <n v="146.4"/>
    <n v="154.4"/>
    <n v="135"/>
    <n v="148.30000000000001"/>
    <n v="156.4"/>
    <n v="151.6"/>
    <n v="147"/>
    <x v="208"/>
  </r>
  <r>
    <x v="0"/>
    <x v="7"/>
    <x v="7"/>
    <n v="147.6"/>
    <n v="187.2"/>
    <n v="148.4"/>
    <n v="153.30000000000001"/>
    <n v="139.80000000000001"/>
    <n v="146.9"/>
    <n v="171"/>
    <n v="149.9"/>
    <n v="114.2"/>
    <n v="160"/>
    <n v="143.5"/>
    <n v="161.5"/>
    <n v="155.30000000000001"/>
    <n v="180.9"/>
    <n v="155.1"/>
    <n v="149.30000000000001"/>
    <n v="154.30000000000001"/>
    <n v="155.5"/>
    <x v="193"/>
    <n v="151.9"/>
    <n v="158.80000000000001"/>
    <n v="143.6"/>
    <n v="152.19999999999999"/>
    <n v="162.69999999999999"/>
    <n v="153.6"/>
    <n v="153"/>
    <x v="209"/>
  </r>
  <r>
    <x v="1"/>
    <x v="7"/>
    <x v="7"/>
    <n v="151.6"/>
    <n v="197.8"/>
    <n v="154.5"/>
    <n v="153.4"/>
    <n v="133.4"/>
    <n v="154.5"/>
    <n v="191.9"/>
    <n v="151.30000000000001"/>
    <n v="116.8"/>
    <n v="160"/>
    <n v="136.5"/>
    <n v="163.30000000000001"/>
    <n v="159.9"/>
    <n v="187.2"/>
    <n v="150"/>
    <n v="135.19999999999999"/>
    <n v="147.80000000000001"/>
    <n v="155.5"/>
    <x v="194"/>
    <n v="144.5"/>
    <n v="148.69999999999999"/>
    <n v="133.9"/>
    <n v="141.19999999999999"/>
    <n v="155.5"/>
    <n v="155.19999999999999"/>
    <n v="144.80000000000001"/>
    <x v="210"/>
  </r>
  <r>
    <x v="2"/>
    <x v="7"/>
    <x v="7"/>
    <n v="148.9"/>
    <n v="190.9"/>
    <n v="150.80000000000001"/>
    <n v="153.30000000000001"/>
    <n v="137.4"/>
    <n v="150.4"/>
    <n v="178.1"/>
    <n v="150.4"/>
    <n v="115.1"/>
    <n v="160"/>
    <n v="140.6"/>
    <n v="162.30000000000001"/>
    <n v="157"/>
    <n v="182.6"/>
    <n v="153.1"/>
    <n v="143.4"/>
    <n v="151.69999999999999"/>
    <n v="155.5"/>
    <x v="195"/>
    <n v="148.4"/>
    <n v="155"/>
    <n v="138.5"/>
    <n v="146"/>
    <n v="158.5"/>
    <n v="154.30000000000001"/>
    <n v="149"/>
    <x v="211"/>
  </r>
  <r>
    <x v="0"/>
    <x v="7"/>
    <x v="8"/>
    <n v="146.9"/>
    <n v="183.9"/>
    <n v="149.5"/>
    <n v="153.4"/>
    <n v="140.4"/>
    <n v="147"/>
    <n v="178.8"/>
    <n v="149.30000000000001"/>
    <n v="115.1"/>
    <n v="160"/>
    <n v="145.4"/>
    <n v="161.6"/>
    <n v="156.1"/>
    <n v="182.9"/>
    <n v="155.4"/>
    <n v="149.9"/>
    <n v="154.6"/>
    <n v="156.30000000000001"/>
    <x v="161"/>
    <n v="151.6"/>
    <n v="159.1"/>
    <n v="144.6"/>
    <n v="152.80000000000001"/>
    <n v="161.1"/>
    <n v="157.4"/>
    <n v="153.69999999999999"/>
    <x v="212"/>
  </r>
  <r>
    <x v="1"/>
    <x v="7"/>
    <x v="8"/>
    <n v="151.5"/>
    <n v="193.1"/>
    <n v="157.30000000000001"/>
    <n v="153.9"/>
    <n v="134.4"/>
    <n v="155.4"/>
    <n v="202"/>
    <n v="150.80000000000001"/>
    <n v="118.9"/>
    <n v="160.9"/>
    <n v="137.69999999999999"/>
    <n v="164.4"/>
    <n v="161.30000000000001"/>
    <n v="188.7"/>
    <n v="150.19999999999999"/>
    <n v="136.30000000000001"/>
    <n v="148.1"/>
    <n v="156.30000000000001"/>
    <x v="196"/>
    <n v="145.4"/>
    <n v="150"/>
    <n v="135.1"/>
    <n v="141.80000000000001"/>
    <n v="154.9"/>
    <n v="159.80000000000001"/>
    <n v="146"/>
    <x v="213"/>
  </r>
  <r>
    <x v="2"/>
    <x v="7"/>
    <x v="8"/>
    <n v="148.4"/>
    <n v="187.1"/>
    <n v="152.5"/>
    <n v="153.6"/>
    <n v="138.19999999999999"/>
    <n v="150.9"/>
    <n v="186.7"/>
    <n v="149.80000000000001"/>
    <n v="116.4"/>
    <n v="160.30000000000001"/>
    <n v="142.19999999999999"/>
    <n v="162.9"/>
    <n v="158"/>
    <n v="184.4"/>
    <n v="153.4"/>
    <n v="144.30000000000001"/>
    <n v="152"/>
    <n v="156.30000000000001"/>
    <x v="197"/>
    <n v="148.69999999999999"/>
    <n v="155.6"/>
    <n v="139.6"/>
    <n v="146.6"/>
    <n v="157.5"/>
    <n v="158.4"/>
    <n v="150"/>
    <x v="209"/>
  </r>
  <r>
    <x v="0"/>
    <x v="7"/>
    <x v="9"/>
    <n v="146"/>
    <n v="186.3"/>
    <n v="159.19999999999999"/>
    <n v="153.6"/>
    <n v="142.6"/>
    <n v="147.19999999999999"/>
    <n v="200.6"/>
    <n v="150.30000000000001"/>
    <n v="115.3"/>
    <n v="160.9"/>
    <n v="147.4"/>
    <n v="161.9"/>
    <n v="159.6"/>
    <n v="182.7"/>
    <n v="155.69999999999999"/>
    <n v="150.6"/>
    <n v="155"/>
    <n v="156.5"/>
    <x v="143"/>
    <n v="152"/>
    <n v="159.5"/>
    <n v="146.4"/>
    <n v="152.4"/>
    <n v="162.5"/>
    <n v="156.19999999999999"/>
    <n v="154.30000000000001"/>
    <x v="214"/>
  </r>
  <r>
    <x v="1"/>
    <x v="7"/>
    <x v="9"/>
    <n v="150.6"/>
    <n v="193.7"/>
    <n v="164.8"/>
    <n v="153.69999999999999"/>
    <n v="135.69999999999999"/>
    <n v="155.69999999999999"/>
    <n v="226"/>
    <n v="152.19999999999999"/>
    <n v="118.1"/>
    <n v="161.30000000000001"/>
    <n v="139.19999999999999"/>
    <n v="164.8"/>
    <n v="164.4"/>
    <n v="188.7"/>
    <n v="150.5"/>
    <n v="136.1"/>
    <n v="148.30000000000001"/>
    <n v="156.5"/>
    <x v="186"/>
    <n v="145.1"/>
    <n v="151"/>
    <n v="135.4"/>
    <n v="142"/>
    <n v="155.69999999999999"/>
    <n v="158.1"/>
    <n v="146.19999999999999"/>
    <x v="215"/>
  </r>
  <r>
    <x v="2"/>
    <x v="7"/>
    <x v="9"/>
    <n v="147.5"/>
    <n v="188.9"/>
    <n v="161.4"/>
    <n v="153.6"/>
    <n v="140.1"/>
    <n v="151.19999999999999"/>
    <n v="209.2"/>
    <n v="150.9"/>
    <n v="116.2"/>
    <n v="161"/>
    <n v="144"/>
    <n v="163.19999999999999"/>
    <n v="161.4"/>
    <n v="184.3"/>
    <n v="153.69999999999999"/>
    <n v="144.6"/>
    <n v="152.30000000000001"/>
    <n v="156.5"/>
    <x v="198"/>
    <n v="148.69999999999999"/>
    <n v="156.30000000000001"/>
    <n v="140.6"/>
    <n v="146.5"/>
    <n v="158.5"/>
    <n v="157"/>
    <n v="150.4"/>
    <x v="216"/>
  </r>
  <r>
    <x v="0"/>
    <x v="7"/>
    <x v="10"/>
    <n v="145.4"/>
    <n v="188.6"/>
    <n v="171.6"/>
    <n v="153.80000000000001"/>
    <n v="145.4"/>
    <n v="146.5"/>
    <n v="222.2"/>
    <n v="155.9"/>
    <n v="114.9"/>
    <n v="162"/>
    <n v="150"/>
    <n v="162.69999999999999"/>
    <n v="163.4"/>
    <n v="183.4"/>
    <n v="156.30000000000001"/>
    <n v="151"/>
    <n v="155.5"/>
    <n v="158"/>
    <x v="199"/>
    <n v="152.80000000000001"/>
    <n v="160.4"/>
    <n v="146.1"/>
    <n v="153.6"/>
    <n v="161.6"/>
    <n v="156.19999999999999"/>
    <n v="154.5"/>
    <x v="217"/>
  </r>
  <r>
    <x v="1"/>
    <x v="7"/>
    <x v="10"/>
    <n v="149.69999999999999"/>
    <n v="195.5"/>
    <n v="176.9"/>
    <n v="153.9"/>
    <n v="138"/>
    <n v="150.5"/>
    <n v="245.3"/>
    <n v="158.69999999999999"/>
    <n v="117.2"/>
    <n v="161.4"/>
    <n v="141.5"/>
    <n v="165.1"/>
    <n v="167"/>
    <n v="188.8"/>
    <n v="151.1"/>
    <n v="136.4"/>
    <n v="148.80000000000001"/>
    <n v="158"/>
    <x v="200"/>
    <n v="145.1"/>
    <n v="152"/>
    <n v="135.19999999999999"/>
    <n v="144.4"/>
    <n v="156.4"/>
    <n v="157.9"/>
    <n v="146.6"/>
    <x v="218"/>
  </r>
  <r>
    <x v="2"/>
    <x v="7"/>
    <x v="10"/>
    <n v="146.80000000000001"/>
    <n v="191"/>
    <n v="173.6"/>
    <n v="153.80000000000001"/>
    <n v="142.69999999999999"/>
    <n v="148.4"/>
    <n v="230"/>
    <n v="156.80000000000001"/>
    <n v="115.7"/>
    <n v="161.80000000000001"/>
    <n v="146.5"/>
    <n v="163.80000000000001"/>
    <n v="164.7"/>
    <n v="184.8"/>
    <n v="154.30000000000001"/>
    <n v="144.9"/>
    <n v="152.80000000000001"/>
    <n v="158"/>
    <x v="201"/>
    <n v="149.19999999999999"/>
    <n v="157.19999999999999"/>
    <n v="140.4"/>
    <n v="148.4"/>
    <n v="158.6"/>
    <n v="156.9"/>
    <n v="150.69999999999999"/>
    <x v="219"/>
  </r>
  <r>
    <x v="0"/>
    <x v="7"/>
    <x v="11"/>
    <n v="144.6"/>
    <n v="188.5"/>
    <n v="173.4"/>
    <n v="154"/>
    <n v="150"/>
    <n v="145.9"/>
    <n v="225.2"/>
    <n v="159.5"/>
    <n v="114.4"/>
    <n v="163.5"/>
    <n v="153.4"/>
    <n v="163.6"/>
    <n v="164.5"/>
    <n v="183.6"/>
    <n v="157"/>
    <n v="151.6"/>
    <n v="156.30000000000001"/>
    <n v="158.4"/>
    <x v="202"/>
    <n v="153.4"/>
    <n v="161.6"/>
    <n v="146.4"/>
    <n v="153.9"/>
    <n v="162.9"/>
    <n v="156.6"/>
    <n v="155.19999999999999"/>
    <x v="220"/>
  </r>
  <r>
    <x v="1"/>
    <x v="7"/>
    <x v="11"/>
    <n v="149"/>
    <n v="195.7"/>
    <n v="178.3"/>
    <n v="154.19999999999999"/>
    <n v="140.69999999999999"/>
    <n v="149.69999999999999"/>
    <n v="240.9"/>
    <n v="161.5"/>
    <n v="117.1"/>
    <n v="161.9"/>
    <n v="143.30000000000001"/>
    <n v="166.1"/>
    <n v="167"/>
    <n v="190.2"/>
    <n v="151.9"/>
    <n v="136.69999999999999"/>
    <n v="149.6"/>
    <n v="158.4"/>
    <x v="203"/>
    <n v="145.5"/>
    <n v="152.9"/>
    <n v="135.5"/>
    <n v="144.30000000000001"/>
    <n v="156.9"/>
    <n v="157.9"/>
    <n v="146.9"/>
    <x v="221"/>
  </r>
  <r>
    <x v="2"/>
    <x v="7"/>
    <x v="11"/>
    <n v="146"/>
    <n v="191"/>
    <n v="175.3"/>
    <n v="154.1"/>
    <n v="146.6"/>
    <n v="147.69999999999999"/>
    <n v="230.5"/>
    <n v="160.19999999999999"/>
    <n v="115.3"/>
    <n v="163"/>
    <n v="149.19999999999999"/>
    <n v="164.8"/>
    <n v="165.4"/>
    <n v="185.4"/>
    <n v="155"/>
    <n v="145.4"/>
    <n v="153.6"/>
    <n v="158.4"/>
    <x v="179"/>
    <n v="149.69999999999999"/>
    <n v="158.30000000000001"/>
    <n v="140.69999999999999"/>
    <n v="148.5"/>
    <n v="159.4"/>
    <n v="157.1"/>
    <n v="151.19999999999999"/>
    <x v="222"/>
  </r>
  <r>
    <x v="0"/>
    <x v="8"/>
    <x v="0"/>
    <n v="143.4"/>
    <n v="187.5"/>
    <n v="173.4"/>
    <n v="154"/>
    <n v="154.80000000000001"/>
    <n v="147"/>
    <n v="187.8"/>
    <n v="159.5"/>
    <n v="113.8"/>
    <n v="164.5"/>
    <n v="156.1"/>
    <n v="164.3"/>
    <n v="159.6"/>
    <n v="184.6"/>
    <n v="157.5"/>
    <n v="152.4"/>
    <n v="156.80000000000001"/>
    <n v="157.69999999999999"/>
    <x v="204"/>
    <n v="153.9"/>
    <n v="162.5"/>
    <n v="147.5"/>
    <n v="155.1"/>
    <n v="163.5"/>
    <n v="156.19999999999999"/>
    <n v="155.9"/>
    <x v="223"/>
  </r>
  <r>
    <x v="1"/>
    <x v="8"/>
    <x v="0"/>
    <n v="148"/>
    <n v="194.8"/>
    <n v="178.4"/>
    <n v="154.4"/>
    <n v="144.1"/>
    <n v="152.6"/>
    <n v="206.8"/>
    <n v="162.1"/>
    <n v="116.3"/>
    <n v="163"/>
    <n v="145.9"/>
    <n v="167.2"/>
    <n v="163.4"/>
    <n v="191.8"/>
    <n v="152.5"/>
    <n v="137.30000000000001"/>
    <n v="150.19999999999999"/>
    <n v="157.69999999999999"/>
    <x v="197"/>
    <n v="145.69999999999999"/>
    <n v="154.1"/>
    <n v="136.9"/>
    <n v="145.4"/>
    <n v="156.1"/>
    <n v="157.69999999999999"/>
    <n v="147.6"/>
    <x v="224"/>
  </r>
  <r>
    <x v="2"/>
    <x v="8"/>
    <x v="0"/>
    <n v="144.9"/>
    <n v="190.1"/>
    <n v="175.3"/>
    <n v="154.1"/>
    <n v="150.9"/>
    <n v="149.6"/>
    <n v="194.2"/>
    <n v="160.4"/>
    <n v="114.6"/>
    <n v="164"/>
    <n v="151.80000000000001"/>
    <n v="165.6"/>
    <n v="161"/>
    <n v="186.5"/>
    <n v="155.5"/>
    <n v="146.1"/>
    <n v="154.19999999999999"/>
    <n v="157.69999999999999"/>
    <x v="205"/>
    <n v="150"/>
    <n v="159.30000000000001"/>
    <n v="141.9"/>
    <n v="149.6"/>
    <n v="159.19999999999999"/>
    <n v="156.80000000000001"/>
    <n v="151.9"/>
    <x v="225"/>
  </r>
  <r>
    <x v="0"/>
    <x v="8"/>
    <x v="1"/>
    <n v="142.80000000000001"/>
    <n v="184"/>
    <n v="168"/>
    <n v="154.4"/>
    <n v="163"/>
    <n v="147.80000000000001"/>
    <n v="149.69999999999999"/>
    <n v="158.30000000000001"/>
    <n v="111.8"/>
    <n v="165"/>
    <n v="160"/>
    <n v="165.8"/>
    <n v="154.69999999999999"/>
    <n v="186.5"/>
    <n v="159.1"/>
    <n v="153.9"/>
    <n v="158.4"/>
    <n v="159.80000000000001"/>
    <x v="206"/>
    <n v="154.80000000000001"/>
    <n v="164.3"/>
    <n v="150.19999999999999"/>
    <n v="157"/>
    <n v="163.6"/>
    <n v="155.19999999999999"/>
    <n v="157.19999999999999"/>
    <x v="218"/>
  </r>
  <r>
    <x v="1"/>
    <x v="8"/>
    <x v="1"/>
    <n v="147.6"/>
    <n v="191.2"/>
    <n v="169.9"/>
    <n v="155.1"/>
    <n v="151.4"/>
    <n v="154"/>
    <n v="180.2"/>
    <n v="159.80000000000001"/>
    <n v="114.9"/>
    <n v="162.5"/>
    <n v="149.19999999999999"/>
    <n v="169.4"/>
    <n v="160.80000000000001"/>
    <n v="193.3"/>
    <n v="154.19999999999999"/>
    <n v="138.19999999999999"/>
    <n v="151.80000000000001"/>
    <n v="159.80000000000001"/>
    <x v="207"/>
    <n v="146.5"/>
    <n v="156.30000000000001"/>
    <n v="140.5"/>
    <n v="147.30000000000001"/>
    <n v="156.6"/>
    <n v="156.69999999999999"/>
    <n v="149.30000000000001"/>
    <x v="226"/>
  </r>
  <r>
    <x v="2"/>
    <x v="8"/>
    <x v="1"/>
    <n v="144.30000000000001"/>
    <n v="186.5"/>
    <n v="168.7"/>
    <n v="154.69999999999999"/>
    <n v="158.69999999999999"/>
    <n v="150.69999999999999"/>
    <n v="160"/>
    <n v="158.80000000000001"/>
    <n v="112.8"/>
    <n v="164.2"/>
    <n v="155.5"/>
    <n v="167.5"/>
    <n v="156.9"/>
    <n v="188.3"/>
    <n v="157.19999999999999"/>
    <n v="147.4"/>
    <n v="155.80000000000001"/>
    <n v="159.80000000000001"/>
    <x v="208"/>
    <n v="150.9"/>
    <n v="161.30000000000001"/>
    <n v="145.1"/>
    <n v="151.5"/>
    <n v="159.5"/>
    <n v="155.80000000000001"/>
    <n v="153.4"/>
    <x v="227"/>
  </r>
  <r>
    <x v="0"/>
    <x v="8"/>
    <x v="2"/>
    <n v="142.5"/>
    <n v="189.4"/>
    <n v="163.19999999999999"/>
    <n v="154.5"/>
    <n v="168.2"/>
    <n v="150.5"/>
    <n v="141"/>
    <n v="159.19999999999999"/>
    <n v="111.7"/>
    <n v="164"/>
    <n v="160.6"/>
    <n v="166.4"/>
    <n v="154.5"/>
    <n v="186.1"/>
    <n v="159.6"/>
    <n v="154.4"/>
    <n v="158.9"/>
    <n v="159.9"/>
    <x v="209"/>
    <n v="154.80000000000001"/>
    <n v="164.6"/>
    <n v="151.30000000000001"/>
    <n v="157.80000000000001"/>
    <n v="163.80000000000001"/>
    <n v="153.1"/>
    <n v="157.30000000000001"/>
    <x v="218"/>
  </r>
  <r>
    <x v="1"/>
    <x v="8"/>
    <x v="2"/>
    <n v="147.5"/>
    <n v="197.5"/>
    <n v="164.7"/>
    <n v="155.6"/>
    <n v="156.4"/>
    <n v="157.30000000000001"/>
    <n v="166.1"/>
    <n v="161.1"/>
    <n v="114.3"/>
    <n v="162.6"/>
    <n v="150.69999999999999"/>
    <n v="170.3"/>
    <n v="160.4"/>
    <n v="193.5"/>
    <n v="155.1"/>
    <n v="138.69999999999999"/>
    <n v="152.6"/>
    <n v="159.9"/>
    <x v="210"/>
    <n v="147.19999999999999"/>
    <n v="156.9"/>
    <n v="141.69999999999999"/>
    <n v="148.6"/>
    <n v="157.6"/>
    <n v="154.9"/>
    <n v="150"/>
    <x v="221"/>
  </r>
  <r>
    <x v="2"/>
    <x v="8"/>
    <x v="2"/>
    <n v="144.1"/>
    <n v="192.2"/>
    <n v="163.80000000000001"/>
    <n v="154.9"/>
    <n v="163.9"/>
    <n v="153.69999999999999"/>
    <n v="149.5"/>
    <n v="159.80000000000001"/>
    <n v="112.6"/>
    <n v="163.5"/>
    <n v="156.5"/>
    <n v="168.2"/>
    <n v="156.69999999999999"/>
    <n v="188.1"/>
    <n v="157.80000000000001"/>
    <n v="147.9"/>
    <n v="156.4"/>
    <n v="159.9"/>
    <x v="211"/>
    <n v="151.19999999999999"/>
    <n v="161.69999999999999"/>
    <n v="146.19999999999999"/>
    <n v="152.6"/>
    <n v="160.19999999999999"/>
    <n v="153.80000000000001"/>
    <n v="153.80000000000001"/>
    <x v="228"/>
  </r>
  <r>
    <x v="0"/>
    <x v="8"/>
    <x v="3"/>
    <n v="142.69999999999999"/>
    <n v="195.5"/>
    <n v="163.4"/>
    <n v="155"/>
    <n v="175.2"/>
    <n v="160.6"/>
    <n v="135.1"/>
    <n v="161.1"/>
    <n v="112.2"/>
    <n v="164.4"/>
    <n v="161.9"/>
    <n v="166.8"/>
    <n v="155.6"/>
    <n v="186.8"/>
    <n v="160.69999999999999"/>
    <n v="155.1"/>
    <n v="159.9"/>
    <n v="161.4"/>
    <x v="209"/>
    <n v="155.5"/>
    <n v="165.3"/>
    <n v="151.69999999999999"/>
    <n v="158.6"/>
    <n v="164.1"/>
    <n v="154.6"/>
    <n v="158"/>
    <x v="229"/>
  </r>
  <r>
    <x v="1"/>
    <x v="8"/>
    <x v="3"/>
    <n v="147.6"/>
    <n v="202.5"/>
    <n v="166.4"/>
    <n v="156"/>
    <n v="161.4"/>
    <n v="168.8"/>
    <n v="161.6"/>
    <n v="162.80000000000001"/>
    <n v="114.8"/>
    <n v="162.80000000000001"/>
    <n v="151.5"/>
    <n v="171.4"/>
    <n v="162"/>
    <n v="194.4"/>
    <n v="155.9"/>
    <n v="139.30000000000001"/>
    <n v="153.4"/>
    <n v="161.4"/>
    <x v="212"/>
    <n v="147.6"/>
    <n v="157.5"/>
    <n v="142.1"/>
    <n v="149.1"/>
    <n v="157.6"/>
    <n v="156.6"/>
    <n v="150.5"/>
    <x v="230"/>
  </r>
  <r>
    <x v="2"/>
    <x v="8"/>
    <x v="3"/>
    <n v="144.30000000000001"/>
    <n v="198"/>
    <n v="164.6"/>
    <n v="155.4"/>
    <n v="170.1"/>
    <n v="164.4"/>
    <n v="144.1"/>
    <n v="161.69999999999999"/>
    <n v="113.1"/>
    <n v="163.9"/>
    <n v="157.6"/>
    <n v="168.9"/>
    <n v="158"/>
    <n v="188.8"/>
    <n v="158.80000000000001"/>
    <n v="148.5"/>
    <n v="157.30000000000001"/>
    <n v="161.4"/>
    <x v="213"/>
    <n v="151.80000000000001"/>
    <n v="162.30000000000001"/>
    <n v="146.6"/>
    <n v="153.19999999999999"/>
    <n v="160.30000000000001"/>
    <n v="155.4"/>
    <n v="154.4"/>
    <x v="231"/>
  </r>
  <r>
    <x v="0"/>
    <x v="8"/>
    <x v="4"/>
    <n v="145.1"/>
    <n v="198.5"/>
    <n v="168.6"/>
    <n v="155.80000000000001"/>
    <n v="184.4"/>
    <n v="162.30000000000001"/>
    <n v="138.4"/>
    <n v="165.1"/>
    <n v="114.3"/>
    <n v="169.7"/>
    <n v="164.6"/>
    <n v="169.8"/>
    <n v="158.69999999999999"/>
    <n v="189.6"/>
    <n v="165.3"/>
    <n v="160.6"/>
    <n v="164.5"/>
    <n v="161.6"/>
    <x v="214"/>
    <n v="158.80000000000001"/>
    <n v="169.1"/>
    <n v="153.19999999999999"/>
    <n v="160"/>
    <n v="167.6"/>
    <n v="159.30000000000001"/>
    <n v="161.1"/>
    <x v="232"/>
  </r>
  <r>
    <x v="1"/>
    <x v="8"/>
    <x v="4"/>
    <n v="148.80000000000001"/>
    <n v="204.3"/>
    <n v="173"/>
    <n v="156.5"/>
    <n v="168.8"/>
    <n v="172.5"/>
    <n v="166.5"/>
    <n v="165.9"/>
    <n v="115.9"/>
    <n v="165.2"/>
    <n v="152"/>
    <n v="171.1"/>
    <n v="164.2"/>
    <n v="198.2"/>
    <n v="156.5"/>
    <n v="140.19999999999999"/>
    <n v="154.1"/>
    <n v="161.6"/>
    <x v="211"/>
    <n v="150.1"/>
    <n v="160.4"/>
    <n v="145"/>
    <n v="152.6"/>
    <n v="156.6"/>
    <n v="157.5"/>
    <n v="152.30000000000001"/>
    <x v="233"/>
  </r>
  <r>
    <x v="2"/>
    <x v="8"/>
    <x v="4"/>
    <n v="146.30000000000001"/>
    <n v="200.5"/>
    <n v="170.3"/>
    <n v="156.1"/>
    <n v="178.7"/>
    <n v="167.1"/>
    <n v="147.9"/>
    <n v="165.4"/>
    <n v="114.8"/>
    <n v="168.2"/>
    <n v="159.30000000000001"/>
    <n v="170.4"/>
    <n v="160.69999999999999"/>
    <n v="191.9"/>
    <n v="161.80000000000001"/>
    <n v="152.1"/>
    <n v="160.4"/>
    <n v="161.6"/>
    <x v="215"/>
    <n v="154.69999999999999"/>
    <n v="165.8"/>
    <n v="148.9"/>
    <n v="155.80000000000001"/>
    <n v="161.19999999999999"/>
    <n v="158.6"/>
    <n v="156.80000000000001"/>
    <x v="234"/>
  </r>
  <r>
    <x v="0"/>
    <x v="8"/>
    <x v="5"/>
    <n v="145.6"/>
    <n v="200.1"/>
    <n v="179.3"/>
    <n v="156.1"/>
    <n v="190.4"/>
    <n v="158.6"/>
    <n v="144.69999999999999"/>
    <n v="165.5"/>
    <n v="114.6"/>
    <n v="170"/>
    <n v="165.5"/>
    <n v="171.7"/>
    <n v="160.5"/>
    <n v="189.1"/>
    <n v="165.3"/>
    <n v="159.9"/>
    <n v="164.6"/>
    <n v="160.5"/>
    <x v="216"/>
    <n v="159.19999999999999"/>
    <n v="169.7"/>
    <n v="154.19999999999999"/>
    <n v="160.4"/>
    <n v="166.8"/>
    <n v="159.4"/>
    <n v="161.5"/>
    <x v="235"/>
  </r>
  <r>
    <x v="1"/>
    <x v="8"/>
    <x v="5"/>
    <n v="149.19999999999999"/>
    <n v="205.5"/>
    <n v="182.8"/>
    <n v="156.5"/>
    <n v="172.2"/>
    <n v="171.5"/>
    <n v="176.2"/>
    <n v="166.9"/>
    <n v="116.1"/>
    <n v="165.5"/>
    <n v="152.30000000000001"/>
    <n v="173.3"/>
    <n v="166.2"/>
    <n v="195.6"/>
    <n v="157.30000000000001"/>
    <n v="140.5"/>
    <n v="154.80000000000001"/>
    <n v="160.5"/>
    <x v="217"/>
    <n v="149.80000000000001"/>
    <n v="160.80000000000001"/>
    <n v="147.5"/>
    <n v="150.69999999999999"/>
    <n v="158.1"/>
    <n v="158"/>
    <n v="153.4"/>
    <x v="234"/>
  </r>
  <r>
    <x v="2"/>
    <x v="8"/>
    <x v="5"/>
    <n v="146.69999999999999"/>
    <n v="202"/>
    <n v="180.7"/>
    <n v="156.19999999999999"/>
    <n v="183.7"/>
    <n v="164.6"/>
    <n v="155.4"/>
    <n v="166"/>
    <n v="115.1"/>
    <n v="168.5"/>
    <n v="160"/>
    <n v="172.4"/>
    <n v="162.6"/>
    <n v="190.8"/>
    <n v="162.19999999999999"/>
    <n v="151.80000000000001"/>
    <n v="160.69999999999999"/>
    <n v="160.5"/>
    <x v="218"/>
    <n v="154.80000000000001"/>
    <n v="166.3"/>
    <n v="150.69999999999999"/>
    <n v="154.9"/>
    <n v="161.69999999999999"/>
    <n v="158.80000000000001"/>
    <n v="157.6"/>
    <x v="236"/>
  </r>
  <r>
    <x v="0"/>
    <x v="8"/>
    <x v="6"/>
    <n v="145.1"/>
    <n v="204.5"/>
    <n v="180.4"/>
    <n v="157.1"/>
    <n v="188.7"/>
    <n v="157.69999999999999"/>
    <n v="152.80000000000001"/>
    <n v="163.6"/>
    <n v="113.9"/>
    <n v="169.7"/>
    <n v="166.2"/>
    <n v="171"/>
    <n v="161.69999999999999"/>
    <n v="189.7"/>
    <n v="166"/>
    <n v="161.1"/>
    <n v="165.3"/>
    <n v="161.5"/>
    <x v="219"/>
    <n v="160.30000000000001"/>
    <n v="170.4"/>
    <n v="157.1"/>
    <n v="160.69999999999999"/>
    <n v="167.2"/>
    <n v="160.4"/>
    <n v="162.80000000000001"/>
    <x v="237"/>
  </r>
  <r>
    <x v="1"/>
    <x v="8"/>
    <x v="6"/>
    <n v="149.1"/>
    <n v="210.9"/>
    <n v="185"/>
    <n v="158.19999999999999"/>
    <n v="170.6"/>
    <n v="170.9"/>
    <n v="186.4"/>
    <n v="164.7"/>
    <n v="115.7"/>
    <n v="165.5"/>
    <n v="153.4"/>
    <n v="173.5"/>
    <n v="167.9"/>
    <n v="195.5"/>
    <n v="157.9"/>
    <n v="141.9"/>
    <n v="155.5"/>
    <n v="161.5"/>
    <x v="220"/>
    <n v="150.69999999999999"/>
    <n v="161.5"/>
    <n v="149.5"/>
    <n v="151.19999999999999"/>
    <n v="160.30000000000001"/>
    <n v="159.6"/>
    <n v="155"/>
    <x v="238"/>
  </r>
  <r>
    <x v="2"/>
    <x v="8"/>
    <x v="6"/>
    <n v="146.4"/>
    <n v="206.8"/>
    <n v="182.2"/>
    <n v="157.5"/>
    <n v="182.1"/>
    <n v="163.9"/>
    <n v="164.2"/>
    <n v="164"/>
    <n v="114.5"/>
    <n v="168.3"/>
    <n v="160.9"/>
    <n v="172.2"/>
    <n v="164"/>
    <n v="191.2"/>
    <n v="162.80000000000001"/>
    <n v="153.1"/>
    <n v="161.4"/>
    <n v="161.5"/>
    <x v="221"/>
    <n v="155.80000000000001"/>
    <n v="167"/>
    <n v="153.1"/>
    <n v="155.30000000000001"/>
    <n v="163.19999999999999"/>
    <n v="160.1"/>
    <n v="159"/>
    <x v="239"/>
  </r>
  <r>
    <x v="0"/>
    <x v="8"/>
    <x v="7"/>
    <n v="144.9"/>
    <n v="202.3"/>
    <n v="176.5"/>
    <n v="157.5"/>
    <n v="190.9"/>
    <n v="155.69999999999999"/>
    <n v="153.9"/>
    <n v="162.80000000000001"/>
    <n v="115.2"/>
    <n v="169.8"/>
    <n v="167.6"/>
    <n v="171.9"/>
    <n v="161.80000000000001"/>
    <n v="190.2"/>
    <n v="167"/>
    <n v="162.6"/>
    <n v="166.3"/>
    <n v="162.1"/>
    <x v="222"/>
    <n v="160.9"/>
    <n v="171.1"/>
    <n v="157.69999999999999"/>
    <n v="161.1"/>
    <n v="167.5"/>
    <n v="160.30000000000001"/>
    <n v="163.30000000000001"/>
    <x v="240"/>
  </r>
  <r>
    <x v="1"/>
    <x v="8"/>
    <x v="7"/>
    <n v="149.30000000000001"/>
    <n v="207.4"/>
    <n v="174.1"/>
    <n v="159.19999999999999"/>
    <n v="175"/>
    <n v="161.30000000000001"/>
    <n v="183.3"/>
    <n v="164.5"/>
    <n v="120.4"/>
    <n v="166.2"/>
    <n v="154.80000000000001"/>
    <n v="175.1"/>
    <n v="167.3"/>
    <n v="196.5"/>
    <n v="159.80000000000001"/>
    <n v="143.6"/>
    <n v="157.30000000000001"/>
    <n v="162.1"/>
    <x v="221"/>
    <n v="153.19999999999999"/>
    <n v="162.80000000000001"/>
    <n v="150.4"/>
    <n v="153.69999999999999"/>
    <n v="160.4"/>
    <n v="159.6"/>
    <n v="156"/>
    <x v="241"/>
  </r>
  <r>
    <x v="2"/>
    <x v="8"/>
    <x v="7"/>
    <n v="146.6"/>
    <n v="204"/>
    <n v="172.8"/>
    <n v="158.4"/>
    <n v="188"/>
    <n v="156.80000000000001"/>
    <n v="162.19999999999999"/>
    <n v="164.1"/>
    <n v="119.7"/>
    <n v="168.8"/>
    <n v="162.69999999999999"/>
    <n v="173.9"/>
    <n v="164"/>
    <n v="192.1"/>
    <n v="164.5"/>
    <n v="155.30000000000001"/>
    <n v="163.19999999999999"/>
    <n v="162.1"/>
    <x v="223"/>
    <n v="157.5"/>
    <n v="168.4"/>
    <n v="154"/>
    <n v="157.6"/>
    <n v="163.80000000000001"/>
    <n v="160"/>
    <n v="160"/>
    <x v="237"/>
  </r>
  <r>
    <x v="0"/>
    <x v="8"/>
    <x v="8"/>
    <n v="145.4"/>
    <n v="202.1"/>
    <n v="172"/>
    <n v="158"/>
    <n v="195.5"/>
    <n v="152.69999999999999"/>
    <n v="151.4"/>
    <n v="163.9"/>
    <n v="119.3"/>
    <n v="170.1"/>
    <n v="168.3"/>
    <n v="172.8"/>
    <n v="162.1"/>
    <n v="190.5"/>
    <n v="167.7"/>
    <n v="163.6"/>
    <n v="167.1"/>
    <n v="162.1"/>
    <x v="224"/>
    <n v="161.30000000000001"/>
    <n v="171.9"/>
    <n v="157.80000000000001"/>
    <n v="162.69999999999999"/>
    <n v="168.5"/>
    <n v="160.19999999999999"/>
    <n v="163.80000000000001"/>
    <x v="242"/>
  </r>
  <r>
    <x v="1"/>
    <x v="8"/>
    <x v="8"/>
    <n v="149.30000000000001"/>
    <n v="207.4"/>
    <n v="174.1"/>
    <n v="159.1"/>
    <n v="175"/>
    <n v="161.19999999999999"/>
    <n v="183.5"/>
    <n v="164.5"/>
    <n v="120.4"/>
    <n v="166.2"/>
    <n v="154.80000000000001"/>
    <n v="175.1"/>
    <n v="167.3"/>
    <n v="196.5"/>
    <n v="159.80000000000001"/>
    <n v="143.6"/>
    <n v="157.4"/>
    <n v="162.1"/>
    <x v="225"/>
    <n v="153.30000000000001"/>
    <n v="162.80000000000001"/>
    <n v="150.5"/>
    <n v="153.9"/>
    <n v="160.30000000000001"/>
    <n v="159.6"/>
    <n v="156"/>
    <x v="241"/>
  </r>
  <r>
    <x v="2"/>
    <x v="8"/>
    <x v="8"/>
    <n v="146.6"/>
    <n v="204"/>
    <n v="172.8"/>
    <n v="158.4"/>
    <n v="188"/>
    <n v="156.69999999999999"/>
    <n v="162.30000000000001"/>
    <n v="164.1"/>
    <n v="119.7"/>
    <n v="168.8"/>
    <n v="162.69999999999999"/>
    <n v="173.9"/>
    <n v="164"/>
    <n v="192.1"/>
    <n v="164.6"/>
    <n v="155.30000000000001"/>
    <n v="163.30000000000001"/>
    <n v="162.1"/>
    <x v="223"/>
    <n v="157.5"/>
    <n v="168.4"/>
    <n v="154"/>
    <n v="157.69999999999999"/>
    <n v="163.69999999999999"/>
    <n v="160"/>
    <n v="160"/>
    <x v="237"/>
  </r>
  <r>
    <x v="0"/>
    <x v="8"/>
    <x v="9"/>
    <n v="146.1"/>
    <n v="202.5"/>
    <n v="170.1"/>
    <n v="158.4"/>
    <n v="198.8"/>
    <n v="152.6"/>
    <n v="170.4"/>
    <n v="165.2"/>
    <n v="121.6"/>
    <n v="170.6"/>
    <n v="168.8"/>
    <n v="173.6"/>
    <n v="165.5"/>
    <n v="191.2"/>
    <n v="168.9"/>
    <n v="164.8"/>
    <n v="168.3"/>
    <n v="163.6"/>
    <x v="226"/>
    <n v="162"/>
    <n v="172.5"/>
    <n v="159.5"/>
    <n v="163.19999999999999"/>
    <n v="169"/>
    <n v="161.1"/>
    <n v="164.7"/>
    <x v="243"/>
  </r>
  <r>
    <x v="1"/>
    <x v="8"/>
    <x v="9"/>
    <n v="150.1"/>
    <n v="208.4"/>
    <n v="173"/>
    <n v="159.19999999999999"/>
    <n v="176.6"/>
    <n v="159.30000000000001"/>
    <n v="214.4"/>
    <n v="165.3"/>
    <n v="122.5"/>
    <n v="166.8"/>
    <n v="155.4"/>
    <n v="175.9"/>
    <n v="171.5"/>
    <n v="197"/>
    <n v="160.80000000000001"/>
    <n v="144.4"/>
    <n v="158.30000000000001"/>
    <n v="163.6"/>
    <x v="227"/>
    <n v="154.30000000000001"/>
    <n v="163.5"/>
    <n v="152.19999999999999"/>
    <n v="155.1"/>
    <n v="160.30000000000001"/>
    <n v="160.30000000000001"/>
    <n v="157"/>
    <x v="244"/>
  </r>
  <r>
    <x v="2"/>
    <x v="8"/>
    <x v="9"/>
    <n v="147.4"/>
    <n v="204.6"/>
    <n v="171.2"/>
    <n v="158.69999999999999"/>
    <n v="190.6"/>
    <n v="155.69999999999999"/>
    <n v="185.3"/>
    <n v="165.2"/>
    <n v="121.9"/>
    <n v="169.3"/>
    <n v="163.19999999999999"/>
    <n v="174.7"/>
    <n v="167.7"/>
    <n v="192.7"/>
    <n v="165.7"/>
    <n v="156.30000000000001"/>
    <n v="164.3"/>
    <n v="163.6"/>
    <x v="228"/>
    <n v="158.4"/>
    <n v="169.1"/>
    <n v="155.69999999999999"/>
    <n v="158.6"/>
    <n v="163.9"/>
    <n v="160.80000000000001"/>
    <n v="161"/>
    <x v="245"/>
  </r>
  <r>
    <x v="0"/>
    <x v="8"/>
    <x v="10"/>
    <n v="146.9"/>
    <n v="199.8"/>
    <n v="171.5"/>
    <n v="159.1"/>
    <n v="198.4"/>
    <n v="153.19999999999999"/>
    <n v="183.9"/>
    <n v="165.4"/>
    <n v="122.1"/>
    <n v="170.8"/>
    <n v="169.1"/>
    <n v="174.3"/>
    <n v="167.5"/>
    <n v="191.4"/>
    <n v="170.4"/>
    <n v="166"/>
    <n v="169.8"/>
    <n v="164.2"/>
    <x v="229"/>
    <n v="162.9"/>
    <n v="173.4"/>
    <n v="158.9"/>
    <n v="163.80000000000001"/>
    <n v="169.3"/>
    <n v="162.4"/>
    <n v="165.2"/>
    <x v="246"/>
  </r>
  <r>
    <x v="1"/>
    <x v="8"/>
    <x v="10"/>
    <n v="151"/>
    <n v="204.9"/>
    <n v="175.4"/>
    <n v="159.6"/>
    <n v="175.8"/>
    <n v="160.30000000000001"/>
    <n v="229.1"/>
    <n v="165.1"/>
    <n v="123.1"/>
    <n v="167.2"/>
    <n v="156.1"/>
    <n v="176.8"/>
    <n v="173.5"/>
    <n v="197"/>
    <n v="162.30000000000001"/>
    <n v="145.30000000000001"/>
    <n v="159.69999999999999"/>
    <n v="164.2"/>
    <x v="230"/>
    <n v="155.19999999999999"/>
    <n v="164.2"/>
    <n v="151.19999999999999"/>
    <n v="156.69999999999999"/>
    <n v="160.80000000000001"/>
    <n v="161.80000000000001"/>
    <n v="157.30000000000001"/>
    <x v="247"/>
  </r>
  <r>
    <x v="2"/>
    <x v="8"/>
    <x v="10"/>
    <n v="148.19999999999999"/>
    <n v="201.6"/>
    <n v="173"/>
    <n v="159.30000000000001"/>
    <n v="190.1"/>
    <n v="156.5"/>
    <n v="199.2"/>
    <n v="165.3"/>
    <n v="122.4"/>
    <n v="169.6"/>
    <n v="163.69999999999999"/>
    <n v="175.5"/>
    <n v="169.7"/>
    <n v="192.9"/>
    <n v="167.2"/>
    <n v="157.4"/>
    <n v="165.8"/>
    <n v="164.2"/>
    <x v="231"/>
    <n v="159.30000000000001"/>
    <n v="169.9"/>
    <n v="154.80000000000001"/>
    <n v="159.80000000000001"/>
    <n v="164.3"/>
    <n v="162.19999999999999"/>
    <n v="161.4"/>
    <x v="248"/>
  </r>
  <r>
    <x v="0"/>
    <x v="8"/>
    <x v="11"/>
    <n v="147.4"/>
    <n v="197"/>
    <n v="176.5"/>
    <n v="159.80000000000001"/>
    <n v="195.8"/>
    <n v="152"/>
    <n v="172.3"/>
    <n v="164.5"/>
    <n v="120.6"/>
    <n v="171.7"/>
    <n v="169.7"/>
    <n v="175.1"/>
    <n v="165.8"/>
    <n v="190.8"/>
    <n v="171.8"/>
    <n v="167.3"/>
    <n v="171.2"/>
    <n v="163.4"/>
    <x v="232"/>
    <n v="163.9"/>
    <n v="174"/>
    <n v="160.1"/>
    <n v="164.5"/>
    <n v="169.7"/>
    <n v="162.80000000000001"/>
    <n v="166"/>
    <x v="249"/>
  </r>
  <r>
    <x v="1"/>
    <x v="8"/>
    <x v="11"/>
    <n v="151.6"/>
    <n v="202.2"/>
    <n v="180"/>
    <n v="160"/>
    <n v="173.5"/>
    <n v="158.30000000000001"/>
    <n v="219.5"/>
    <n v="164.2"/>
    <n v="121.9"/>
    <n v="168.2"/>
    <n v="156.5"/>
    <n v="178.2"/>
    <n v="172.2"/>
    <n v="196.8"/>
    <n v="163.30000000000001"/>
    <n v="146.69999999999999"/>
    <n v="160.69999999999999"/>
    <n v="163.4"/>
    <x v="214"/>
    <n v="156"/>
    <n v="165.1"/>
    <n v="151.80000000000001"/>
    <n v="157.6"/>
    <n v="160.6"/>
    <n v="162.4"/>
    <n v="157.80000000000001"/>
    <x v="250"/>
  </r>
  <r>
    <x v="2"/>
    <x v="8"/>
    <x v="11"/>
    <n v="148.69999999999999"/>
    <n v="198.8"/>
    <n v="177.9"/>
    <n v="159.9"/>
    <n v="187.6"/>
    <n v="154.9"/>
    <n v="188.3"/>
    <n v="164.4"/>
    <n v="121"/>
    <n v="170.5"/>
    <n v="164.2"/>
    <n v="176.5"/>
    <n v="168.2"/>
    <n v="192.4"/>
    <n v="168.5"/>
    <n v="158.69999999999999"/>
    <n v="167"/>
    <n v="163.4"/>
    <x v="233"/>
    <n v="160.19999999999999"/>
    <n v="170.6"/>
    <n v="155.69999999999999"/>
    <n v="160.6"/>
    <n v="164.4"/>
    <n v="162.6"/>
    <n v="162"/>
    <x v="251"/>
  </r>
  <r>
    <x v="0"/>
    <x v="9"/>
    <x v="0"/>
    <n v="148.30000000000001"/>
    <n v="196.9"/>
    <n v="178"/>
    <n v="160.5"/>
    <n v="192.6"/>
    <n v="151.19999999999999"/>
    <n v="159.19999999999999"/>
    <n v="164"/>
    <n v="119.3"/>
    <n v="173.3"/>
    <n v="169.8"/>
    <n v="175.8"/>
    <n v="164.1"/>
    <n v="190.7"/>
    <n v="173.2"/>
    <n v="169.3"/>
    <n v="172.7"/>
    <n v="164.5"/>
    <x v="234"/>
    <n v="164.9"/>
    <n v="174.7"/>
    <n v="160.80000000000001"/>
    <n v="164.9"/>
    <n v="169.9"/>
    <n v="163.19999999999999"/>
    <n v="166.6"/>
    <x v="252"/>
  </r>
  <r>
    <x v="1"/>
    <x v="9"/>
    <x v="0"/>
    <n v="152.19999999999999"/>
    <n v="202.1"/>
    <n v="180.1"/>
    <n v="160.4"/>
    <n v="171"/>
    <n v="156.5"/>
    <n v="203.6"/>
    <n v="163.80000000000001"/>
    <n v="121.3"/>
    <n v="169.8"/>
    <n v="156.6"/>
    <n v="179"/>
    <n v="170.3"/>
    <n v="196.4"/>
    <n v="164.7"/>
    <n v="148.5"/>
    <n v="162.19999999999999"/>
    <n v="164.5"/>
    <x v="230"/>
    <n v="156.80000000000001"/>
    <n v="166.1"/>
    <n v="152.69999999999999"/>
    <n v="158.4"/>
    <n v="161"/>
    <n v="162.80000000000001"/>
    <n v="158.6"/>
    <x v="253"/>
  </r>
  <r>
    <x v="2"/>
    <x v="9"/>
    <x v="0"/>
    <n v="149.5"/>
    <n v="198.7"/>
    <n v="178.8"/>
    <n v="160.5"/>
    <n v="184.7"/>
    <n v="153.69999999999999"/>
    <n v="174.3"/>
    <n v="163.9"/>
    <n v="120"/>
    <n v="172.1"/>
    <n v="164.3"/>
    <n v="177.3"/>
    <n v="166.4"/>
    <n v="192.2"/>
    <n v="169.9"/>
    <n v="160.69999999999999"/>
    <n v="168.5"/>
    <n v="164.5"/>
    <x v="228"/>
    <n v="161.1"/>
    <n v="171.4"/>
    <n v="156.5"/>
    <n v="161.19999999999999"/>
    <n v="164.7"/>
    <n v="163"/>
    <n v="162.69999999999999"/>
    <x v="254"/>
  </r>
  <r>
    <x v="0"/>
    <x v="9"/>
    <x v="1"/>
    <n v="148.80000000000001"/>
    <n v="198.1"/>
    <n v="175.5"/>
    <n v="160.69999999999999"/>
    <n v="192.6"/>
    <n v="151.4"/>
    <n v="155.19999999999999"/>
    <n v="163.9"/>
    <n v="118.1"/>
    <n v="175.4"/>
    <n v="170.5"/>
    <n v="176.3"/>
    <n v="163.9"/>
    <n v="191.5"/>
    <n v="174.1"/>
    <n v="171"/>
    <n v="173.7"/>
    <n v="165.5"/>
    <x v="235"/>
    <n v="165.7"/>
    <n v="175.3"/>
    <n v="161.19999999999999"/>
    <n v="165.5"/>
    <n v="170.3"/>
    <n v="164.5"/>
    <n v="167.3"/>
    <x v="248"/>
  </r>
  <r>
    <x v="1"/>
    <x v="9"/>
    <x v="1"/>
    <n v="152.5"/>
    <n v="205.2"/>
    <n v="176.4"/>
    <n v="160.6"/>
    <n v="171.5"/>
    <n v="156.4"/>
    <n v="198"/>
    <n v="163.19999999999999"/>
    <n v="120.6"/>
    <n v="172.2"/>
    <n v="156.69999999999999"/>
    <n v="180"/>
    <n v="170.2"/>
    <n v="196.5"/>
    <n v="165.7"/>
    <n v="150.4"/>
    <n v="163.4"/>
    <n v="165.5"/>
    <x v="236"/>
    <n v="157.4"/>
    <n v="167.2"/>
    <n v="153.1"/>
    <n v="159.5"/>
    <n v="162"/>
    <n v="164.2"/>
    <n v="159.4"/>
    <x v="245"/>
  </r>
  <r>
    <x v="2"/>
    <x v="9"/>
    <x v="1"/>
    <n v="150"/>
    <n v="200.6"/>
    <n v="175.8"/>
    <n v="160.69999999999999"/>
    <n v="184.9"/>
    <n v="153.69999999999999"/>
    <n v="169.7"/>
    <n v="163.69999999999999"/>
    <n v="118.9"/>
    <n v="174.3"/>
    <n v="164.7"/>
    <n v="178"/>
    <n v="166.2"/>
    <n v="192.8"/>
    <n v="170.8"/>
    <n v="162.4"/>
    <n v="169.6"/>
    <n v="165.5"/>
    <x v="237"/>
    <n v="161.80000000000001"/>
    <n v="172.2"/>
    <n v="156.9"/>
    <n v="162.1"/>
    <n v="165.4"/>
    <n v="164.4"/>
    <n v="163.5"/>
    <x v="255"/>
  </r>
  <r>
    <x v="0"/>
    <x v="9"/>
    <x v="2"/>
    <n v="150.19999999999999"/>
    <n v="208"/>
    <n v="167.9"/>
    <n v="162"/>
    <n v="203.1"/>
    <n v="155.9"/>
    <n v="155.80000000000001"/>
    <n v="164.2"/>
    <n v="118.1"/>
    <n v="178.7"/>
    <n v="171.2"/>
    <n v="177.4"/>
    <n v="166.6"/>
    <n v="192.3"/>
    <n v="175.4"/>
    <n v="173.2"/>
    <n v="175.1"/>
    <n v="165.3"/>
    <x v="238"/>
    <n v="166.5"/>
    <n v="176"/>
    <n v="162"/>
    <n v="166.6"/>
    <n v="170.6"/>
    <n v="167.4"/>
    <n v="168.3"/>
    <x v="256"/>
  </r>
  <r>
    <x v="1"/>
    <x v="9"/>
    <x v="2"/>
    <n v="153.69999999999999"/>
    <n v="215.8"/>
    <n v="167.7"/>
    <n v="162.6"/>
    <n v="180"/>
    <n v="159.6"/>
    <n v="188.4"/>
    <n v="163.4"/>
    <n v="120.3"/>
    <n v="174.7"/>
    <n v="157.1"/>
    <n v="181.5"/>
    <n v="171.5"/>
    <n v="197.5"/>
    <n v="167.1"/>
    <n v="152.6"/>
    <n v="164.9"/>
    <n v="165.3"/>
    <x v="239"/>
    <n v="158.6"/>
    <n v="168.2"/>
    <n v="154.19999999999999"/>
    <n v="160.80000000000001"/>
    <n v="162.69999999999999"/>
    <n v="166.8"/>
    <n v="160.6"/>
    <x v="257"/>
  </r>
  <r>
    <x v="2"/>
    <x v="9"/>
    <x v="2"/>
    <n v="151.30000000000001"/>
    <n v="210.7"/>
    <n v="167.8"/>
    <n v="162.19999999999999"/>
    <n v="194.6"/>
    <n v="157.6"/>
    <n v="166.9"/>
    <n v="163.9"/>
    <n v="118.8"/>
    <n v="177.4"/>
    <n v="165.3"/>
    <n v="179.3"/>
    <n v="168.4"/>
    <n v="193.7"/>
    <n v="172.1"/>
    <n v="164.6"/>
    <n v="171.1"/>
    <n v="165.3"/>
    <x v="240"/>
    <n v="162.80000000000001"/>
    <n v="173"/>
    <n v="157.9"/>
    <n v="163.30000000000001"/>
    <n v="166"/>
    <n v="167.2"/>
    <n v="164.6"/>
    <x v="258"/>
  </r>
  <r>
    <x v="0"/>
    <x v="9"/>
    <x v="3"/>
    <n v="151.80000000000001"/>
    <n v="209.7"/>
    <n v="164.5"/>
    <n v="163.80000000000001"/>
    <n v="207.4"/>
    <n v="169.7"/>
    <n v="153.6"/>
    <n v="165.1"/>
    <n v="118.2"/>
    <n v="182.9"/>
    <n v="172.4"/>
    <n v="178.9"/>
    <n v="168.6"/>
    <n v="192.8"/>
    <n v="177.5"/>
    <n v="175.1"/>
    <n v="177.1"/>
    <n v="167"/>
    <x v="241"/>
    <n v="167.7"/>
    <n v="177"/>
    <n v="166.2"/>
    <n v="167.2"/>
    <n v="170.9"/>
    <n v="169"/>
    <n v="170.2"/>
    <x v="259"/>
  </r>
  <r>
    <x v="1"/>
    <x v="9"/>
    <x v="3"/>
    <n v="155.4"/>
    <n v="215.8"/>
    <n v="164.6"/>
    <n v="164.2"/>
    <n v="186"/>
    <n v="175.9"/>
    <n v="190.7"/>
    <n v="164"/>
    <n v="120.5"/>
    <n v="178"/>
    <n v="157.5"/>
    <n v="183.3"/>
    <n v="174.5"/>
    <n v="197.1"/>
    <n v="168.4"/>
    <n v="154.5"/>
    <n v="166.3"/>
    <n v="167"/>
    <x v="242"/>
    <n v="159.80000000000001"/>
    <n v="169"/>
    <n v="159.30000000000001"/>
    <n v="162.19999999999999"/>
    <n v="164"/>
    <n v="168.4"/>
    <n v="163.1"/>
    <x v="260"/>
  </r>
  <r>
    <x v="2"/>
    <x v="9"/>
    <x v="3"/>
    <n v="152.9"/>
    <n v="211.8"/>
    <n v="164.5"/>
    <n v="163.9"/>
    <n v="199.5"/>
    <n v="172.6"/>
    <n v="166.2"/>
    <n v="164.7"/>
    <n v="119"/>
    <n v="181.3"/>
    <n v="166.2"/>
    <n v="180.9"/>
    <n v="170.8"/>
    <n v="193.9"/>
    <n v="173.9"/>
    <n v="166.5"/>
    <n v="172.8"/>
    <n v="167"/>
    <x v="243"/>
    <n v="164"/>
    <n v="174"/>
    <n v="162.6"/>
    <n v="164.4"/>
    <n v="166.9"/>
    <n v="168.8"/>
    <n v="166.8"/>
    <x v="261"/>
  </r>
  <r>
    <x v="0"/>
    <x v="9"/>
    <x v="4"/>
    <n v="152.9"/>
    <n v="214.7"/>
    <n v="161.4"/>
    <n v="164.6"/>
    <n v="209.9"/>
    <n v="168"/>
    <n v="160.4"/>
    <n v="165"/>
    <n v="118.9"/>
    <n v="186.6"/>
    <n v="173.2"/>
    <n v="180.4"/>
    <n v="170.8"/>
    <n v="192.9"/>
    <n v="179.3"/>
    <n v="177.2"/>
    <n v="179"/>
    <n v="167.5"/>
    <x v="244"/>
    <n v="168.9"/>
    <n v="177.7"/>
    <n v="167.1"/>
    <n v="167.6"/>
    <n v="171.8"/>
    <n v="168.5"/>
    <n v="170.9"/>
    <x v="262"/>
  </r>
  <r>
    <x v="1"/>
    <x v="9"/>
    <x v="4"/>
    <n v="156.69999999999999"/>
    <n v="221.2"/>
    <n v="164.1"/>
    <n v="165.4"/>
    <n v="189.5"/>
    <n v="174.5"/>
    <n v="203.2"/>
    <n v="164.1"/>
    <n v="121.2"/>
    <n v="181.4"/>
    <n v="158.5"/>
    <n v="184.9"/>
    <n v="177.5"/>
    <n v="197.5"/>
    <n v="170"/>
    <n v="155.9"/>
    <n v="167.8"/>
    <n v="167.5"/>
    <x v="245"/>
    <n v="161.1"/>
    <n v="170.1"/>
    <n v="159.4"/>
    <n v="163.19999999999999"/>
    <n v="165.2"/>
    <n v="168.2"/>
    <n v="163.80000000000001"/>
    <x v="259"/>
  </r>
  <r>
    <x v="2"/>
    <x v="9"/>
    <x v="4"/>
    <n v="154.1"/>
    <n v="217"/>
    <n v="162.4"/>
    <n v="164.9"/>
    <n v="202.4"/>
    <n v="171"/>
    <n v="174.9"/>
    <n v="164.7"/>
    <n v="119.7"/>
    <n v="184.9"/>
    <n v="167.1"/>
    <n v="182.5"/>
    <n v="173.3"/>
    <n v="194.1"/>
    <n v="175.6"/>
    <n v="168.4"/>
    <n v="174.6"/>
    <n v="167.5"/>
    <x v="246"/>
    <n v="165.2"/>
    <n v="174.8"/>
    <n v="163"/>
    <n v="165.1"/>
    <n v="167.9"/>
    <n v="168.4"/>
    <n v="167.5"/>
    <x v="263"/>
  </r>
  <r>
    <x v="0"/>
    <x v="9"/>
    <x v="5"/>
    <n v="153.80000000000001"/>
    <n v="217.2"/>
    <n v="169.6"/>
    <n v="165.4"/>
    <n v="208.1"/>
    <n v="165.8"/>
    <n v="167.3"/>
    <n v="164.6"/>
    <n v="119.1"/>
    <n v="188.9"/>
    <n v="174.2"/>
    <n v="181.9"/>
    <n v="172.4"/>
    <n v="192.9"/>
    <n v="180.7"/>
    <n v="178.7"/>
    <n v="180.4"/>
    <n v="166.8"/>
    <x v="247"/>
    <n v="170.3"/>
    <n v="178.2"/>
    <n v="165.5"/>
    <n v="168"/>
    <n v="172.6"/>
    <n v="169.5"/>
    <n v="171"/>
    <x v="264"/>
  </r>
  <r>
    <x v="1"/>
    <x v="9"/>
    <x v="5"/>
    <n v="157.5"/>
    <n v="223.4"/>
    <n v="172.8"/>
    <n v="166.4"/>
    <n v="188.6"/>
    <n v="174.1"/>
    <n v="211.5"/>
    <n v="163.6"/>
    <n v="121.4"/>
    <n v="183.5"/>
    <n v="159.1"/>
    <n v="186.3"/>
    <n v="179.3"/>
    <n v="198.3"/>
    <n v="171.6"/>
    <n v="157.4"/>
    <n v="169.4"/>
    <n v="166.8"/>
    <x v="248"/>
    <n v="162.1"/>
    <n v="170.9"/>
    <n v="157.19999999999999"/>
    <n v="164.1"/>
    <n v="166.5"/>
    <n v="169.2"/>
    <n v="163.80000000000001"/>
    <x v="265"/>
  </r>
  <r>
    <x v="2"/>
    <x v="9"/>
    <x v="5"/>
    <n v="155"/>
    <n v="219.4"/>
    <n v="170.8"/>
    <n v="165.8"/>
    <n v="200.9"/>
    <n v="169.7"/>
    <n v="182.3"/>
    <n v="164.3"/>
    <n v="119.9"/>
    <n v="187.1"/>
    <n v="167.9"/>
    <n v="183.9"/>
    <n v="174.9"/>
    <n v="194.3"/>
    <n v="177.1"/>
    <n v="169.9"/>
    <n v="176"/>
    <n v="166.8"/>
    <x v="249"/>
    <n v="166.4"/>
    <n v="175.4"/>
    <n v="161.1"/>
    <n v="165.8"/>
    <n v="169"/>
    <n v="169.4"/>
    <n v="167.5"/>
    <x v="266"/>
  </r>
  <r>
    <x v="0"/>
    <x v="9"/>
    <x v="6"/>
    <n v="155.19999999999999"/>
    <n v="210.8"/>
    <n v="174.3"/>
    <n v="166.3"/>
    <n v="202.2"/>
    <n v="169.6"/>
    <n v="168.6"/>
    <n v="164.4"/>
    <n v="119.2"/>
    <n v="191.8"/>
    <n v="174.5"/>
    <n v="183.1"/>
    <n v="172.5"/>
    <n v="193.2"/>
    <n v="182"/>
    <n v="180.3"/>
    <n v="181.7"/>
    <n v="167.8"/>
    <x v="250"/>
    <n v="171.3"/>
    <n v="178.8"/>
    <n v="166.3"/>
    <n v="168.6"/>
    <n v="174.7"/>
    <n v="169.7"/>
    <n v="171.8"/>
    <x v="267"/>
  </r>
  <r>
    <x v="1"/>
    <x v="9"/>
    <x v="6"/>
    <n v="159.30000000000001"/>
    <n v="217.1"/>
    <n v="176.6"/>
    <n v="167.1"/>
    <n v="184.8"/>
    <n v="179.5"/>
    <n v="208.5"/>
    <n v="164"/>
    <n v="121.5"/>
    <n v="186.3"/>
    <n v="159.80000000000001"/>
    <n v="187.7"/>
    <n v="179.4"/>
    <n v="198.6"/>
    <n v="172.7"/>
    <n v="158.69999999999999"/>
    <n v="170.6"/>
    <n v="167.8"/>
    <x v="251"/>
    <n v="163.1"/>
    <n v="171.7"/>
    <n v="157.4"/>
    <n v="164.6"/>
    <n v="169.1"/>
    <n v="169.8"/>
    <n v="164.7"/>
    <x v="268"/>
  </r>
  <r>
    <x v="2"/>
    <x v="9"/>
    <x v="6"/>
    <n v="156.5"/>
    <n v="213"/>
    <n v="175.2"/>
    <n v="166.6"/>
    <n v="195.8"/>
    <n v="174.2"/>
    <n v="182.1"/>
    <n v="164.3"/>
    <n v="120"/>
    <n v="190"/>
    <n v="168.4"/>
    <n v="185.2"/>
    <n v="175"/>
    <n v="194.6"/>
    <n v="178.3"/>
    <n v="171.3"/>
    <n v="177.3"/>
    <n v="167.8"/>
    <x v="250"/>
    <n v="167.4"/>
    <n v="176.1"/>
    <n v="161.6"/>
    <n v="166.3"/>
    <n v="171.4"/>
    <n v="169.7"/>
    <n v="168.4"/>
    <x v="269"/>
  </r>
  <r>
    <x v="0"/>
    <x v="9"/>
    <x v="7"/>
    <n v="159.5"/>
    <n v="204.1"/>
    <n v="168.3"/>
    <n v="167.9"/>
    <n v="198.1"/>
    <n v="169.2"/>
    <n v="173.1"/>
    <n v="167.1"/>
    <n v="120.2"/>
    <n v="195.6"/>
    <n v="174.8"/>
    <n v="184"/>
    <n v="173.9"/>
    <n v="193.7"/>
    <n v="183.2"/>
    <n v="181.7"/>
    <n v="183"/>
    <n v="169"/>
    <x v="252"/>
    <n v="172.3"/>
    <n v="179.4"/>
    <n v="166.6"/>
    <n v="169.3"/>
    <n v="175.7"/>
    <n v="171.1"/>
    <n v="172.6"/>
    <x v="270"/>
  </r>
  <r>
    <x v="1"/>
    <x v="9"/>
    <x v="7"/>
    <n v="162.1"/>
    <n v="210.9"/>
    <n v="170.6"/>
    <n v="168.4"/>
    <n v="182.5"/>
    <n v="177.1"/>
    <n v="213.1"/>
    <n v="167.3"/>
    <n v="122.2"/>
    <n v="189.7"/>
    <n v="160.5"/>
    <n v="188.9"/>
    <n v="180.4"/>
    <n v="198.7"/>
    <n v="173.7"/>
    <n v="160"/>
    <n v="171.6"/>
    <n v="169"/>
    <x v="253"/>
    <n v="164.2"/>
    <n v="172.6"/>
    <n v="157.69999999999999"/>
    <n v="165.1"/>
    <n v="169.9"/>
    <n v="171.4"/>
    <n v="165.4"/>
    <x v="271"/>
  </r>
  <r>
    <x v="2"/>
    <x v="9"/>
    <x v="7"/>
    <n v="160.30000000000001"/>
    <n v="206.5"/>
    <n v="169.2"/>
    <n v="168.1"/>
    <n v="192.4"/>
    <n v="172.9"/>
    <n v="186.7"/>
    <n v="167.2"/>
    <n v="120.9"/>
    <n v="193.6"/>
    <n v="168.8"/>
    <n v="186.3"/>
    <n v="176.3"/>
    <n v="195"/>
    <n v="179.5"/>
    <n v="172.7"/>
    <n v="178.5"/>
    <n v="169"/>
    <x v="254"/>
    <n v="168.5"/>
    <n v="176.8"/>
    <n v="161.9"/>
    <n v="166.9"/>
    <n v="172.3"/>
    <n v="171.2"/>
    <n v="169.1"/>
    <x v="267"/>
  </r>
  <r>
    <x v="0"/>
    <x v="9"/>
    <x v="8"/>
    <n v="162.9"/>
    <n v="206.7"/>
    <n v="169"/>
    <n v="169.5"/>
    <n v="194.1"/>
    <n v="164.1"/>
    <n v="176.9"/>
    <n v="169"/>
    <n v="120.8"/>
    <n v="199.1"/>
    <n v="175.4"/>
    <n v="184.8"/>
    <n v="175.5"/>
    <n v="194.5"/>
    <n v="184.7"/>
    <n v="183.3"/>
    <n v="184.5"/>
    <n v="169.5"/>
    <x v="255"/>
    <n v="173.6"/>
    <n v="180.2"/>
    <n v="166.9"/>
    <n v="170"/>
    <n v="176.2"/>
    <n v="170.8"/>
    <n v="173.1"/>
    <x v="272"/>
  </r>
  <r>
    <x v="1"/>
    <x v="9"/>
    <x v="8"/>
    <n v="164.9"/>
    <n v="213.7"/>
    <n v="170.9"/>
    <n v="170.1"/>
    <n v="179.3"/>
    <n v="167.5"/>
    <n v="220.8"/>
    <n v="169.2"/>
    <n v="123.1"/>
    <n v="193.6"/>
    <n v="161.1"/>
    <n v="190.4"/>
    <n v="181.8"/>
    <n v="199.7"/>
    <n v="175"/>
    <n v="161.69999999999999"/>
    <n v="173"/>
    <n v="169.5"/>
    <x v="256"/>
    <n v="165"/>
    <n v="173.8"/>
    <n v="158.19999999999999"/>
    <n v="165.8"/>
    <n v="170.9"/>
    <n v="171.1"/>
    <n v="166.1"/>
    <x v="273"/>
  </r>
  <r>
    <x v="2"/>
    <x v="9"/>
    <x v="8"/>
    <n v="163.5"/>
    <n v="209.2"/>
    <n v="169.7"/>
    <n v="169.7"/>
    <n v="188.7"/>
    <n v="165.7"/>
    <n v="191.8"/>
    <n v="169.1"/>
    <n v="121.6"/>
    <n v="197.3"/>
    <n v="169.4"/>
    <n v="187.4"/>
    <n v="177.8"/>
    <n v="195.9"/>
    <n v="180.9"/>
    <n v="174.3"/>
    <n v="179.9"/>
    <n v="169.5"/>
    <x v="251"/>
    <n v="169.5"/>
    <n v="177.8"/>
    <n v="162.30000000000001"/>
    <n v="167.6"/>
    <n v="173.1"/>
    <n v="170.9"/>
    <n v="169.7"/>
    <x v="270"/>
  </r>
  <r>
    <x v="0"/>
    <x v="9"/>
    <x v="9"/>
    <n v="164.7"/>
    <n v="208.8"/>
    <n v="170.3"/>
    <n v="170.9"/>
    <n v="191.6"/>
    <n v="162.19999999999999"/>
    <n v="184.8"/>
    <n v="169.7"/>
    <n v="121.1"/>
    <n v="201.6"/>
    <n v="175.8"/>
    <n v="185.6"/>
    <n v="177.4"/>
    <n v="194.9"/>
    <n v="186.1"/>
    <n v="184.4"/>
    <n v="185.9"/>
    <n v="171.2"/>
    <x v="257"/>
    <n v="174.4"/>
    <n v="181.2"/>
    <n v="167.4"/>
    <n v="170.6"/>
    <n v="176.5"/>
    <n v="172"/>
    <n v="173.9"/>
    <x v="274"/>
  </r>
  <r>
    <x v="1"/>
    <x v="9"/>
    <x v="9"/>
    <n v="166.4"/>
    <n v="214.9"/>
    <n v="171.9"/>
    <n v="171"/>
    <n v="177.7"/>
    <n v="165.7"/>
    <n v="228.6"/>
    <n v="169.9"/>
    <n v="123.4"/>
    <n v="196.4"/>
    <n v="161.6"/>
    <n v="191.5"/>
    <n v="183.3"/>
    <n v="200.1"/>
    <n v="175.5"/>
    <n v="162.6"/>
    <n v="173.6"/>
    <n v="171.2"/>
    <x v="258"/>
    <n v="166"/>
    <n v="174.7"/>
    <n v="158.80000000000001"/>
    <n v="166.3"/>
    <n v="171.2"/>
    <n v="172.3"/>
    <n v="166.8"/>
    <x v="270"/>
  </r>
  <r>
    <x v="2"/>
    <x v="9"/>
    <x v="9"/>
    <n v="165.2"/>
    <n v="210.9"/>
    <n v="170.9"/>
    <n v="170.9"/>
    <n v="186.5"/>
    <n v="163.80000000000001"/>
    <n v="199.7"/>
    <n v="169.8"/>
    <n v="121.9"/>
    <n v="199.9"/>
    <n v="169.9"/>
    <n v="188.3"/>
    <n v="179.6"/>
    <n v="196.3"/>
    <n v="181.9"/>
    <n v="175.3"/>
    <n v="181"/>
    <n v="171.2"/>
    <x v="259"/>
    <n v="170.4"/>
    <n v="178.7"/>
    <n v="162.9"/>
    <n v="168.2"/>
    <n v="173.4"/>
    <n v="172.1"/>
    <n v="170.5"/>
    <x v="275"/>
  </r>
  <r>
    <x v="0"/>
    <x v="9"/>
    <x v="10"/>
    <n v="166.9"/>
    <n v="207.2"/>
    <n v="180.2"/>
    <n v="172.3"/>
    <n v="194"/>
    <n v="159.1"/>
    <n v="171.6"/>
    <n v="170.2"/>
    <n v="121.5"/>
    <n v="204.8"/>
    <n v="176.4"/>
    <n v="186.9"/>
    <n v="176.6"/>
    <n v="195.5"/>
    <n v="187.2"/>
    <n v="185.2"/>
    <n v="186.9"/>
    <n v="171.8"/>
    <x v="260"/>
    <n v="175.5"/>
    <n v="182.3"/>
    <n v="167.5"/>
    <n v="170.8"/>
    <n v="176.9"/>
    <n v="173.4"/>
    <n v="174.6"/>
    <x v="276"/>
  </r>
  <r>
    <x v="1"/>
    <x v="9"/>
    <x v="10"/>
    <n v="168.4"/>
    <n v="213.4"/>
    <n v="183.2"/>
    <n v="172.3"/>
    <n v="180"/>
    <n v="162.6"/>
    <n v="205.5"/>
    <n v="171"/>
    <n v="123.4"/>
    <n v="198.8"/>
    <n v="162.1"/>
    <n v="192.4"/>
    <n v="181.3"/>
    <n v="200.6"/>
    <n v="176.7"/>
    <n v="163.5"/>
    <n v="174.7"/>
    <n v="171.8"/>
    <x v="261"/>
    <n v="166.9"/>
    <n v="175.8"/>
    <n v="158.9"/>
    <n v="166.7"/>
    <n v="171.5"/>
    <n v="173.8"/>
    <n v="167.4"/>
    <x v="273"/>
  </r>
  <r>
    <x v="2"/>
    <x v="9"/>
    <x v="10"/>
    <n v="167.4"/>
    <n v="209.4"/>
    <n v="181.4"/>
    <n v="172.3"/>
    <n v="188.9"/>
    <n v="160.69999999999999"/>
    <n v="183.1"/>
    <n v="170.5"/>
    <n v="122.1"/>
    <n v="202.8"/>
    <n v="170.4"/>
    <n v="189.5"/>
    <n v="178.3"/>
    <n v="196.9"/>
    <n v="183.1"/>
    <n v="176.2"/>
    <n v="182.1"/>
    <n v="171.8"/>
    <x v="262"/>
    <n v="171.4"/>
    <n v="179.8"/>
    <n v="163"/>
    <n v="168.5"/>
    <n v="173.7"/>
    <n v="173.6"/>
    <n v="171.1"/>
    <x v="277"/>
  </r>
  <r>
    <x v="0"/>
    <x v="9"/>
    <x v="11"/>
    <n v="168.8"/>
    <n v="206.9"/>
    <n v="189.1"/>
    <n v="173.4"/>
    <n v="193.9"/>
    <n v="156.69999999999999"/>
    <n v="150.19999999999999"/>
    <n v="170.5"/>
    <n v="121.2"/>
    <n v="207.5"/>
    <n v="176.8"/>
    <n v="187.7"/>
    <n v="174.4"/>
    <n v="195.9"/>
    <n v="188.1"/>
    <n v="185.9"/>
    <n v="187.8"/>
    <n v="170.7"/>
    <x v="263"/>
    <n v="176.4"/>
    <n v="183.5"/>
    <n v="167.8"/>
    <n v="171.2"/>
    <n v="177.3"/>
    <n v="175.7"/>
    <n v="175.5"/>
    <x v="278"/>
  </r>
  <r>
    <x v="1"/>
    <x v="9"/>
    <x v="11"/>
    <n v="170.2"/>
    <n v="212.9"/>
    <n v="191.9"/>
    <n v="173.9"/>
    <n v="179.1"/>
    <n v="159.5"/>
    <n v="178.7"/>
    <n v="171.3"/>
    <n v="123.1"/>
    <n v="200.5"/>
    <n v="162.80000000000001"/>
    <n v="193.3"/>
    <n v="178.6"/>
    <n v="201.1"/>
    <n v="177.7"/>
    <n v="164.5"/>
    <n v="175.7"/>
    <n v="170.7"/>
    <x v="264"/>
    <n v="167.3"/>
    <n v="177.2"/>
    <n v="159.4"/>
    <n v="167.1"/>
    <n v="171.8"/>
    <n v="176"/>
    <n v="168.2"/>
    <x v="273"/>
  </r>
  <r>
    <x v="2"/>
    <x v="9"/>
    <x v="11"/>
    <n v="169.2"/>
    <n v="209"/>
    <n v="190.2"/>
    <n v="173.6"/>
    <n v="188.5"/>
    <n v="158"/>
    <n v="159.9"/>
    <n v="170.8"/>
    <n v="121.8"/>
    <n v="205.2"/>
    <n v="171"/>
    <n v="190.3"/>
    <n v="175.9"/>
    <n v="197.3"/>
    <n v="184"/>
    <n v="177"/>
    <n v="183"/>
    <n v="170.7"/>
    <x v="265"/>
    <n v="172.1"/>
    <n v="181.1"/>
    <n v="163.4"/>
    <n v="168.9"/>
    <n v="174.1"/>
    <n v="175.8"/>
    <n v="172"/>
    <x v="279"/>
  </r>
  <r>
    <x v="0"/>
    <x v="10"/>
    <x v="0"/>
    <n v="174"/>
    <n v="208.3"/>
    <n v="192.9"/>
    <n v="174.3"/>
    <n v="192.6"/>
    <n v="156.30000000000001"/>
    <n v="142.9"/>
    <n v="170.7"/>
    <n v="120.3"/>
    <n v="210.5"/>
    <n v="176.9"/>
    <n v="188.5"/>
    <n v="175"/>
    <n v="196.9"/>
    <n v="189"/>
    <n v="186.3"/>
    <n v="188.6"/>
    <n v="172.1"/>
    <x v="266"/>
    <n v="177.2"/>
    <n v="184.7"/>
    <n v="168.2"/>
    <n v="171.8"/>
    <n v="177.8"/>
    <n v="178.4"/>
    <n v="176.5"/>
    <x v="276"/>
  </r>
  <r>
    <x v="1"/>
    <x v="10"/>
    <x v="0"/>
    <n v="173.3"/>
    <n v="215.2"/>
    <n v="197"/>
    <n v="175.2"/>
    <n v="178"/>
    <n v="160.5"/>
    <n v="175.3"/>
    <n v="171.2"/>
    <n v="122.7"/>
    <n v="204.3"/>
    <n v="163.69999999999999"/>
    <n v="194.3"/>
    <n v="179.5"/>
    <n v="201.6"/>
    <n v="178.7"/>
    <n v="165.3"/>
    <n v="176.6"/>
    <n v="172.1"/>
    <x v="267"/>
    <n v="168"/>
    <n v="178.5"/>
    <n v="159.5"/>
    <n v="167.8"/>
    <n v="171.8"/>
    <n v="178.8"/>
    <n v="168.9"/>
    <x v="280"/>
  </r>
  <r>
    <x v="2"/>
    <x v="10"/>
    <x v="0"/>
    <n v="173.8"/>
    <n v="210.7"/>
    <n v="194.5"/>
    <n v="174.6"/>
    <n v="187.2"/>
    <n v="158.30000000000001"/>
    <n v="153.9"/>
    <n v="170.9"/>
    <n v="121.1"/>
    <n v="208.4"/>
    <n v="171.4"/>
    <n v="191.2"/>
    <n v="176.7"/>
    <n v="198.2"/>
    <n v="184.9"/>
    <n v="177.6"/>
    <n v="183.8"/>
    <n v="172.1"/>
    <x v="265"/>
    <n v="172.9"/>
    <n v="182.3"/>
    <n v="163.6"/>
    <n v="169.5"/>
    <n v="174.3"/>
    <n v="178.6"/>
    <n v="172.8"/>
    <x v="277"/>
  </r>
  <r>
    <x v="0"/>
    <x v="10"/>
    <x v="1"/>
    <n v="174.2"/>
    <n v="205.2"/>
    <n v="173.9"/>
    <n v="177"/>
    <n v="183.4"/>
    <n v="167.2"/>
    <n v="140.9"/>
    <n v="170.4"/>
    <n v="119.1"/>
    <n v="212.1"/>
    <n v="177.6"/>
    <n v="189.9"/>
    <n v="174.8"/>
    <n v="198.3"/>
    <n v="190"/>
    <n v="187"/>
    <n v="189.6"/>
    <n v="173.5"/>
    <x v="268"/>
    <n v="178.6"/>
    <n v="186.6"/>
    <n v="169"/>
    <n v="172.8"/>
    <n v="178.5"/>
    <n v="180.7"/>
    <n v="177.9"/>
    <x v="281"/>
  </r>
  <r>
    <x v="1"/>
    <x v="10"/>
    <x v="1"/>
    <n v="174.7"/>
    <n v="212.2"/>
    <n v="177.2"/>
    <n v="177.9"/>
    <n v="172.2"/>
    <n v="172.1"/>
    <n v="175.8"/>
    <n v="172.2"/>
    <n v="121.9"/>
    <n v="204.8"/>
    <n v="164.9"/>
    <n v="196.6"/>
    <n v="180.7"/>
    <n v="202.7"/>
    <n v="180.3"/>
    <n v="167"/>
    <n v="178.2"/>
    <n v="173.5"/>
    <x v="263"/>
    <n v="169.2"/>
    <n v="180.8"/>
    <n v="159.80000000000001"/>
    <n v="168.4"/>
    <n v="172.5"/>
    <n v="181.4"/>
    <n v="170"/>
    <x v="282"/>
  </r>
  <r>
    <x v="2"/>
    <x v="10"/>
    <x v="1"/>
    <n v="174.4"/>
    <n v="207.7"/>
    <n v="175.2"/>
    <n v="177.3"/>
    <n v="179.3"/>
    <n v="169.5"/>
    <n v="152.69999999999999"/>
    <n v="171"/>
    <n v="120"/>
    <n v="209.7"/>
    <n v="172.3"/>
    <n v="193"/>
    <n v="177"/>
    <n v="199.5"/>
    <n v="186.2"/>
    <n v="178.7"/>
    <n v="185.1"/>
    <n v="173.5"/>
    <x v="269"/>
    <n v="174.2"/>
    <n v="184.4"/>
    <n v="164.2"/>
    <n v="170.3"/>
    <n v="175"/>
    <n v="181"/>
    <n v="174.1"/>
    <x v="283"/>
  </r>
  <r>
    <x v="0"/>
    <x v="10"/>
    <x v="2"/>
    <n v="174.3"/>
    <n v="205.2"/>
    <n v="173.9"/>
    <n v="177"/>
    <n v="183.3"/>
    <n v="167.2"/>
    <n v="140.9"/>
    <n v="170.5"/>
    <n v="119.1"/>
    <n v="212.1"/>
    <n v="177.6"/>
    <n v="189.9"/>
    <n v="174.8"/>
    <n v="198.4"/>
    <n v="190"/>
    <n v="187"/>
    <n v="189.6"/>
    <n v="173.5"/>
    <x v="270"/>
    <n v="178.6"/>
    <n v="186.6"/>
    <n v="169"/>
    <n v="172.8"/>
    <n v="178.5"/>
    <n v="180.7"/>
    <n v="177.9"/>
    <x v="281"/>
  </r>
  <r>
    <x v="1"/>
    <x v="10"/>
    <x v="2"/>
    <n v="174.7"/>
    <n v="212.2"/>
    <n v="177.2"/>
    <n v="177.9"/>
    <n v="172.2"/>
    <n v="172.1"/>
    <n v="175.9"/>
    <n v="172.2"/>
    <n v="121.9"/>
    <n v="204.8"/>
    <n v="164.9"/>
    <n v="196.6"/>
    <n v="180.8"/>
    <n v="202.7"/>
    <n v="180.2"/>
    <n v="167"/>
    <n v="178.2"/>
    <n v="173.5"/>
    <x v="271"/>
    <n v="169.2"/>
    <n v="180.8"/>
    <n v="159.80000000000001"/>
    <n v="168.4"/>
    <n v="172.5"/>
    <n v="181.5"/>
    <n v="170"/>
    <x v="282"/>
  </r>
  <r>
    <x v="2"/>
    <x v="10"/>
    <x v="2"/>
    <n v="174.4"/>
    <n v="207.7"/>
    <n v="175.2"/>
    <n v="177.3"/>
    <n v="179.2"/>
    <n v="169.5"/>
    <n v="152.80000000000001"/>
    <n v="171.1"/>
    <n v="120"/>
    <n v="209.7"/>
    <n v="172.3"/>
    <n v="193"/>
    <n v="177"/>
    <n v="199.5"/>
    <n v="186.1"/>
    <n v="178.7"/>
    <n v="185.1"/>
    <n v="173.5"/>
    <x v="260"/>
    <n v="174.2"/>
    <n v="184.4"/>
    <n v="164.2"/>
    <n v="170.3"/>
    <n v="175"/>
    <n v="181"/>
    <n v="174.1"/>
    <x v="283"/>
  </r>
  <r>
    <x v="0"/>
    <x v="10"/>
    <x v="3"/>
    <n v="173.3"/>
    <n v="206.9"/>
    <n v="167.9"/>
    <n v="178.2"/>
    <n v="178.5"/>
    <n v="173.7"/>
    <n v="142.80000000000001"/>
    <n v="172.8"/>
    <n v="120.4"/>
    <n v="215.5"/>
    <n v="178.2"/>
    <n v="190.5"/>
    <n v="175.5"/>
    <n v="199.5"/>
    <n v="190.7"/>
    <n v="187.3"/>
    <n v="190.2"/>
    <n v="175.2"/>
    <x v="272"/>
    <n v="179.1"/>
    <n v="187.2"/>
    <n v="169.4"/>
    <n v="173.2"/>
    <n v="179.4"/>
    <n v="183.8"/>
    <n v="178.9"/>
    <x v="284"/>
  </r>
  <r>
    <x v="1"/>
    <x v="10"/>
    <x v="3"/>
    <n v="174.8"/>
    <n v="213.7"/>
    <n v="172.4"/>
    <n v="178.8"/>
    <n v="168.7"/>
    <n v="179.2"/>
    <n v="179.9"/>
    <n v="174.7"/>
    <n v="123.1"/>
    <n v="207.8"/>
    <n v="165.5"/>
    <n v="197"/>
    <n v="182.1"/>
    <n v="203.5"/>
    <n v="181"/>
    <n v="167.7"/>
    <n v="178.9"/>
    <n v="175.2"/>
    <x v="269"/>
    <n v="169.6"/>
    <n v="181.5"/>
    <n v="160.1"/>
    <n v="168.8"/>
    <n v="174.2"/>
    <n v="184.4"/>
    <n v="170.9"/>
    <x v="285"/>
  </r>
  <r>
    <x v="2"/>
    <x v="10"/>
    <x v="3"/>
    <n v="173.8"/>
    <n v="209.3"/>
    <n v="169.6"/>
    <n v="178.4"/>
    <n v="174.9"/>
    <n v="176.3"/>
    <n v="155.4"/>
    <n v="173.4"/>
    <n v="121.3"/>
    <n v="212.9"/>
    <n v="172.9"/>
    <n v="193.5"/>
    <n v="177.9"/>
    <n v="200.6"/>
    <n v="186.9"/>
    <n v="179.2"/>
    <n v="185.7"/>
    <n v="175.2"/>
    <x v="273"/>
    <n v="174.6"/>
    <n v="185"/>
    <n v="164.5"/>
    <n v="170.7"/>
    <n v="176.4"/>
    <n v="184"/>
    <n v="175"/>
    <x v="286"/>
  </r>
  <r>
    <x v="0"/>
    <x v="10"/>
    <x v="4"/>
    <n v="173.2"/>
    <n v="211.5"/>
    <n v="171"/>
    <n v="179.6"/>
    <n v="173.3"/>
    <n v="169"/>
    <n v="148.69999999999999"/>
    <n v="174.9"/>
    <n v="121.9"/>
    <n v="221"/>
    <n v="178.7"/>
    <n v="191.1"/>
    <n v="176.8"/>
    <n v="199.9"/>
    <n v="191.2"/>
    <n v="187.9"/>
    <n v="190.8"/>
    <n v="175.6"/>
    <x v="274"/>
    <n v="179.8"/>
    <n v="187.8"/>
    <n v="169.7"/>
    <n v="173.8"/>
    <n v="180.3"/>
    <n v="184.9"/>
    <n v="179.5"/>
    <x v="287"/>
  </r>
  <r>
    <x v="1"/>
    <x v="10"/>
    <x v="4"/>
    <n v="174.7"/>
    <n v="219.4"/>
    <n v="176.7"/>
    <n v="179.4"/>
    <n v="164.4"/>
    <n v="175.8"/>
    <n v="185"/>
    <n v="176.9"/>
    <n v="124.2"/>
    <n v="211.9"/>
    <n v="165.9"/>
    <n v="197.7"/>
    <n v="183.1"/>
    <n v="204.2"/>
    <n v="181.3"/>
    <n v="168.1"/>
    <n v="179.3"/>
    <n v="175.6"/>
    <x v="275"/>
    <n v="170.1"/>
    <n v="182.2"/>
    <n v="160.4"/>
    <n v="169.2"/>
    <n v="174.8"/>
    <n v="185.6"/>
    <n v="171.6"/>
    <x v="288"/>
  </r>
  <r>
    <x v="2"/>
    <x v="10"/>
    <x v="4"/>
    <n v="173.7"/>
    <n v="214.3"/>
    <n v="173.2"/>
    <n v="179.5"/>
    <n v="170"/>
    <n v="172.2"/>
    <n v="161"/>
    <n v="175.6"/>
    <n v="122.7"/>
    <n v="218"/>
    <n v="173.4"/>
    <n v="194.2"/>
    <n v="179.1"/>
    <n v="201"/>
    <n v="187.3"/>
    <n v="179.7"/>
    <n v="186.2"/>
    <n v="175.6"/>
    <x v="263"/>
    <n v="175.2"/>
    <n v="185.7"/>
    <n v="164.8"/>
    <n v="171.2"/>
    <n v="177.1"/>
    <n v="185.2"/>
    <n v="175.7"/>
    <x v="28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">
  <r>
    <x v="0"/>
    <x v="0"/>
    <x v="0"/>
    <x v="0"/>
    <x v="0"/>
    <x v="0"/>
    <x v="0"/>
    <x v="0"/>
    <x v="0"/>
    <x v="0"/>
    <x v="0"/>
    <x v="0"/>
    <x v="0"/>
    <x v="0"/>
    <x v="0"/>
    <x v="0"/>
    <x v="0"/>
    <n v="106.5"/>
    <n v="105.8"/>
    <n v="106.4"/>
    <n v="104.8"/>
    <n v="104"/>
    <n v="103.3"/>
    <n v="103.4"/>
    <n v="103.8"/>
    <n v="104.7"/>
    <n v="104"/>
    <n v="105.1"/>
    <n v="105.48571428571427"/>
    <n v="106.23333333333335"/>
    <n v="100.3"/>
    <n v="105.5"/>
    <n v="104"/>
    <n v="521.51904761904757"/>
  </r>
  <r>
    <x v="1"/>
    <x v="0"/>
    <x v="0"/>
    <x v="1"/>
    <x v="1"/>
    <x v="1"/>
    <x v="1"/>
    <x v="1"/>
    <x v="1"/>
    <x v="1"/>
    <x v="1"/>
    <x v="1"/>
    <x v="1"/>
    <x v="1"/>
    <x v="1"/>
    <x v="1"/>
    <x v="1"/>
    <n v="105.9"/>
    <n v="105"/>
    <n v="105.8"/>
    <n v="104.8"/>
    <n v="104.1"/>
    <n v="103.2"/>
    <n v="102.9"/>
    <n v="103.5"/>
    <n v="104.3"/>
    <n v="103.7"/>
    <n v="104"/>
    <n v="105.82857142857144"/>
    <n v="105.56666666666666"/>
    <n v="100.3"/>
    <n v="105.4"/>
    <n v="103.8"/>
    <n v="520.89523809523803"/>
  </r>
  <r>
    <x v="2"/>
    <x v="0"/>
    <x v="0"/>
    <x v="2"/>
    <x v="2"/>
    <x v="2"/>
    <x v="2"/>
    <x v="2"/>
    <x v="2"/>
    <x v="2"/>
    <x v="2"/>
    <x v="2"/>
    <x v="2"/>
    <x v="2"/>
    <x v="2"/>
    <x v="2"/>
    <x v="0"/>
    <n v="106.3"/>
    <n v="105.5"/>
    <n v="106.2"/>
    <n v="104.8"/>
    <n v="104"/>
    <n v="103.2"/>
    <n v="103.1"/>
    <n v="103.6"/>
    <n v="104.5"/>
    <n v="103.9"/>
    <n v="104.6"/>
    <n v="105.60000000000001"/>
    <n v="106"/>
    <n v="100.3"/>
    <n v="105.5"/>
    <n v="103.86666666666667"/>
    <n v="521.26666666666665"/>
  </r>
  <r>
    <x v="0"/>
    <x v="0"/>
    <x v="1"/>
    <x v="3"/>
    <x v="3"/>
    <x v="3"/>
    <x v="3"/>
    <x v="3"/>
    <x v="3"/>
    <x v="3"/>
    <x v="3"/>
    <x v="3"/>
    <x v="0"/>
    <x v="1"/>
    <x v="3"/>
    <x v="3"/>
    <x v="2"/>
    <n v="107.1"/>
    <n v="106.3"/>
    <n v="107"/>
    <n v="105.2"/>
    <n v="104.4"/>
    <n v="103.9"/>
    <n v="104"/>
    <n v="104.1"/>
    <n v="104.6"/>
    <n v="104.4"/>
    <n v="105.8"/>
    <n v="106.14285714285712"/>
    <n v="106.8"/>
    <n v="100.4"/>
    <n v="106.2"/>
    <n v="104.36666666666667"/>
    <n v="523.90952380952376"/>
  </r>
  <r>
    <x v="1"/>
    <x v="0"/>
    <x v="1"/>
    <x v="4"/>
    <x v="4"/>
    <x v="4"/>
    <x v="4"/>
    <x v="4"/>
    <x v="4"/>
    <x v="4"/>
    <x v="4"/>
    <x v="4"/>
    <x v="3"/>
    <x v="3"/>
    <x v="4"/>
    <x v="4"/>
    <x v="3"/>
    <n v="106.6"/>
    <n v="105.5"/>
    <n v="106.4"/>
    <n v="105.2"/>
    <n v="104.7"/>
    <n v="104.4"/>
    <n v="103.3"/>
    <n v="103.7"/>
    <n v="104.3"/>
    <n v="104.3"/>
    <n v="104.7"/>
    <n v="106.9"/>
    <n v="106.16666666666667"/>
    <n v="100.4"/>
    <n v="105.7"/>
    <n v="104.26666666666667"/>
    <n v="523.43333333333339"/>
  </r>
  <r>
    <x v="2"/>
    <x v="0"/>
    <x v="1"/>
    <x v="5"/>
    <x v="5"/>
    <x v="5"/>
    <x v="0"/>
    <x v="5"/>
    <x v="5"/>
    <x v="5"/>
    <x v="5"/>
    <x v="1"/>
    <x v="4"/>
    <x v="4"/>
    <x v="5"/>
    <x v="5"/>
    <x v="4"/>
    <n v="106.9"/>
    <n v="106"/>
    <n v="106.8"/>
    <n v="105.2"/>
    <n v="104.5"/>
    <n v="104.2"/>
    <n v="103.6"/>
    <n v="103.9"/>
    <n v="104.5"/>
    <n v="104.4"/>
    <n v="105.3"/>
    <n v="106.42142857142858"/>
    <n v="106.56666666666666"/>
    <n v="100.4"/>
    <n v="106"/>
    <n v="104.31666666666666"/>
    <n v="523.70476190476188"/>
  </r>
  <r>
    <x v="0"/>
    <x v="0"/>
    <x v="2"/>
    <x v="6"/>
    <x v="6"/>
    <x v="6"/>
    <x v="5"/>
    <x v="6"/>
    <x v="6"/>
    <x v="6"/>
    <x v="6"/>
    <x v="5"/>
    <x v="5"/>
    <x v="5"/>
    <x v="6"/>
    <x v="5"/>
    <x v="5"/>
    <n v="107.6"/>
    <n v="106.8"/>
    <n v="107.5"/>
    <n v="105.6"/>
    <n v="104.7"/>
    <n v="104.6"/>
    <n v="104"/>
    <n v="104.3"/>
    <n v="104.3"/>
    <n v="104.6"/>
    <n v="106"/>
    <n v="106.33571428571429"/>
    <n v="107.3"/>
    <n v="100.4"/>
    <n v="106.1"/>
    <n v="104.58333333333331"/>
    <n v="524.71904761904761"/>
  </r>
  <r>
    <x v="1"/>
    <x v="0"/>
    <x v="2"/>
    <x v="7"/>
    <x v="7"/>
    <x v="7"/>
    <x v="6"/>
    <x v="7"/>
    <x v="7"/>
    <x v="7"/>
    <x v="7"/>
    <x v="6"/>
    <x v="6"/>
    <x v="6"/>
    <x v="7"/>
    <x v="6"/>
    <x v="6"/>
    <n v="107.2"/>
    <n v="106"/>
    <n v="107"/>
    <n v="105.7"/>
    <n v="105.2"/>
    <n v="105.5"/>
    <n v="103.5"/>
    <n v="103.8"/>
    <n v="104.2"/>
    <n v="104.9"/>
    <n v="105"/>
    <n v="106.68571428571428"/>
    <n v="106.73333333333333"/>
    <n v="100.4"/>
    <n v="106"/>
    <n v="104.64999999999999"/>
    <n v="524.46904761904761"/>
  </r>
  <r>
    <x v="2"/>
    <x v="0"/>
    <x v="2"/>
    <x v="8"/>
    <x v="8"/>
    <x v="8"/>
    <x v="7"/>
    <x v="8"/>
    <x v="8"/>
    <x v="2"/>
    <x v="8"/>
    <x v="7"/>
    <x v="7"/>
    <x v="7"/>
    <x v="8"/>
    <x v="7"/>
    <x v="7"/>
    <n v="107.4"/>
    <n v="106.5"/>
    <n v="107.3"/>
    <n v="105.6"/>
    <n v="104.9"/>
    <n v="105.1"/>
    <n v="103.7"/>
    <n v="104"/>
    <n v="104.3"/>
    <n v="104.7"/>
    <n v="105.5"/>
    <n v="106.47142857142858"/>
    <n v="107.06666666666666"/>
    <n v="100.4"/>
    <n v="106.1"/>
    <n v="104.59999999999998"/>
    <n v="524.63809523809527"/>
  </r>
  <r>
    <x v="0"/>
    <x v="0"/>
    <x v="3"/>
    <x v="6"/>
    <x v="9"/>
    <x v="9"/>
    <x v="8"/>
    <x v="9"/>
    <x v="9"/>
    <x v="8"/>
    <x v="6"/>
    <x v="7"/>
    <x v="8"/>
    <x v="8"/>
    <x v="9"/>
    <x v="8"/>
    <x v="8"/>
    <n v="108.1"/>
    <n v="107.4"/>
    <n v="108"/>
    <n v="106.1"/>
    <n v="105.1"/>
    <n v="104.4"/>
    <n v="104.5"/>
    <n v="104.8"/>
    <n v="102.7"/>
    <n v="104.6"/>
    <n v="106.4"/>
    <n v="106.63571428571427"/>
    <n v="107.83333333333333"/>
    <n v="100.5"/>
    <n v="106.5"/>
    <n v="104.60000000000001"/>
    <n v="526.06904761904764"/>
  </r>
  <r>
    <x v="1"/>
    <x v="0"/>
    <x v="3"/>
    <x v="9"/>
    <x v="10"/>
    <x v="10"/>
    <x v="9"/>
    <x v="10"/>
    <x v="10"/>
    <x v="9"/>
    <x v="9"/>
    <x v="8"/>
    <x v="9"/>
    <x v="9"/>
    <x v="10"/>
    <x v="9"/>
    <x v="9"/>
    <n v="107.9"/>
    <n v="106.4"/>
    <n v="107.7"/>
    <n v="106.5"/>
    <n v="105.7"/>
    <n v="105"/>
    <n v="104"/>
    <n v="105.2"/>
    <n v="103.2"/>
    <n v="105.1"/>
    <n v="105.7"/>
    <n v="107.58571428571427"/>
    <n v="107.33333333333333"/>
    <n v="100.5"/>
    <n v="106.4"/>
    <n v="104.93333333333334"/>
    <n v="526.75238095238092"/>
  </r>
  <r>
    <x v="2"/>
    <x v="0"/>
    <x v="3"/>
    <x v="10"/>
    <x v="11"/>
    <x v="11"/>
    <x v="10"/>
    <x v="11"/>
    <x v="11"/>
    <x v="10"/>
    <x v="5"/>
    <x v="9"/>
    <x v="5"/>
    <x v="10"/>
    <x v="11"/>
    <x v="10"/>
    <x v="10"/>
    <n v="108"/>
    <n v="107"/>
    <n v="107.9"/>
    <n v="106.3"/>
    <n v="105.3"/>
    <n v="104.7"/>
    <n v="104.2"/>
    <n v="105"/>
    <n v="102.9"/>
    <n v="104.8"/>
    <n v="106.1"/>
    <n v="106.97857142857143"/>
    <n v="107.63333333333333"/>
    <n v="100.5"/>
    <n v="106.5"/>
    <n v="104.73333333333333"/>
    <n v="526.34523809523807"/>
  </r>
  <r>
    <x v="0"/>
    <x v="0"/>
    <x v="4"/>
    <x v="11"/>
    <x v="12"/>
    <x v="12"/>
    <x v="11"/>
    <x v="12"/>
    <x v="12"/>
    <x v="11"/>
    <x v="0"/>
    <x v="10"/>
    <x v="10"/>
    <x v="11"/>
    <x v="12"/>
    <x v="11"/>
    <x v="11"/>
    <n v="108.8"/>
    <n v="107.9"/>
    <n v="108.6"/>
    <n v="106.8"/>
    <n v="105.7"/>
    <n v="104.1"/>
    <n v="105"/>
    <n v="105.5"/>
    <n v="102.1"/>
    <n v="104.8"/>
    <n v="107.2"/>
    <n v="107.29285714285713"/>
    <n v="108.43333333333332"/>
    <n v="100.5"/>
    <n v="107.5"/>
    <n v="104.86666666666667"/>
    <n v="528.59285714285716"/>
  </r>
  <r>
    <x v="1"/>
    <x v="0"/>
    <x v="4"/>
    <x v="12"/>
    <x v="13"/>
    <x v="13"/>
    <x v="12"/>
    <x v="13"/>
    <x v="13"/>
    <x v="12"/>
    <x v="10"/>
    <x v="11"/>
    <x v="11"/>
    <x v="12"/>
    <x v="13"/>
    <x v="12"/>
    <x v="12"/>
    <n v="108.5"/>
    <n v="106.7"/>
    <n v="108.3"/>
    <n v="107.1"/>
    <n v="106.2"/>
    <n v="103.9"/>
    <n v="104.6"/>
    <n v="105.7"/>
    <n v="102.6"/>
    <n v="104.9"/>
    <n v="106.6"/>
    <n v="109.07142857142856"/>
    <n v="107.83333333333333"/>
    <n v="100.5"/>
    <n v="107.2"/>
    <n v="105.01666666666669"/>
    <n v="529.62142857142851"/>
  </r>
  <r>
    <x v="2"/>
    <x v="0"/>
    <x v="4"/>
    <x v="13"/>
    <x v="14"/>
    <x v="14"/>
    <x v="13"/>
    <x v="14"/>
    <x v="14"/>
    <x v="13"/>
    <x v="1"/>
    <x v="12"/>
    <x v="12"/>
    <x v="13"/>
    <x v="14"/>
    <x v="13"/>
    <x v="13"/>
    <n v="108.7"/>
    <n v="107.4"/>
    <n v="108.5"/>
    <n v="106.9"/>
    <n v="105.9"/>
    <n v="104"/>
    <n v="104.8"/>
    <n v="105.6"/>
    <n v="102.3"/>
    <n v="104.8"/>
    <n v="106.9"/>
    <n v="107.9142857142857"/>
    <n v="108.2"/>
    <n v="100.5"/>
    <n v="107.4"/>
    <n v="104.91666666666667"/>
    <n v="528.93095238095236"/>
  </r>
  <r>
    <x v="0"/>
    <x v="0"/>
    <x v="5"/>
    <x v="13"/>
    <x v="15"/>
    <x v="0"/>
    <x v="14"/>
    <x v="15"/>
    <x v="15"/>
    <x v="14"/>
    <x v="11"/>
    <x v="13"/>
    <x v="13"/>
    <x v="9"/>
    <x v="15"/>
    <x v="14"/>
    <x v="14"/>
    <n v="109.7"/>
    <n v="108.8"/>
    <n v="109.5"/>
    <n v="107.5"/>
    <n v="106.3"/>
    <n v="105"/>
    <n v="105.6"/>
    <n v="106.5"/>
    <n v="102.5"/>
    <n v="105.5"/>
    <n v="108.9"/>
    <n v="109.21428571428571"/>
    <n v="109.33333333333333"/>
    <n v="106.6"/>
    <n v="108.5"/>
    <n v="105.56666666666666"/>
    <n v="539.21428571428578"/>
  </r>
  <r>
    <x v="1"/>
    <x v="0"/>
    <x v="5"/>
    <x v="14"/>
    <x v="16"/>
    <x v="15"/>
    <x v="15"/>
    <x v="16"/>
    <x v="16"/>
    <x v="15"/>
    <x v="12"/>
    <x v="14"/>
    <x v="14"/>
    <x v="14"/>
    <x v="16"/>
    <x v="15"/>
    <x v="15"/>
    <n v="109.2"/>
    <n v="107.2"/>
    <n v="108.9"/>
    <n v="107.7"/>
    <n v="106.5"/>
    <n v="105.2"/>
    <n v="105.2"/>
    <n v="108.1"/>
    <n v="103.3"/>
    <n v="106.1"/>
    <n v="109.7"/>
    <n v="112.53571428571431"/>
    <n v="108.43333333333334"/>
    <n v="106.6"/>
    <n v="108"/>
    <n v="105.99999999999999"/>
    <n v="541.56904761904764"/>
  </r>
  <r>
    <x v="2"/>
    <x v="0"/>
    <x v="5"/>
    <x v="15"/>
    <x v="17"/>
    <x v="16"/>
    <x v="16"/>
    <x v="17"/>
    <x v="17"/>
    <x v="16"/>
    <x v="13"/>
    <x v="15"/>
    <x v="15"/>
    <x v="15"/>
    <x v="17"/>
    <x v="16"/>
    <x v="16"/>
    <n v="109.5"/>
    <n v="108.1"/>
    <n v="109.3"/>
    <n v="107.6"/>
    <n v="106.4"/>
    <n v="105.1"/>
    <n v="105.4"/>
    <n v="107.4"/>
    <n v="102.8"/>
    <n v="105.8"/>
    <n v="109.3"/>
    <n v="110.39285714285714"/>
    <n v="108.96666666666665"/>
    <n v="106.6"/>
    <n v="108.3"/>
    <n v="105.78333333333332"/>
    <n v="540.0428571428572"/>
  </r>
  <r>
    <x v="0"/>
    <x v="0"/>
    <x v="6"/>
    <x v="16"/>
    <x v="17"/>
    <x v="17"/>
    <x v="17"/>
    <x v="6"/>
    <x v="18"/>
    <x v="17"/>
    <x v="14"/>
    <x v="16"/>
    <x v="14"/>
    <x v="12"/>
    <x v="18"/>
    <x v="17"/>
    <x v="12"/>
    <n v="110.5"/>
    <n v="109.5"/>
    <n v="110.3"/>
    <n v="108.3"/>
    <n v="106.9"/>
    <n v="106.8"/>
    <n v="106.4"/>
    <n v="107.8"/>
    <n v="102.5"/>
    <n v="106.5"/>
    <n v="110.7"/>
    <n v="111.12142857142854"/>
    <n v="110.10000000000001"/>
    <n v="107.7"/>
    <n v="109.5"/>
    <n v="106.44999999999999"/>
    <n v="544.87142857142851"/>
  </r>
  <r>
    <x v="1"/>
    <x v="0"/>
    <x v="6"/>
    <x v="17"/>
    <x v="18"/>
    <x v="18"/>
    <x v="14"/>
    <x v="18"/>
    <x v="19"/>
    <x v="18"/>
    <x v="15"/>
    <x v="17"/>
    <x v="16"/>
    <x v="16"/>
    <x v="19"/>
    <x v="18"/>
    <x v="17"/>
    <n v="109.8"/>
    <n v="107.8"/>
    <n v="109.5"/>
    <n v="108.1"/>
    <n v="107.1"/>
    <n v="107.3"/>
    <n v="105.9"/>
    <n v="110.1"/>
    <n v="103.2"/>
    <n v="107.3"/>
    <n v="111.4"/>
    <n v="114.36428571428573"/>
    <n v="109.03333333333335"/>
    <n v="107.7"/>
    <n v="108.6"/>
    <n v="106.95"/>
    <n v="546.64761904761906"/>
  </r>
  <r>
    <x v="2"/>
    <x v="0"/>
    <x v="6"/>
    <x v="18"/>
    <x v="19"/>
    <x v="19"/>
    <x v="18"/>
    <x v="19"/>
    <x v="20"/>
    <x v="19"/>
    <x v="16"/>
    <x v="18"/>
    <x v="17"/>
    <x v="17"/>
    <x v="20"/>
    <x v="19"/>
    <x v="18"/>
    <n v="110.2"/>
    <n v="108.8"/>
    <n v="110"/>
    <n v="108.2"/>
    <n v="107"/>
    <n v="107.1"/>
    <n v="106.1"/>
    <n v="109.1"/>
    <n v="102.8"/>
    <n v="106.9"/>
    <n v="111"/>
    <n v="112.26428571428571"/>
    <n v="109.66666666666667"/>
    <n v="107.7"/>
    <n v="109.2"/>
    <n v="106.71666666666665"/>
    <n v="545.54761904761904"/>
  </r>
  <r>
    <x v="0"/>
    <x v="0"/>
    <x v="7"/>
    <x v="19"/>
    <x v="20"/>
    <x v="20"/>
    <x v="19"/>
    <x v="20"/>
    <x v="21"/>
    <x v="20"/>
    <x v="17"/>
    <x v="13"/>
    <x v="18"/>
    <x v="18"/>
    <x v="20"/>
    <x v="20"/>
    <x v="19"/>
    <n v="111.3"/>
    <n v="110.2"/>
    <n v="111.1"/>
    <n v="108.7"/>
    <n v="107.5"/>
    <n v="107.8"/>
    <n v="106.8"/>
    <n v="108.7"/>
    <n v="105"/>
    <n v="107.5"/>
    <n v="112.1"/>
    <n v="112.37142857142858"/>
    <n v="110.86666666666667"/>
    <n v="108.9"/>
    <n v="109.9"/>
    <n v="107.41666666666667"/>
    <n v="549.45476190476188"/>
  </r>
  <r>
    <x v="1"/>
    <x v="0"/>
    <x v="7"/>
    <x v="20"/>
    <x v="21"/>
    <x v="21"/>
    <x v="18"/>
    <x v="18"/>
    <x v="22"/>
    <x v="21"/>
    <x v="18"/>
    <x v="19"/>
    <x v="19"/>
    <x v="19"/>
    <x v="21"/>
    <x v="21"/>
    <x v="20"/>
    <n v="110.6"/>
    <n v="108.3"/>
    <n v="110.2"/>
    <n v="108.7"/>
    <n v="107.6"/>
    <n v="108.1"/>
    <n v="106.5"/>
    <n v="110.8"/>
    <n v="106"/>
    <n v="108.3"/>
    <n v="112.7"/>
    <n v="115.60714285714288"/>
    <n v="109.69999999999999"/>
    <n v="108.9"/>
    <n v="109.3"/>
    <n v="107.94999999999999"/>
    <n v="551.45714285714291"/>
  </r>
  <r>
    <x v="2"/>
    <x v="0"/>
    <x v="7"/>
    <x v="21"/>
    <x v="22"/>
    <x v="22"/>
    <x v="20"/>
    <x v="21"/>
    <x v="23"/>
    <x v="22"/>
    <x v="19"/>
    <x v="12"/>
    <x v="20"/>
    <x v="20"/>
    <x v="22"/>
    <x v="22"/>
    <x v="21"/>
    <n v="111"/>
    <n v="109.4"/>
    <n v="110.7"/>
    <n v="108.7"/>
    <n v="107.5"/>
    <n v="108"/>
    <n v="106.6"/>
    <n v="109.9"/>
    <n v="105.4"/>
    <n v="107.9"/>
    <n v="112.4"/>
    <n v="113.47142857142858"/>
    <n v="110.36666666666667"/>
    <n v="108.9"/>
    <n v="109.7"/>
    <n v="107.68333333333332"/>
    <n v="550.12142857142862"/>
  </r>
  <r>
    <x v="0"/>
    <x v="0"/>
    <x v="8"/>
    <x v="12"/>
    <x v="23"/>
    <x v="22"/>
    <x v="21"/>
    <x v="22"/>
    <x v="24"/>
    <x v="23"/>
    <x v="20"/>
    <x v="7"/>
    <x v="21"/>
    <x v="16"/>
    <x v="23"/>
    <x v="23"/>
    <x v="17"/>
    <n v="112.7"/>
    <n v="111.4"/>
    <n v="112.5"/>
    <n v="109.6"/>
    <n v="108.3"/>
    <n v="109.3"/>
    <n v="107.7"/>
    <n v="109.8"/>
    <n v="106.7"/>
    <n v="108.7"/>
    <n v="114.2"/>
    <n v="114.30000000000003"/>
    <n v="112.2"/>
    <n v="109.7"/>
    <n v="111.1"/>
    <n v="108.56666666666666"/>
    <n v="555.86666666666679"/>
  </r>
  <r>
    <x v="1"/>
    <x v="0"/>
    <x v="8"/>
    <x v="22"/>
    <x v="24"/>
    <x v="7"/>
    <x v="20"/>
    <x v="23"/>
    <x v="2"/>
    <x v="24"/>
    <x v="15"/>
    <x v="20"/>
    <x v="22"/>
    <x v="21"/>
    <x v="24"/>
    <x v="24"/>
    <x v="22"/>
    <n v="111.4"/>
    <n v="109"/>
    <n v="111.1"/>
    <n v="109.6"/>
    <n v="107.9"/>
    <n v="110.4"/>
    <n v="107.4"/>
    <n v="111.2"/>
    <n v="106.9"/>
    <n v="109.4"/>
    <n v="113.2"/>
    <n v="115.23571428571429"/>
    <n v="110.5"/>
    <n v="109.7"/>
    <n v="109.5"/>
    <n v="108.89999999999999"/>
    <n v="553.83571428571429"/>
  </r>
  <r>
    <x v="2"/>
    <x v="0"/>
    <x v="8"/>
    <x v="23"/>
    <x v="25"/>
    <x v="23"/>
    <x v="22"/>
    <x v="12"/>
    <x v="25"/>
    <x v="18"/>
    <x v="14"/>
    <x v="12"/>
    <x v="23"/>
    <x v="22"/>
    <x v="25"/>
    <x v="25"/>
    <x v="23"/>
    <n v="112.2"/>
    <n v="110.4"/>
    <n v="111.9"/>
    <n v="109.6"/>
    <n v="108.1"/>
    <n v="109.9"/>
    <n v="107.5"/>
    <n v="110.6"/>
    <n v="106.8"/>
    <n v="109"/>
    <n v="113.7"/>
    <n v="114.54999999999998"/>
    <n v="111.5"/>
    <n v="109.7"/>
    <n v="110.5"/>
    <n v="108.75"/>
    <n v="555"/>
  </r>
  <r>
    <x v="0"/>
    <x v="0"/>
    <x v="9"/>
    <x v="24"/>
    <x v="20"/>
    <x v="24"/>
    <x v="23"/>
    <x v="24"/>
    <x v="19"/>
    <x v="25"/>
    <x v="21"/>
    <x v="21"/>
    <x v="24"/>
    <x v="21"/>
    <x v="26"/>
    <x v="26"/>
    <x v="24"/>
    <n v="113.6"/>
    <n v="112.3"/>
    <n v="113.4"/>
    <n v="110.4"/>
    <n v="108.9"/>
    <n v="109.3"/>
    <n v="108.3"/>
    <n v="110.2"/>
    <n v="107.5"/>
    <n v="109.1"/>
    <n v="115.5"/>
    <n v="115.72857142857143"/>
    <n v="113.09999999999998"/>
    <n v="110.5"/>
    <n v="111.6"/>
    <n v="109.10000000000001"/>
    <n v="560.02857142857147"/>
  </r>
  <r>
    <x v="1"/>
    <x v="0"/>
    <x v="9"/>
    <x v="25"/>
    <x v="26"/>
    <x v="25"/>
    <x v="24"/>
    <x v="25"/>
    <x v="26"/>
    <x v="26"/>
    <x v="5"/>
    <x v="22"/>
    <x v="25"/>
    <x v="23"/>
    <x v="27"/>
    <x v="27"/>
    <x v="25"/>
    <n v="112.5"/>
    <n v="109.7"/>
    <n v="112"/>
    <n v="110.2"/>
    <n v="108.2"/>
    <n v="109.7"/>
    <n v="108"/>
    <n v="111.3"/>
    <n v="107.3"/>
    <n v="109.4"/>
    <n v="114"/>
    <n v="116.47857142857141"/>
    <n v="111.39999999999999"/>
    <n v="110.5"/>
    <n v="109.7"/>
    <n v="109.11666666666666"/>
    <n v="557.19523809523798"/>
  </r>
  <r>
    <x v="2"/>
    <x v="0"/>
    <x v="9"/>
    <x v="26"/>
    <x v="27"/>
    <x v="26"/>
    <x v="25"/>
    <x v="9"/>
    <x v="27"/>
    <x v="27"/>
    <x v="22"/>
    <x v="23"/>
    <x v="26"/>
    <x v="24"/>
    <x v="24"/>
    <x v="28"/>
    <x v="26"/>
    <n v="113.2"/>
    <n v="111.2"/>
    <n v="112.8"/>
    <n v="110.3"/>
    <n v="108.6"/>
    <n v="109.5"/>
    <n v="108.1"/>
    <n v="110.8"/>
    <n v="107.4"/>
    <n v="109.2"/>
    <n v="114.8"/>
    <n v="115.90714285714287"/>
    <n v="112.39999999999999"/>
    <n v="110.5"/>
    <n v="110.9"/>
    <n v="109.11666666666666"/>
    <n v="558.82380952380959"/>
  </r>
  <r>
    <x v="0"/>
    <x v="0"/>
    <x v="10"/>
    <x v="27"/>
    <x v="17"/>
    <x v="27"/>
    <x v="26"/>
    <x v="26"/>
    <x v="28"/>
    <x v="28"/>
    <x v="23"/>
    <x v="24"/>
    <x v="27"/>
    <x v="25"/>
    <x v="27"/>
    <x v="29"/>
    <x v="27"/>
    <n v="114.6"/>
    <n v="113.1"/>
    <n v="114.4"/>
    <n v="111.3"/>
    <n v="109.7"/>
    <n v="109.6"/>
    <n v="108.7"/>
    <n v="111"/>
    <n v="108.2"/>
    <n v="109.8"/>
    <n v="117.4"/>
    <n v="117.82857142857142"/>
    <n v="114.03333333333335"/>
    <n v="111.1"/>
    <n v="112.6"/>
    <n v="109.75"/>
    <n v="565.31190476190477"/>
  </r>
  <r>
    <x v="1"/>
    <x v="0"/>
    <x v="10"/>
    <x v="28"/>
    <x v="27"/>
    <x v="28"/>
    <x v="27"/>
    <x v="27"/>
    <x v="29"/>
    <x v="29"/>
    <x v="13"/>
    <x v="25"/>
    <x v="28"/>
    <x v="25"/>
    <x v="28"/>
    <x v="30"/>
    <x v="28"/>
    <n v="113.5"/>
    <n v="110.3"/>
    <n v="113"/>
    <n v="110.9"/>
    <n v="108.6"/>
    <n v="109.5"/>
    <n v="108.5"/>
    <n v="111.3"/>
    <n v="107.9"/>
    <n v="109.6"/>
    <n v="115"/>
    <n v="118.47857142857141"/>
    <n v="112.26666666666667"/>
    <n v="111.1"/>
    <n v="110"/>
    <n v="109.44999999999999"/>
    <n v="561.29523809523812"/>
  </r>
  <r>
    <x v="2"/>
    <x v="0"/>
    <x v="10"/>
    <x v="29"/>
    <x v="20"/>
    <x v="29"/>
    <x v="28"/>
    <x v="28"/>
    <x v="30"/>
    <x v="30"/>
    <x v="24"/>
    <x v="26"/>
    <x v="29"/>
    <x v="25"/>
    <x v="29"/>
    <x v="31"/>
    <x v="29"/>
    <n v="114.2"/>
    <n v="111.9"/>
    <n v="113.8"/>
    <n v="111.1"/>
    <n v="109.3"/>
    <n v="109.5"/>
    <n v="108.6"/>
    <n v="111.2"/>
    <n v="108.1"/>
    <n v="109.7"/>
    <n v="116.3"/>
    <n v="117.99285714285713"/>
    <n v="113.30000000000001"/>
    <n v="111.1"/>
    <n v="111.6"/>
    <n v="109.63333333333334"/>
    <n v="563.62619047619046"/>
  </r>
  <r>
    <x v="0"/>
    <x v="0"/>
    <x v="11"/>
    <x v="30"/>
    <x v="28"/>
    <x v="30"/>
    <x v="29"/>
    <x v="29"/>
    <x v="31"/>
    <x v="31"/>
    <x v="25"/>
    <x v="27"/>
    <x v="30"/>
    <x v="26"/>
    <x v="30"/>
    <x v="32"/>
    <x v="30"/>
    <n v="115.8"/>
    <n v="114"/>
    <n v="115.5"/>
    <n v="112.1"/>
    <n v="110.1"/>
    <n v="109.9"/>
    <n v="109.2"/>
    <n v="111.6"/>
    <n v="108.1"/>
    <n v="110.1"/>
    <n v="115.5"/>
    <n v="115.89999999999999"/>
    <n v="115.10000000000001"/>
    <n v="110.7"/>
    <n v="112.8"/>
    <n v="110.16666666666667"/>
    <n v="564.66666666666663"/>
  </r>
  <r>
    <x v="1"/>
    <x v="0"/>
    <x v="11"/>
    <x v="31"/>
    <x v="26"/>
    <x v="31"/>
    <x v="26"/>
    <x v="1"/>
    <x v="17"/>
    <x v="32"/>
    <x v="14"/>
    <x v="28"/>
    <x v="31"/>
    <x v="26"/>
    <x v="31"/>
    <x v="23"/>
    <x v="31"/>
    <n v="114.2"/>
    <n v="110.9"/>
    <n v="113.7"/>
    <n v="111.3"/>
    <n v="109"/>
    <n v="109.7"/>
    <n v="108.9"/>
    <n v="111.4"/>
    <n v="107.7"/>
    <n v="109.8"/>
    <n v="113.3"/>
    <n v="115.67142857142858"/>
    <n v="112.93333333333334"/>
    <n v="110.7"/>
    <n v="110.4"/>
    <n v="109.66666666666667"/>
    <n v="559.37142857142851"/>
  </r>
  <r>
    <x v="2"/>
    <x v="0"/>
    <x v="11"/>
    <x v="32"/>
    <x v="29"/>
    <x v="32"/>
    <x v="30"/>
    <x v="30"/>
    <x v="32"/>
    <x v="33"/>
    <x v="26"/>
    <x v="29"/>
    <x v="32"/>
    <x v="26"/>
    <x v="32"/>
    <x v="33"/>
    <x v="32"/>
    <n v="115.2"/>
    <n v="112.7"/>
    <n v="114.8"/>
    <n v="111.7"/>
    <n v="109.7"/>
    <n v="109.8"/>
    <n v="109"/>
    <n v="111.5"/>
    <n v="107.9"/>
    <n v="110"/>
    <n v="114.5"/>
    <n v="115.80714285714286"/>
    <n v="114.23333333333333"/>
    <n v="110.7"/>
    <n v="111.9"/>
    <n v="109.93333333333334"/>
    <n v="562.57380952380959"/>
  </r>
  <r>
    <x v="0"/>
    <x v="1"/>
    <x v="0"/>
    <x v="25"/>
    <x v="30"/>
    <x v="33"/>
    <x v="31"/>
    <x v="31"/>
    <x v="31"/>
    <x v="34"/>
    <x v="27"/>
    <x v="30"/>
    <x v="33"/>
    <x v="27"/>
    <x v="33"/>
    <x v="34"/>
    <x v="32"/>
    <n v="116.5"/>
    <n v="114.5"/>
    <n v="116.2"/>
    <n v="112.6"/>
    <n v="110.6"/>
    <n v="110.5"/>
    <n v="109.6"/>
    <n v="111.8"/>
    <n v="108.3"/>
    <n v="110.6"/>
    <n v="114.2"/>
    <n v="114.32857142857144"/>
    <n v="115.73333333333333"/>
    <n v="111.6"/>
    <n v="113"/>
    <n v="110.56666666666665"/>
    <n v="565.2285714285714"/>
  </r>
  <r>
    <x v="1"/>
    <x v="1"/>
    <x v="0"/>
    <x v="33"/>
    <x v="31"/>
    <x v="34"/>
    <x v="32"/>
    <x v="32"/>
    <x v="33"/>
    <x v="35"/>
    <x v="28"/>
    <x v="31"/>
    <x v="34"/>
    <x v="26"/>
    <x v="34"/>
    <x v="35"/>
    <x v="33"/>
    <n v="114.8"/>
    <n v="111.3"/>
    <n v="114.3"/>
    <n v="111.9"/>
    <n v="109.7"/>
    <n v="110.8"/>
    <n v="109.8"/>
    <n v="111.5"/>
    <n v="108"/>
    <n v="110.5"/>
    <n v="112.9"/>
    <n v="114.28571428571429"/>
    <n v="113.46666666666665"/>
    <n v="111.6"/>
    <n v="111"/>
    <n v="110.28333333333335"/>
    <n v="560.63571428571424"/>
  </r>
  <r>
    <x v="2"/>
    <x v="1"/>
    <x v="0"/>
    <x v="34"/>
    <x v="32"/>
    <x v="35"/>
    <x v="33"/>
    <x v="28"/>
    <x v="34"/>
    <x v="36"/>
    <x v="29"/>
    <x v="22"/>
    <x v="35"/>
    <x v="28"/>
    <x v="31"/>
    <x v="36"/>
    <x v="34"/>
    <n v="115.8"/>
    <n v="113.2"/>
    <n v="115.4"/>
    <n v="112.3"/>
    <n v="110.3"/>
    <n v="110.7"/>
    <n v="109.7"/>
    <n v="111.6"/>
    <n v="108.2"/>
    <n v="110.6"/>
    <n v="113.6"/>
    <n v="114.30714285714284"/>
    <n v="114.8"/>
    <n v="111.6"/>
    <n v="112.2"/>
    <n v="110.46666666666668"/>
    <n v="563.37380952380943"/>
  </r>
  <r>
    <x v="0"/>
    <x v="1"/>
    <x v="1"/>
    <x v="35"/>
    <x v="33"/>
    <x v="36"/>
    <x v="34"/>
    <x v="31"/>
    <x v="28"/>
    <x v="37"/>
    <x v="30"/>
    <x v="32"/>
    <x v="36"/>
    <x v="29"/>
    <x v="35"/>
    <x v="37"/>
    <x v="35"/>
    <n v="117.1"/>
    <n v="114.5"/>
    <n v="116.7"/>
    <n v="112.9"/>
    <n v="110.9"/>
    <n v="110.8"/>
    <n v="109.9"/>
    <n v="112"/>
    <n v="108.7"/>
    <n v="110.9"/>
    <n v="114"/>
    <n v="114.02857142857144"/>
    <n v="116.10000000000001"/>
    <n v="112.5"/>
    <n v="113.2"/>
    <n v="110.86666666666667"/>
    <n v="566.6952380952381"/>
  </r>
  <r>
    <x v="1"/>
    <x v="1"/>
    <x v="1"/>
    <x v="36"/>
    <x v="31"/>
    <x v="37"/>
    <x v="35"/>
    <x v="33"/>
    <x v="35"/>
    <x v="38"/>
    <x v="24"/>
    <x v="33"/>
    <x v="37"/>
    <x v="26"/>
    <x v="36"/>
    <x v="38"/>
    <x v="36"/>
    <n v="115.3"/>
    <n v="111.7"/>
    <n v="114.7"/>
    <n v="112.6"/>
    <n v="110.4"/>
    <n v="111.3"/>
    <n v="110.3"/>
    <n v="111.6"/>
    <n v="108.7"/>
    <n v="111"/>
    <n v="113.1"/>
    <n v="113.72857142857143"/>
    <n v="113.89999999999999"/>
    <n v="112.5"/>
    <n v="111.1"/>
    <n v="110.81666666666668"/>
    <n v="562.04523809523812"/>
  </r>
  <r>
    <x v="2"/>
    <x v="1"/>
    <x v="1"/>
    <x v="37"/>
    <x v="18"/>
    <x v="38"/>
    <x v="36"/>
    <x v="34"/>
    <x v="36"/>
    <x v="39"/>
    <x v="31"/>
    <x v="34"/>
    <x v="38"/>
    <x v="30"/>
    <x v="37"/>
    <x v="37"/>
    <x v="37"/>
    <n v="116.4"/>
    <n v="113.3"/>
    <n v="115.9"/>
    <n v="112.8"/>
    <n v="110.7"/>
    <n v="111.1"/>
    <n v="110.1"/>
    <n v="111.8"/>
    <n v="108.7"/>
    <n v="110.9"/>
    <n v="113.6"/>
    <n v="113.91428571428571"/>
    <n v="115.2"/>
    <n v="112.5"/>
    <n v="112.4"/>
    <n v="110.86666666666667"/>
    <n v="564.88095238095241"/>
  </r>
  <r>
    <x v="0"/>
    <x v="1"/>
    <x v="2"/>
    <x v="38"/>
    <x v="26"/>
    <x v="39"/>
    <x v="37"/>
    <x v="35"/>
    <x v="37"/>
    <x v="40"/>
    <x v="32"/>
    <x v="35"/>
    <x v="39"/>
    <x v="31"/>
    <x v="38"/>
    <x v="39"/>
    <x v="38"/>
    <n v="117.5"/>
    <n v="114.9"/>
    <n v="117.2"/>
    <n v="113.4"/>
    <n v="111.4"/>
    <n v="111.2"/>
    <n v="110.2"/>
    <n v="112.4"/>
    <n v="108.9"/>
    <n v="111.3"/>
    <n v="114.6"/>
    <n v="114.71428571428571"/>
    <n v="116.53333333333335"/>
    <n v="113.2"/>
    <n v="113.4"/>
    <n v="111.25"/>
    <n v="569.09761904761911"/>
  </r>
  <r>
    <x v="1"/>
    <x v="1"/>
    <x v="2"/>
    <x v="39"/>
    <x v="34"/>
    <x v="40"/>
    <x v="38"/>
    <x v="36"/>
    <x v="38"/>
    <x v="41"/>
    <x v="29"/>
    <x v="36"/>
    <x v="40"/>
    <x v="32"/>
    <x v="39"/>
    <x v="34"/>
    <x v="39"/>
    <n v="115.8"/>
    <n v="112.1"/>
    <n v="115.2"/>
    <n v="113"/>
    <n v="110.8"/>
    <n v="111.6"/>
    <n v="110.9"/>
    <n v="111.8"/>
    <n v="109.2"/>
    <n v="111.4"/>
    <n v="113.7"/>
    <n v="114.26428571428572"/>
    <n v="114.36666666666666"/>
    <n v="113.2"/>
    <n v="110.9"/>
    <n v="111.21666666666665"/>
    <n v="563.94761904761913"/>
  </r>
  <r>
    <x v="2"/>
    <x v="1"/>
    <x v="2"/>
    <x v="40"/>
    <x v="35"/>
    <x v="41"/>
    <x v="37"/>
    <x v="37"/>
    <x v="39"/>
    <x v="42"/>
    <x v="30"/>
    <x v="37"/>
    <x v="41"/>
    <x v="33"/>
    <x v="40"/>
    <x v="40"/>
    <x v="40"/>
    <n v="116.8"/>
    <n v="113.7"/>
    <n v="116.4"/>
    <n v="113.2"/>
    <n v="111.2"/>
    <n v="111.4"/>
    <n v="110.6"/>
    <n v="112"/>
    <n v="109"/>
    <n v="111.3"/>
    <n v="114.2"/>
    <n v="114.53571428571426"/>
    <n v="115.63333333333333"/>
    <n v="113.2"/>
    <n v="112.5"/>
    <n v="111.23333333333333"/>
    <n v="567.10238095238094"/>
  </r>
  <r>
    <x v="0"/>
    <x v="1"/>
    <x v="3"/>
    <x v="37"/>
    <x v="36"/>
    <x v="42"/>
    <x v="39"/>
    <x v="38"/>
    <x v="40"/>
    <x v="43"/>
    <x v="33"/>
    <x v="6"/>
    <x v="42"/>
    <x v="34"/>
    <x v="41"/>
    <x v="41"/>
    <x v="41"/>
    <n v="118.1"/>
    <n v="116.1"/>
    <n v="117.8"/>
    <n v="113.7"/>
    <n v="111.8"/>
    <n v="111.2"/>
    <n v="110.5"/>
    <n v="113"/>
    <n v="108.9"/>
    <n v="111.5"/>
    <n v="115.4"/>
    <n v="115.67857142857144"/>
    <n v="117.33333333333333"/>
    <n v="113.9"/>
    <n v="113.4"/>
    <n v="111.51666666666667"/>
    <n v="571.82857142857142"/>
  </r>
  <r>
    <x v="1"/>
    <x v="1"/>
    <x v="3"/>
    <x v="41"/>
    <x v="37"/>
    <x v="26"/>
    <x v="39"/>
    <x v="39"/>
    <x v="41"/>
    <x v="44"/>
    <x v="33"/>
    <x v="38"/>
    <x v="43"/>
    <x v="33"/>
    <x v="42"/>
    <x v="42"/>
    <x v="42"/>
    <n v="116.3"/>
    <n v="112.5"/>
    <n v="115.7"/>
    <n v="113.4"/>
    <n v="111"/>
    <n v="111.2"/>
    <n v="111.2"/>
    <n v="112.5"/>
    <n v="109.1"/>
    <n v="111.4"/>
    <n v="114.7"/>
    <n v="115.82857142857144"/>
    <n v="114.83333333333333"/>
    <n v="113.9"/>
    <n v="110.9"/>
    <n v="111.39999999999999"/>
    <n v="566.86190476190473"/>
  </r>
  <r>
    <x v="2"/>
    <x v="1"/>
    <x v="3"/>
    <x v="42"/>
    <x v="38"/>
    <x v="27"/>
    <x v="39"/>
    <x v="30"/>
    <x v="42"/>
    <x v="45"/>
    <x v="33"/>
    <x v="30"/>
    <x v="44"/>
    <x v="35"/>
    <x v="43"/>
    <x v="43"/>
    <x v="43"/>
    <n v="117.4"/>
    <n v="114.6"/>
    <n v="117"/>
    <n v="113.6"/>
    <n v="111.5"/>
    <n v="111.2"/>
    <n v="110.9"/>
    <n v="112.7"/>
    <n v="109"/>
    <n v="111.5"/>
    <n v="115.1"/>
    <n v="115.72142857142856"/>
    <n v="116.33333333333333"/>
    <n v="113.9"/>
    <n v="112.5"/>
    <n v="111.48333333333335"/>
    <n v="569.93809523809523"/>
  </r>
  <r>
    <x v="0"/>
    <x v="1"/>
    <x v="4"/>
    <x v="43"/>
    <x v="39"/>
    <x v="4"/>
    <x v="40"/>
    <x v="40"/>
    <x v="43"/>
    <x v="34"/>
    <x v="34"/>
    <x v="9"/>
    <x v="45"/>
    <x v="36"/>
    <x v="44"/>
    <x v="42"/>
    <x v="44"/>
    <n v="118.7"/>
    <n v="116.8"/>
    <n v="118.5"/>
    <n v="114.1"/>
    <n v="112.1"/>
    <n v="111.4"/>
    <n v="110.9"/>
    <n v="113.1"/>
    <n v="108.9"/>
    <n v="111.8"/>
    <n v="116"/>
    <n v="116.44285714285714"/>
    <n v="118"/>
    <n v="114.3"/>
    <n v="113.4"/>
    <n v="111.75"/>
    <n v="573.89285714285711"/>
  </r>
  <r>
    <x v="1"/>
    <x v="1"/>
    <x v="4"/>
    <x v="44"/>
    <x v="40"/>
    <x v="43"/>
    <x v="41"/>
    <x v="4"/>
    <x v="44"/>
    <x v="46"/>
    <x v="35"/>
    <x v="17"/>
    <x v="46"/>
    <x v="29"/>
    <x v="45"/>
    <x v="44"/>
    <x v="45"/>
    <n v="116.8"/>
    <n v="112.9"/>
    <n v="116.2"/>
    <n v="114.1"/>
    <n v="111.2"/>
    <n v="111.3"/>
    <n v="111.5"/>
    <n v="112.9"/>
    <n v="109.3"/>
    <n v="111.7"/>
    <n v="115.6"/>
    <n v="117.4"/>
    <n v="115.3"/>
    <n v="114.3"/>
    <n v="111.1"/>
    <n v="111.71666666666665"/>
    <n v="569.81666666666672"/>
  </r>
  <r>
    <x v="2"/>
    <x v="1"/>
    <x v="4"/>
    <x v="45"/>
    <x v="41"/>
    <x v="44"/>
    <x v="42"/>
    <x v="24"/>
    <x v="45"/>
    <x v="47"/>
    <x v="36"/>
    <x v="39"/>
    <x v="47"/>
    <x v="37"/>
    <x v="46"/>
    <x v="45"/>
    <x v="46"/>
    <n v="118"/>
    <n v="115.2"/>
    <n v="117.6"/>
    <n v="114.1"/>
    <n v="111.8"/>
    <n v="111.3"/>
    <n v="111.2"/>
    <n v="113"/>
    <n v="109.1"/>
    <n v="111.8"/>
    <n v="115.8"/>
    <n v="116.80714285714289"/>
    <n v="116.93333333333332"/>
    <n v="114.3"/>
    <n v="112.5"/>
    <n v="111.75"/>
    <n v="572.29047619047628"/>
  </r>
  <r>
    <x v="0"/>
    <x v="1"/>
    <x v="5"/>
    <x v="40"/>
    <x v="41"/>
    <x v="45"/>
    <x v="43"/>
    <x v="41"/>
    <x v="46"/>
    <x v="48"/>
    <x v="37"/>
    <x v="24"/>
    <x v="48"/>
    <x v="38"/>
    <x v="47"/>
    <x v="46"/>
    <x v="47"/>
    <n v="119.7"/>
    <n v="117.3"/>
    <n v="119.3"/>
    <n v="114.9"/>
    <n v="112.8"/>
    <n v="112.2"/>
    <n v="111.4"/>
    <n v="114.3"/>
    <n v="108"/>
    <n v="112.3"/>
    <n v="117"/>
    <n v="117.35714285714285"/>
    <n v="118.76666666666667"/>
    <n v="113.9"/>
    <n v="114.4"/>
    <n v="112.26666666666665"/>
    <n v="576.69047619047615"/>
  </r>
  <r>
    <x v="1"/>
    <x v="1"/>
    <x v="5"/>
    <x v="46"/>
    <x v="42"/>
    <x v="46"/>
    <x v="44"/>
    <x v="1"/>
    <x v="47"/>
    <x v="49"/>
    <x v="38"/>
    <x v="14"/>
    <x v="49"/>
    <x v="35"/>
    <x v="48"/>
    <x v="47"/>
    <x v="48"/>
    <n v="117.4"/>
    <n v="113.2"/>
    <n v="116.7"/>
    <n v="114.3"/>
    <n v="111.4"/>
    <n v="111.5"/>
    <n v="111.8"/>
    <n v="115.1"/>
    <n v="108.7"/>
    <n v="112.2"/>
    <n v="116.4"/>
    <n v="119"/>
    <n v="115.76666666666667"/>
    <n v="113.9"/>
    <n v="111.2"/>
    <n v="112.13333333333334"/>
    <n v="572"/>
  </r>
  <r>
    <x v="2"/>
    <x v="1"/>
    <x v="5"/>
    <x v="47"/>
    <x v="43"/>
    <x v="47"/>
    <x v="45"/>
    <x v="42"/>
    <x v="48"/>
    <x v="50"/>
    <x v="39"/>
    <x v="27"/>
    <x v="50"/>
    <x v="36"/>
    <x v="49"/>
    <x v="48"/>
    <x v="49"/>
    <n v="118.8"/>
    <n v="115.6"/>
    <n v="118.3"/>
    <n v="114.6"/>
    <n v="112.3"/>
    <n v="111.8"/>
    <n v="111.6"/>
    <n v="114.8"/>
    <n v="108.3"/>
    <n v="112.3"/>
    <n v="116.7"/>
    <n v="117.96428571428574"/>
    <n v="117.56666666666666"/>
    <n v="113.9"/>
    <n v="113.2"/>
    <n v="112.23333333333331"/>
    <n v="574.86428571428564"/>
  </r>
  <r>
    <x v="0"/>
    <x v="1"/>
    <x v="6"/>
    <x v="48"/>
    <x v="44"/>
    <x v="48"/>
    <x v="46"/>
    <x v="43"/>
    <x v="49"/>
    <x v="51"/>
    <x v="40"/>
    <x v="40"/>
    <x v="51"/>
    <x v="39"/>
    <x v="50"/>
    <x v="49"/>
    <x v="50"/>
    <n v="120.7"/>
    <n v="118.3"/>
    <n v="120.3"/>
    <n v="115.4"/>
    <n v="113.4"/>
    <n v="113.2"/>
    <n v="111.8"/>
    <n v="115.5"/>
    <n v="108.8"/>
    <n v="113.1"/>
    <n v="119.5"/>
    <n v="120.08571428571429"/>
    <n v="119.76666666666667"/>
    <n v="114.8"/>
    <n v="115.3"/>
    <n v="113.01666666666665"/>
    <n v="582.96904761904761"/>
  </r>
  <r>
    <x v="1"/>
    <x v="1"/>
    <x v="6"/>
    <x v="49"/>
    <x v="45"/>
    <x v="49"/>
    <x v="47"/>
    <x v="4"/>
    <x v="50"/>
    <x v="52"/>
    <x v="41"/>
    <x v="23"/>
    <x v="52"/>
    <x v="40"/>
    <x v="51"/>
    <x v="50"/>
    <x v="51"/>
    <n v="118"/>
    <n v="113.6"/>
    <n v="117.4"/>
    <n v="114.9"/>
    <n v="111.5"/>
    <n v="113"/>
    <n v="112.4"/>
    <n v="117.8"/>
    <n v="109.7"/>
    <n v="113.5"/>
    <n v="118.9"/>
    <n v="122.89285714285714"/>
    <n v="116.33333333333333"/>
    <n v="114.8"/>
    <n v="111.6"/>
    <n v="113.21666666666665"/>
    <n v="578.84285714285716"/>
  </r>
  <r>
    <x v="2"/>
    <x v="1"/>
    <x v="6"/>
    <x v="50"/>
    <x v="46"/>
    <x v="50"/>
    <x v="48"/>
    <x v="44"/>
    <x v="47"/>
    <x v="53"/>
    <x v="40"/>
    <x v="13"/>
    <x v="53"/>
    <x v="41"/>
    <x v="52"/>
    <x v="51"/>
    <x v="52"/>
    <n v="119.6"/>
    <n v="116.3"/>
    <n v="119.1"/>
    <n v="115.2"/>
    <n v="112.7"/>
    <n v="113.1"/>
    <n v="112.1"/>
    <n v="116.8"/>
    <n v="109.2"/>
    <n v="113.3"/>
    <n v="119.2"/>
    <n v="121.07857142857142"/>
    <n v="118.33333333333333"/>
    <n v="114.8"/>
    <n v="113.9"/>
    <n v="113.18333333333334"/>
    <n v="581.29523809523812"/>
  </r>
  <r>
    <x v="0"/>
    <x v="1"/>
    <x v="7"/>
    <x v="51"/>
    <x v="47"/>
    <x v="50"/>
    <x v="49"/>
    <x v="45"/>
    <x v="51"/>
    <x v="54"/>
    <x v="42"/>
    <x v="1"/>
    <x v="54"/>
    <x v="42"/>
    <x v="45"/>
    <x v="52"/>
    <x v="52"/>
    <n v="120.9"/>
    <n v="118.8"/>
    <n v="120.7"/>
    <n v="115.9"/>
    <n v="114"/>
    <n v="113.2"/>
    <n v="112.2"/>
    <n v="116.2"/>
    <n v="109.4"/>
    <n v="113.5"/>
    <n v="120.7"/>
    <n v="121.50714285714284"/>
    <n v="120.13333333333333"/>
    <n v="115.5"/>
    <n v="115.4"/>
    <n v="113.48333333333333"/>
    <n v="586.02380952380952"/>
  </r>
  <r>
    <x v="1"/>
    <x v="1"/>
    <x v="7"/>
    <x v="52"/>
    <x v="48"/>
    <x v="51"/>
    <x v="50"/>
    <x v="46"/>
    <x v="52"/>
    <x v="55"/>
    <x v="43"/>
    <x v="23"/>
    <x v="55"/>
    <x v="43"/>
    <x v="53"/>
    <x v="53"/>
    <x v="53"/>
    <n v="118.6"/>
    <n v="114.1"/>
    <n v="117.9"/>
    <n v="115.3"/>
    <n v="112.2"/>
    <n v="112.5"/>
    <n v="112.9"/>
    <n v="119.2"/>
    <n v="110.5"/>
    <n v="113.9"/>
    <n v="119.9"/>
    <n v="124.28571428571429"/>
    <n v="116.86666666666667"/>
    <n v="115.5"/>
    <n v="111.8"/>
    <n v="113.76666666666667"/>
    <n v="582.21904761904761"/>
  </r>
  <r>
    <x v="2"/>
    <x v="1"/>
    <x v="7"/>
    <x v="44"/>
    <x v="49"/>
    <x v="52"/>
    <x v="51"/>
    <x v="47"/>
    <x v="53"/>
    <x v="56"/>
    <x v="44"/>
    <x v="16"/>
    <x v="56"/>
    <x v="44"/>
    <x v="54"/>
    <x v="54"/>
    <x v="54"/>
    <n v="120"/>
    <n v="116.8"/>
    <n v="119.6"/>
    <n v="115.6"/>
    <n v="113.3"/>
    <n v="112.8"/>
    <n v="112.6"/>
    <n v="118"/>
    <n v="109.9"/>
    <n v="113.7"/>
    <n v="120.3"/>
    <n v="122.45714285714284"/>
    <n v="118.8"/>
    <n v="115.5"/>
    <n v="114"/>
    <n v="113.69999999999999"/>
    <n v="584.4571428571428"/>
  </r>
  <r>
    <x v="0"/>
    <x v="1"/>
    <x v="8"/>
    <x v="53"/>
    <x v="50"/>
    <x v="50"/>
    <x v="52"/>
    <x v="43"/>
    <x v="54"/>
    <x v="57"/>
    <x v="45"/>
    <x v="41"/>
    <x v="57"/>
    <x v="45"/>
    <x v="55"/>
    <x v="52"/>
    <x v="55"/>
    <n v="121.7"/>
    <n v="119.2"/>
    <n v="121.3"/>
    <n v="116.7"/>
    <n v="114.5"/>
    <n v="112.8"/>
    <n v="112.6"/>
    <n v="116.6"/>
    <n v="109.1"/>
    <n v="113.7"/>
    <n v="120.9"/>
    <n v="121.62142857142858"/>
    <n v="120.73333333333333"/>
    <n v="116.1"/>
    <n v="115.8"/>
    <n v="113.71666666666668"/>
    <n v="587.97142857142853"/>
  </r>
  <r>
    <x v="1"/>
    <x v="1"/>
    <x v="8"/>
    <x v="54"/>
    <x v="51"/>
    <x v="53"/>
    <x v="52"/>
    <x v="4"/>
    <x v="55"/>
    <x v="58"/>
    <x v="46"/>
    <x v="11"/>
    <x v="58"/>
    <x v="41"/>
    <x v="56"/>
    <x v="55"/>
    <x v="56"/>
    <n v="119.2"/>
    <n v="114.5"/>
    <n v="118.4"/>
    <n v="115.5"/>
    <n v="112.3"/>
    <n v="111.2"/>
    <n v="113.4"/>
    <n v="120"/>
    <n v="110"/>
    <n v="113.6"/>
    <n v="119.2"/>
    <n v="122.71428571428574"/>
    <n v="117.36666666666667"/>
    <n v="116.1"/>
    <n v="111.8"/>
    <n v="113.73333333333333"/>
    <n v="581.71428571428567"/>
  </r>
  <r>
    <x v="2"/>
    <x v="1"/>
    <x v="8"/>
    <x v="55"/>
    <x v="52"/>
    <x v="52"/>
    <x v="52"/>
    <x v="44"/>
    <x v="56"/>
    <x v="59"/>
    <x v="47"/>
    <x v="4"/>
    <x v="59"/>
    <x v="42"/>
    <x v="57"/>
    <x v="56"/>
    <x v="57"/>
    <n v="120.7"/>
    <n v="117.2"/>
    <n v="120.1"/>
    <n v="116.1"/>
    <n v="113.7"/>
    <n v="112"/>
    <n v="113.1"/>
    <n v="118.6"/>
    <n v="109.5"/>
    <n v="113.7"/>
    <n v="120.1"/>
    <n v="121.92142857142855"/>
    <n v="119.33333333333333"/>
    <n v="116.1"/>
    <n v="114.3"/>
    <n v="113.83333333333333"/>
    <n v="585.48809523809518"/>
  </r>
  <r>
    <x v="0"/>
    <x v="1"/>
    <x v="9"/>
    <x v="56"/>
    <x v="44"/>
    <x v="54"/>
    <x v="53"/>
    <x v="48"/>
    <x v="57"/>
    <x v="60"/>
    <x v="48"/>
    <x v="42"/>
    <x v="43"/>
    <x v="46"/>
    <x v="58"/>
    <x v="57"/>
    <x v="58"/>
    <n v="122.7"/>
    <n v="120.3"/>
    <n v="122.3"/>
    <n v="117.5"/>
    <n v="115.3"/>
    <n v="112.6"/>
    <n v="113"/>
    <n v="116.9"/>
    <n v="109.3"/>
    <n v="114"/>
    <n v="121"/>
    <n v="121.51428571428571"/>
    <n v="121.76666666666667"/>
    <n v="116.7"/>
    <n v="116.4"/>
    <n v="114.09999999999998"/>
    <n v="590.48095238095243"/>
  </r>
  <r>
    <x v="1"/>
    <x v="1"/>
    <x v="9"/>
    <x v="57"/>
    <x v="53"/>
    <x v="50"/>
    <x v="54"/>
    <x v="4"/>
    <x v="58"/>
    <x v="61"/>
    <x v="49"/>
    <x v="35"/>
    <x v="60"/>
    <x v="44"/>
    <x v="59"/>
    <x v="56"/>
    <x v="56"/>
    <n v="119.6"/>
    <n v="114.9"/>
    <n v="118.9"/>
    <n v="115.8"/>
    <n v="112.6"/>
    <n v="111"/>
    <n v="113.6"/>
    <n v="120.2"/>
    <n v="110.1"/>
    <n v="113.7"/>
    <n v="119.1"/>
    <n v="122.27142857142857"/>
    <n v="117.8"/>
    <n v="116.7"/>
    <n v="112"/>
    <n v="113.88333333333334"/>
    <n v="582.65476190476193"/>
  </r>
  <r>
    <x v="2"/>
    <x v="1"/>
    <x v="9"/>
    <x v="58"/>
    <x v="54"/>
    <x v="42"/>
    <x v="53"/>
    <x v="44"/>
    <x v="59"/>
    <x v="62"/>
    <x v="50"/>
    <x v="12"/>
    <x v="61"/>
    <x v="47"/>
    <x v="60"/>
    <x v="58"/>
    <x v="59"/>
    <n v="121.5"/>
    <n v="118.1"/>
    <n v="121"/>
    <n v="116.7"/>
    <n v="114.3"/>
    <n v="111.8"/>
    <n v="113.3"/>
    <n v="118.8"/>
    <n v="109.6"/>
    <n v="113.9"/>
    <n v="120.1"/>
    <n v="121.7"/>
    <n v="120.2"/>
    <n v="116.7"/>
    <n v="114.7"/>
    <n v="114.08333333333333"/>
    <n v="587.38333333333333"/>
  </r>
  <r>
    <x v="0"/>
    <x v="1"/>
    <x v="10"/>
    <x v="44"/>
    <x v="55"/>
    <x v="55"/>
    <x v="55"/>
    <x v="48"/>
    <x v="60"/>
    <x v="63"/>
    <x v="51"/>
    <x v="18"/>
    <x v="62"/>
    <x v="46"/>
    <x v="60"/>
    <x v="59"/>
    <x v="57"/>
    <n v="123.3"/>
    <n v="120.5"/>
    <n v="122.9"/>
    <n v="118.1"/>
    <n v="115.9"/>
    <n v="112"/>
    <n v="113.3"/>
    <n v="117.2"/>
    <n v="108.8"/>
    <n v="114.1"/>
    <n v="121.1"/>
    <n v="121.62857142857142"/>
    <n v="122.23333333333335"/>
    <n v="117.1"/>
    <n v="117.3"/>
    <n v="114.21666666666665"/>
    <n v="592.4785714285714"/>
  </r>
  <r>
    <x v="1"/>
    <x v="1"/>
    <x v="10"/>
    <x v="59"/>
    <x v="56"/>
    <x v="56"/>
    <x v="56"/>
    <x v="27"/>
    <x v="61"/>
    <x v="64"/>
    <x v="52"/>
    <x v="43"/>
    <x v="63"/>
    <x v="42"/>
    <x v="61"/>
    <x v="58"/>
    <x v="60"/>
    <n v="120.3"/>
    <n v="115.4"/>
    <n v="119.5"/>
    <n v="116.4"/>
    <n v="113"/>
    <n v="109.7"/>
    <n v="114"/>
    <n v="120.3"/>
    <n v="109.6"/>
    <n v="113.4"/>
    <n v="119"/>
    <n v="122.39999999999999"/>
    <n v="118.39999999999999"/>
    <n v="117.1"/>
    <n v="112.6"/>
    <n v="113.83333333333333"/>
    <n v="584.33333333333337"/>
  </r>
  <r>
    <x v="2"/>
    <x v="1"/>
    <x v="10"/>
    <x v="60"/>
    <x v="57"/>
    <x v="41"/>
    <x v="57"/>
    <x v="42"/>
    <x v="62"/>
    <x v="65"/>
    <x v="53"/>
    <x v="44"/>
    <x v="64"/>
    <x v="48"/>
    <x v="62"/>
    <x v="57"/>
    <x v="61"/>
    <n v="122.1"/>
    <n v="118.4"/>
    <n v="121.6"/>
    <n v="117.3"/>
    <n v="114.8"/>
    <n v="110.8"/>
    <n v="113.7"/>
    <n v="119"/>
    <n v="109.1"/>
    <n v="113.8"/>
    <n v="120.1"/>
    <n v="121.80714285714285"/>
    <n v="120.7"/>
    <n v="117.1"/>
    <n v="115.5"/>
    <n v="114.11666666666666"/>
    <n v="589.22380952380956"/>
  </r>
  <r>
    <x v="0"/>
    <x v="1"/>
    <x v="11"/>
    <x v="50"/>
    <x v="50"/>
    <x v="57"/>
    <x v="57"/>
    <x v="49"/>
    <x v="63"/>
    <x v="66"/>
    <x v="54"/>
    <x v="8"/>
    <x v="65"/>
    <x v="49"/>
    <x v="63"/>
    <x v="49"/>
    <x v="62"/>
    <n v="123.8"/>
    <n v="120.6"/>
    <n v="123.3"/>
    <n v="118.2"/>
    <n v="116.2"/>
    <n v="111.5"/>
    <n v="113.3"/>
    <n v="117.7"/>
    <n v="109.4"/>
    <n v="114.2"/>
    <n v="120.3"/>
    <n v="120.80714285714285"/>
    <n v="122.56666666666666"/>
    <n v="116.5"/>
    <n v="117.4"/>
    <n v="114.38333333333333"/>
    <n v="591.65714285714284"/>
  </r>
  <r>
    <x v="1"/>
    <x v="1"/>
    <x v="11"/>
    <x v="61"/>
    <x v="58"/>
    <x v="58"/>
    <x v="58"/>
    <x v="50"/>
    <x v="64"/>
    <x v="67"/>
    <x v="55"/>
    <x v="45"/>
    <x v="66"/>
    <x v="47"/>
    <x v="64"/>
    <x v="60"/>
    <x v="63"/>
    <n v="120.7"/>
    <n v="115.8"/>
    <n v="120"/>
    <n v="116.8"/>
    <n v="113.2"/>
    <n v="108.8"/>
    <n v="114.3"/>
    <n v="120.7"/>
    <n v="110.4"/>
    <n v="113.4"/>
    <n v="118.4"/>
    <n v="121.68571428571428"/>
    <n v="118.83333333333333"/>
    <n v="116.5"/>
    <n v="113"/>
    <n v="114.03333333333335"/>
    <n v="584.05238095238099"/>
  </r>
  <r>
    <x v="2"/>
    <x v="1"/>
    <x v="11"/>
    <x v="55"/>
    <x v="59"/>
    <x v="32"/>
    <x v="59"/>
    <x v="51"/>
    <x v="62"/>
    <x v="68"/>
    <x v="56"/>
    <x v="46"/>
    <x v="67"/>
    <x v="46"/>
    <x v="65"/>
    <x v="61"/>
    <x v="53"/>
    <n v="122.6"/>
    <n v="118.6"/>
    <n v="122"/>
    <n v="117.5"/>
    <n v="115.1"/>
    <n v="110.1"/>
    <n v="113.9"/>
    <n v="119.5"/>
    <n v="109.8"/>
    <n v="113.8"/>
    <n v="119.4"/>
    <n v="121.04999999999998"/>
    <n v="121.06666666666666"/>
    <n v="116.5"/>
    <n v="115.7"/>
    <n v="114.31666666666666"/>
    <n v="588.63333333333333"/>
  </r>
  <r>
    <x v="0"/>
    <x v="2"/>
    <x v="0"/>
    <x v="46"/>
    <x v="43"/>
    <x v="59"/>
    <x v="58"/>
    <x v="52"/>
    <x v="65"/>
    <x v="69"/>
    <x v="53"/>
    <x v="47"/>
    <x v="68"/>
    <x v="50"/>
    <x v="62"/>
    <x v="62"/>
    <x v="64"/>
    <n v="124.4"/>
    <n v="121.6"/>
    <n v="124"/>
    <n v="118.9"/>
    <n v="116.6"/>
    <n v="111"/>
    <n v="114"/>
    <n v="118.2"/>
    <n v="110.2"/>
    <n v="114.5"/>
    <n v="120.3"/>
    <n v="120.77142857142857"/>
    <n v="123.33333333333333"/>
    <n v="117.3"/>
    <n v="118.4"/>
    <n v="114.81666666666668"/>
    <n v="594.62142857142862"/>
  </r>
  <r>
    <x v="1"/>
    <x v="2"/>
    <x v="0"/>
    <x v="61"/>
    <x v="60"/>
    <x v="60"/>
    <x v="60"/>
    <x v="19"/>
    <x v="66"/>
    <x v="70"/>
    <x v="57"/>
    <x v="48"/>
    <x v="69"/>
    <x v="45"/>
    <x v="66"/>
    <x v="63"/>
    <x v="65"/>
    <n v="121"/>
    <n v="116.1"/>
    <n v="120.2"/>
    <n v="117.2"/>
    <n v="113.7"/>
    <n v="107.9"/>
    <n v="114.6"/>
    <n v="120.8"/>
    <n v="111.4"/>
    <n v="113.4"/>
    <n v="118.5"/>
    <n v="121.59285714285714"/>
    <n v="119.10000000000001"/>
    <n v="117.3"/>
    <n v="113.4"/>
    <n v="114.26666666666665"/>
    <n v="585.65952380952376"/>
  </r>
  <r>
    <x v="2"/>
    <x v="2"/>
    <x v="0"/>
    <x v="62"/>
    <x v="46"/>
    <x v="61"/>
    <x v="61"/>
    <x v="53"/>
    <x v="67"/>
    <x v="71"/>
    <x v="58"/>
    <x v="49"/>
    <x v="70"/>
    <x v="49"/>
    <x v="67"/>
    <x v="64"/>
    <x v="66"/>
    <n v="123.1"/>
    <n v="119.3"/>
    <n v="122.5"/>
    <n v="118.1"/>
    <n v="115.5"/>
    <n v="109.4"/>
    <n v="114.3"/>
    <n v="119.7"/>
    <n v="110.7"/>
    <n v="114"/>
    <n v="119.5"/>
    <n v="120.95"/>
    <n v="121.63333333333333"/>
    <n v="117.3"/>
    <n v="116.5"/>
    <n v="114.61666666666667"/>
    <n v="591"/>
  </r>
  <r>
    <x v="0"/>
    <x v="2"/>
    <x v="1"/>
    <x v="62"/>
    <x v="49"/>
    <x v="59"/>
    <x v="62"/>
    <x v="54"/>
    <x v="68"/>
    <x v="72"/>
    <x v="59"/>
    <x v="50"/>
    <x v="71"/>
    <x v="51"/>
    <x v="68"/>
    <x v="62"/>
    <x v="67"/>
    <n v="125.4"/>
    <n v="122.7"/>
    <n v="125"/>
    <n v="119.6"/>
    <n v="117.7"/>
    <n v="110.9"/>
    <n v="114.8"/>
    <n v="118.7"/>
    <n v="110.8"/>
    <n v="115"/>
    <n v="120.6"/>
    <n v="121.05714285714284"/>
    <n v="124.36666666666667"/>
    <n v="118.1"/>
    <n v="120"/>
    <n v="115.41666666666667"/>
    <n v="598.94047619047615"/>
  </r>
  <r>
    <x v="1"/>
    <x v="2"/>
    <x v="1"/>
    <x v="63"/>
    <x v="61"/>
    <x v="62"/>
    <x v="63"/>
    <x v="8"/>
    <x v="69"/>
    <x v="73"/>
    <x v="60"/>
    <x v="51"/>
    <x v="72"/>
    <x v="46"/>
    <x v="69"/>
    <x v="65"/>
    <x v="68"/>
    <n v="121.3"/>
    <n v="116.5"/>
    <n v="120.6"/>
    <n v="117.7"/>
    <n v="114.1"/>
    <n v="106.8"/>
    <n v="114.9"/>
    <n v="120.4"/>
    <n v="111.7"/>
    <n v="113.2"/>
    <n v="118.7"/>
    <n v="121.37142857142858"/>
    <n v="119.46666666666665"/>
    <n v="118.1"/>
    <n v="114"/>
    <n v="114.26666666666667"/>
    <n v="587.20476190476188"/>
  </r>
  <r>
    <x v="2"/>
    <x v="2"/>
    <x v="1"/>
    <x v="64"/>
    <x v="62"/>
    <x v="63"/>
    <x v="64"/>
    <x v="55"/>
    <x v="46"/>
    <x v="74"/>
    <x v="61"/>
    <x v="52"/>
    <x v="73"/>
    <x v="52"/>
    <x v="64"/>
    <x v="64"/>
    <x v="69"/>
    <n v="123.8"/>
    <n v="120.1"/>
    <n v="123.3"/>
    <n v="118.7"/>
    <n v="116.3"/>
    <n v="108.7"/>
    <n v="114.9"/>
    <n v="119.7"/>
    <n v="111.2"/>
    <n v="114.1"/>
    <n v="119.7"/>
    <n v="121.04285714285712"/>
    <n v="122.39999999999999"/>
    <n v="118.1"/>
    <n v="117.7"/>
    <n v="114.91666666666669"/>
    <n v="594.15952380952376"/>
  </r>
  <r>
    <x v="0"/>
    <x v="2"/>
    <x v="2"/>
    <x v="60"/>
    <x v="58"/>
    <x v="64"/>
    <x v="65"/>
    <x v="56"/>
    <x v="70"/>
    <x v="75"/>
    <x v="62"/>
    <x v="53"/>
    <x v="74"/>
    <x v="53"/>
    <x v="70"/>
    <x v="64"/>
    <x v="70"/>
    <n v="126"/>
    <n v="122.9"/>
    <n v="125.5"/>
    <n v="120.2"/>
    <n v="118.2"/>
    <n v="111.6"/>
    <n v="115.5"/>
    <n v="119.4"/>
    <n v="110.8"/>
    <n v="115.5"/>
    <n v="121.1"/>
    <n v="121.15714285714286"/>
    <n v="124.8"/>
    <n v="118.6"/>
    <n v="120.6"/>
    <n v="115.94999999999999"/>
    <n v="601.10714285714289"/>
  </r>
  <r>
    <x v="1"/>
    <x v="2"/>
    <x v="2"/>
    <x v="61"/>
    <x v="63"/>
    <x v="65"/>
    <x v="66"/>
    <x v="57"/>
    <x v="71"/>
    <x v="76"/>
    <x v="63"/>
    <x v="54"/>
    <x v="75"/>
    <x v="54"/>
    <x v="71"/>
    <x v="66"/>
    <x v="71"/>
    <n v="121.7"/>
    <n v="116.9"/>
    <n v="120.9"/>
    <n v="118"/>
    <n v="114.3"/>
    <n v="108.4"/>
    <n v="115.4"/>
    <n v="120.6"/>
    <n v="111.3"/>
    <n v="113.8"/>
    <n v="119.1"/>
    <n v="121.20000000000002"/>
    <n v="119.83333333333333"/>
    <n v="118.6"/>
    <n v="114.4"/>
    <n v="114.66666666666667"/>
    <n v="588.69999999999993"/>
  </r>
  <r>
    <x v="2"/>
    <x v="2"/>
    <x v="2"/>
    <x v="65"/>
    <x v="51"/>
    <x v="66"/>
    <x v="65"/>
    <x v="58"/>
    <x v="72"/>
    <x v="17"/>
    <x v="64"/>
    <x v="55"/>
    <x v="55"/>
    <x v="55"/>
    <x v="72"/>
    <x v="67"/>
    <x v="60"/>
    <n v="124.3"/>
    <n v="120.4"/>
    <n v="123.7"/>
    <n v="119.2"/>
    <n v="116.7"/>
    <n v="109.9"/>
    <n v="115.4"/>
    <n v="120.1"/>
    <n v="111"/>
    <n v="114.7"/>
    <n v="120.2"/>
    <n v="121.0642857142857"/>
    <n v="122.8"/>
    <n v="118.6"/>
    <n v="118.3"/>
    <n v="115.38333333333334"/>
    <n v="596.14761904761906"/>
  </r>
  <r>
    <x v="0"/>
    <x v="2"/>
    <x v="3"/>
    <x v="60"/>
    <x v="60"/>
    <x v="67"/>
    <x v="67"/>
    <x v="59"/>
    <x v="73"/>
    <x v="77"/>
    <x v="65"/>
    <x v="45"/>
    <x v="76"/>
    <x v="56"/>
    <x v="73"/>
    <x v="61"/>
    <x v="72"/>
    <n v="126.4"/>
    <n v="123.3"/>
    <n v="126"/>
    <n v="120.9"/>
    <n v="118.6"/>
    <n v="111.9"/>
    <n v="116.2"/>
    <n v="119.9"/>
    <n v="111.6"/>
    <n v="116"/>
    <n v="121.5"/>
    <n v="121.63571428571429"/>
    <n v="125.23333333333333"/>
    <n v="119.2"/>
    <n v="121.2"/>
    <n v="116.51666666666667"/>
    <n v="603.78571428571433"/>
  </r>
  <r>
    <x v="1"/>
    <x v="2"/>
    <x v="3"/>
    <x v="49"/>
    <x v="64"/>
    <x v="2"/>
    <x v="68"/>
    <x v="21"/>
    <x v="74"/>
    <x v="78"/>
    <x v="66"/>
    <x v="56"/>
    <x v="72"/>
    <x v="57"/>
    <x v="74"/>
    <x v="68"/>
    <x v="73"/>
    <n v="122.1"/>
    <n v="117.2"/>
    <n v="121.3"/>
    <n v="118.4"/>
    <n v="114.6"/>
    <n v="108.4"/>
    <n v="115.6"/>
    <n v="121.7"/>
    <n v="111.8"/>
    <n v="114.2"/>
    <n v="119.7"/>
    <n v="121.87142857142855"/>
    <n v="120.2"/>
    <n v="119.2"/>
    <n v="114.7"/>
    <n v="115.08333333333333"/>
    <n v="591.0547619047619"/>
  </r>
  <r>
    <x v="2"/>
    <x v="2"/>
    <x v="3"/>
    <x v="65"/>
    <x v="45"/>
    <x v="68"/>
    <x v="69"/>
    <x v="58"/>
    <x v="75"/>
    <x v="79"/>
    <x v="67"/>
    <x v="57"/>
    <x v="77"/>
    <x v="58"/>
    <x v="75"/>
    <x v="60"/>
    <x v="74"/>
    <n v="124.7"/>
    <n v="120.8"/>
    <n v="124.1"/>
    <n v="119.7"/>
    <n v="117.1"/>
    <n v="110.1"/>
    <n v="115.9"/>
    <n v="121"/>
    <n v="111.7"/>
    <n v="115.1"/>
    <n v="120.7"/>
    <n v="121.61428571428573"/>
    <n v="123.2"/>
    <n v="119.2"/>
    <n v="118.7"/>
    <n v="115.91666666666667"/>
    <n v="598.63095238095241"/>
  </r>
  <r>
    <x v="0"/>
    <x v="2"/>
    <x v="4"/>
    <x v="65"/>
    <x v="65"/>
    <x v="52"/>
    <x v="70"/>
    <x v="60"/>
    <x v="76"/>
    <x v="80"/>
    <x v="68"/>
    <x v="58"/>
    <x v="78"/>
    <x v="59"/>
    <x v="76"/>
    <x v="69"/>
    <x v="75"/>
    <n v="127.3"/>
    <n v="124.1"/>
    <n v="126.8"/>
    <n v="121.5"/>
    <n v="119.4"/>
    <n v="113.3"/>
    <n v="116.7"/>
    <n v="120.5"/>
    <n v="112.3"/>
    <n v="116.9"/>
    <n v="122.4"/>
    <n v="122.45714285714287"/>
    <n v="126.06666666666666"/>
    <n v="119.6"/>
    <n v="121.9"/>
    <n v="117.28333333333332"/>
    <n v="607.30714285714282"/>
  </r>
  <r>
    <x v="1"/>
    <x v="2"/>
    <x v="4"/>
    <x v="49"/>
    <x v="66"/>
    <x v="69"/>
    <x v="69"/>
    <x v="61"/>
    <x v="77"/>
    <x v="81"/>
    <x v="69"/>
    <x v="59"/>
    <x v="79"/>
    <x v="60"/>
    <x v="77"/>
    <x v="70"/>
    <x v="76"/>
    <n v="122.4"/>
    <n v="117.4"/>
    <n v="121.6"/>
    <n v="118.7"/>
    <n v="114.9"/>
    <n v="110.8"/>
    <n v="116"/>
    <n v="122"/>
    <n v="112.4"/>
    <n v="115.2"/>
    <n v="120.7"/>
    <n v="123.58571428571429"/>
    <n v="120.46666666666665"/>
    <n v="119.6"/>
    <n v="114.9"/>
    <n v="115.80000000000001"/>
    <n v="594.35238095238083"/>
  </r>
  <r>
    <x v="2"/>
    <x v="2"/>
    <x v="4"/>
    <x v="66"/>
    <x v="67"/>
    <x v="70"/>
    <x v="71"/>
    <x v="62"/>
    <x v="78"/>
    <x v="82"/>
    <x v="70"/>
    <x v="60"/>
    <x v="80"/>
    <x v="61"/>
    <x v="76"/>
    <x v="71"/>
    <x v="77"/>
    <n v="125.4"/>
    <n v="121.3"/>
    <n v="124.7"/>
    <n v="120.2"/>
    <n v="117.7"/>
    <n v="112"/>
    <n v="116.3"/>
    <n v="121.4"/>
    <n v="112.3"/>
    <n v="116.1"/>
    <n v="121.6"/>
    <n v="122.73571428571429"/>
    <n v="123.8"/>
    <n v="119.6"/>
    <n v="119.2"/>
    <n v="116.64999999999999"/>
    <n v="601.98571428571427"/>
  </r>
  <r>
    <x v="0"/>
    <x v="2"/>
    <x v="5"/>
    <x v="67"/>
    <x v="68"/>
    <x v="59"/>
    <x v="72"/>
    <x v="63"/>
    <x v="79"/>
    <x v="83"/>
    <x v="71"/>
    <x v="36"/>
    <x v="81"/>
    <x v="62"/>
    <x v="78"/>
    <x v="54"/>
    <x v="78"/>
    <n v="128.4"/>
    <n v="125.1"/>
    <n v="128"/>
    <n v="122.8"/>
    <n v="120.4"/>
    <n v="114.2"/>
    <n v="117.9"/>
    <n v="122"/>
    <n v="113"/>
    <n v="117.9"/>
    <n v="124.1"/>
    <n v="124.72142857142856"/>
    <n v="127.16666666666667"/>
    <n v="119"/>
    <n v="122.6"/>
    <n v="118.38333333333333"/>
    <n v="611.87142857142851"/>
  </r>
  <r>
    <x v="1"/>
    <x v="2"/>
    <x v="5"/>
    <x v="66"/>
    <x v="69"/>
    <x v="71"/>
    <x v="71"/>
    <x v="64"/>
    <x v="80"/>
    <x v="84"/>
    <x v="72"/>
    <x v="61"/>
    <x v="82"/>
    <x v="52"/>
    <x v="79"/>
    <x v="72"/>
    <x v="79"/>
    <n v="123.2"/>
    <n v="117.6"/>
    <n v="122.3"/>
    <n v="119.2"/>
    <n v="115.4"/>
    <n v="111.7"/>
    <n v="116.2"/>
    <n v="123.8"/>
    <n v="112.5"/>
    <n v="116"/>
    <n v="121.7"/>
    <n v="126.33571428571427"/>
    <n v="121.03333333333335"/>
    <n v="119"/>
    <n v="115.1"/>
    <n v="116.46666666666665"/>
    <n v="597.93571428571431"/>
  </r>
  <r>
    <x v="2"/>
    <x v="2"/>
    <x v="5"/>
    <x v="68"/>
    <x v="70"/>
    <x v="72"/>
    <x v="73"/>
    <x v="65"/>
    <x v="81"/>
    <x v="85"/>
    <x v="73"/>
    <x v="62"/>
    <x v="83"/>
    <x v="63"/>
    <x v="80"/>
    <x v="73"/>
    <x v="80"/>
    <n v="126.4"/>
    <n v="122"/>
    <n v="125.7"/>
    <n v="121.1"/>
    <n v="118.5"/>
    <n v="112.9"/>
    <n v="116.9"/>
    <n v="123.1"/>
    <n v="112.8"/>
    <n v="117"/>
    <n v="123"/>
    <n v="125.19285714285715"/>
    <n v="124.7"/>
    <n v="119"/>
    <n v="119.8"/>
    <n v="117.55"/>
    <n v="606.24285714285713"/>
  </r>
  <r>
    <x v="0"/>
    <x v="2"/>
    <x v="6"/>
    <x v="61"/>
    <x v="71"/>
    <x v="73"/>
    <x v="72"/>
    <x v="66"/>
    <x v="82"/>
    <x v="86"/>
    <x v="74"/>
    <x v="62"/>
    <x v="80"/>
    <x v="64"/>
    <x v="81"/>
    <x v="74"/>
    <x v="81"/>
    <n v="128.80000000000001"/>
    <n v="125.5"/>
    <n v="128.30000000000001"/>
    <n v="123"/>
    <n v="120.8"/>
    <n v="114.1"/>
    <n v="118"/>
    <n v="122.9"/>
    <n v="112.7"/>
    <n v="118.1"/>
    <n v="124.7"/>
    <n v="125.33571428571429"/>
    <n v="127.53333333333335"/>
    <n v="119.9"/>
    <n v="123"/>
    <n v="118.58333333333333"/>
    <n v="614.35238095238105"/>
  </r>
  <r>
    <x v="1"/>
    <x v="2"/>
    <x v="6"/>
    <x v="58"/>
    <x v="72"/>
    <x v="62"/>
    <x v="70"/>
    <x v="67"/>
    <x v="81"/>
    <x v="87"/>
    <x v="75"/>
    <x v="63"/>
    <x v="84"/>
    <x v="65"/>
    <x v="82"/>
    <x v="75"/>
    <x v="82"/>
    <n v="123.5"/>
    <n v="117.9"/>
    <n v="122.7"/>
    <n v="119.5"/>
    <n v="116"/>
    <n v="111.5"/>
    <n v="116.6"/>
    <n v="125.4"/>
    <n v="111.7"/>
    <n v="116.3"/>
    <n v="122.4"/>
    <n v="126.85714285714285"/>
    <n v="121.36666666666667"/>
    <n v="119.9"/>
    <n v="115.3"/>
    <n v="116.78333333333335"/>
    <n v="600.20714285714291"/>
  </r>
  <r>
    <x v="2"/>
    <x v="2"/>
    <x v="6"/>
    <x v="64"/>
    <x v="73"/>
    <x v="41"/>
    <x v="74"/>
    <x v="68"/>
    <x v="83"/>
    <x v="88"/>
    <x v="76"/>
    <x v="64"/>
    <x v="85"/>
    <x v="66"/>
    <x v="83"/>
    <x v="76"/>
    <x v="83"/>
    <n v="126.7"/>
    <n v="122.3"/>
    <n v="126.1"/>
    <n v="121.3"/>
    <n v="119"/>
    <n v="112.7"/>
    <n v="117.2"/>
    <n v="124.4"/>
    <n v="112.3"/>
    <n v="117.2"/>
    <n v="123.6"/>
    <n v="125.78571428571431"/>
    <n v="125.03333333333335"/>
    <n v="119.9"/>
    <n v="120.1"/>
    <n v="117.81666666666666"/>
    <n v="608.63571428571436"/>
  </r>
  <r>
    <x v="0"/>
    <x v="2"/>
    <x v="7"/>
    <x v="69"/>
    <x v="74"/>
    <x v="74"/>
    <x v="75"/>
    <x v="69"/>
    <x v="73"/>
    <x v="89"/>
    <x v="77"/>
    <x v="65"/>
    <x v="86"/>
    <x v="67"/>
    <x v="84"/>
    <x v="77"/>
    <x v="73"/>
    <n v="129.5"/>
    <n v="126.3"/>
    <n v="129"/>
    <n v="123.7"/>
    <n v="121.1"/>
    <n v="113.6"/>
    <n v="118.5"/>
    <n v="123.6"/>
    <n v="112.5"/>
    <n v="118.2"/>
    <n v="126.1"/>
    <n v="126.90714285714284"/>
    <n v="128.26666666666668"/>
    <n v="120.9"/>
    <n v="123.8"/>
    <n v="118.83333333333333"/>
    <n v="618.70714285714291"/>
  </r>
  <r>
    <x v="1"/>
    <x v="2"/>
    <x v="7"/>
    <x v="46"/>
    <x v="75"/>
    <x v="42"/>
    <x v="76"/>
    <x v="28"/>
    <x v="84"/>
    <x v="90"/>
    <x v="78"/>
    <x v="66"/>
    <x v="87"/>
    <x v="51"/>
    <x v="81"/>
    <x v="78"/>
    <x v="84"/>
    <n v="123.7"/>
    <n v="118.2"/>
    <n v="122.9"/>
    <n v="120"/>
    <n v="116.6"/>
    <n v="109.9"/>
    <n v="117.2"/>
    <n v="126.2"/>
    <n v="112"/>
    <n v="116.2"/>
    <n v="123.2"/>
    <n v="128.07857142857142"/>
    <n v="121.60000000000001"/>
    <n v="120.9"/>
    <n v="115.3"/>
    <n v="116.98333333333333"/>
    <n v="602.86190476190473"/>
  </r>
  <r>
    <x v="2"/>
    <x v="2"/>
    <x v="7"/>
    <x v="54"/>
    <x v="76"/>
    <x v="75"/>
    <x v="77"/>
    <x v="70"/>
    <x v="80"/>
    <x v="91"/>
    <x v="79"/>
    <x v="67"/>
    <x v="88"/>
    <x v="68"/>
    <x v="85"/>
    <x v="79"/>
    <x v="85"/>
    <n v="127.2"/>
    <n v="122.9"/>
    <n v="126.6"/>
    <n v="122"/>
    <n v="119.4"/>
    <n v="111.7"/>
    <n v="117.8"/>
    <n v="125.1"/>
    <n v="112.3"/>
    <n v="117.2"/>
    <n v="124.8"/>
    <n v="127.2"/>
    <n v="125.56666666666668"/>
    <n v="120.9"/>
    <n v="120.6"/>
    <n v="118.05"/>
    <n v="612.31666666666661"/>
  </r>
  <r>
    <x v="0"/>
    <x v="2"/>
    <x v="8"/>
    <x v="70"/>
    <x v="77"/>
    <x v="39"/>
    <x v="78"/>
    <x v="71"/>
    <x v="80"/>
    <x v="92"/>
    <x v="80"/>
    <x v="68"/>
    <x v="66"/>
    <x v="69"/>
    <x v="86"/>
    <x v="80"/>
    <x v="86"/>
    <n v="130.4"/>
    <n v="126.8"/>
    <n v="129.9"/>
    <n v="124.5"/>
    <n v="121.4"/>
    <n v="113.8"/>
    <n v="119.6"/>
    <n v="124.5"/>
    <n v="113.7"/>
    <n v="118.8"/>
    <n v="127"/>
    <n v="127.75714285714287"/>
    <n v="129.03333333333333"/>
    <n v="121.6"/>
    <n v="123.7"/>
    <n v="119.58333333333333"/>
    <n v="621.6738095238095"/>
  </r>
  <r>
    <x v="1"/>
    <x v="2"/>
    <x v="8"/>
    <x v="62"/>
    <x v="78"/>
    <x v="76"/>
    <x v="74"/>
    <x v="72"/>
    <x v="85"/>
    <x v="93"/>
    <x v="81"/>
    <x v="69"/>
    <x v="89"/>
    <x v="70"/>
    <x v="87"/>
    <x v="81"/>
    <x v="87"/>
    <n v="124"/>
    <n v="118.6"/>
    <n v="123.2"/>
    <n v="120.4"/>
    <n v="117.1"/>
    <n v="109.1"/>
    <n v="117.3"/>
    <n v="126.5"/>
    <n v="112.9"/>
    <n v="116.2"/>
    <n v="123.5"/>
    <n v="128.53571428571428"/>
    <n v="121.93333333333334"/>
    <n v="121.6"/>
    <n v="115.1"/>
    <n v="117.21666666666668"/>
    <n v="604.38571428571436"/>
  </r>
  <r>
    <x v="2"/>
    <x v="2"/>
    <x v="8"/>
    <x v="57"/>
    <x v="68"/>
    <x v="29"/>
    <x v="79"/>
    <x v="59"/>
    <x v="86"/>
    <x v="94"/>
    <x v="82"/>
    <x v="70"/>
    <x v="90"/>
    <x v="71"/>
    <x v="84"/>
    <x v="82"/>
    <x v="88"/>
    <n v="127.9"/>
    <n v="123.4"/>
    <n v="127.2"/>
    <n v="122.6"/>
    <n v="119.8"/>
    <n v="111.3"/>
    <n v="118.3"/>
    <n v="125.7"/>
    <n v="113.4"/>
    <n v="117.5"/>
    <n v="125.4"/>
    <n v="127.87857142857145"/>
    <n v="126.16666666666667"/>
    <n v="121.6"/>
    <n v="120.4"/>
    <n v="118.51666666666667"/>
    <n v="614.56190476190477"/>
  </r>
  <r>
    <x v="0"/>
    <x v="2"/>
    <x v="9"/>
    <x v="71"/>
    <x v="68"/>
    <x v="77"/>
    <x v="80"/>
    <x v="73"/>
    <x v="79"/>
    <x v="53"/>
    <x v="83"/>
    <x v="71"/>
    <x v="69"/>
    <x v="72"/>
    <x v="88"/>
    <x v="83"/>
    <x v="89"/>
    <n v="131.1"/>
    <n v="127.3"/>
    <n v="130.6"/>
    <n v="125.1"/>
    <n v="122"/>
    <n v="113.8"/>
    <n v="120.1"/>
    <n v="125.1"/>
    <n v="114.2"/>
    <n v="119.2"/>
    <n v="127.7"/>
    <n v="129.00714285714284"/>
    <n v="129.66666666666666"/>
    <n v="122.4"/>
    <n v="124.4"/>
    <n v="120.05000000000001"/>
    <n v="625.5238095238094"/>
  </r>
  <r>
    <x v="1"/>
    <x v="2"/>
    <x v="9"/>
    <x v="66"/>
    <x v="79"/>
    <x v="44"/>
    <x v="77"/>
    <x v="31"/>
    <x v="87"/>
    <x v="95"/>
    <x v="84"/>
    <x v="72"/>
    <x v="91"/>
    <x v="56"/>
    <x v="89"/>
    <x v="84"/>
    <x v="90"/>
    <n v="124.4"/>
    <n v="118.8"/>
    <n v="123.6"/>
    <n v="120.7"/>
    <n v="117.7"/>
    <n v="109.3"/>
    <n v="117.7"/>
    <n v="126.5"/>
    <n v="113.5"/>
    <n v="116.5"/>
    <n v="124.2"/>
    <n v="130.57857142857145"/>
    <n v="122.26666666666665"/>
    <n v="122.4"/>
    <n v="114.9"/>
    <n v="117.56666666666666"/>
    <n v="607.71190476190486"/>
  </r>
  <r>
    <x v="2"/>
    <x v="2"/>
    <x v="9"/>
    <x v="72"/>
    <x v="80"/>
    <x v="64"/>
    <x v="81"/>
    <x v="74"/>
    <x v="88"/>
    <x v="96"/>
    <x v="85"/>
    <x v="73"/>
    <x v="92"/>
    <x v="62"/>
    <x v="90"/>
    <x v="85"/>
    <x v="91"/>
    <n v="128.5"/>
    <n v="123.8"/>
    <n v="127.8"/>
    <n v="123"/>
    <n v="120.4"/>
    <n v="111.4"/>
    <n v="118.7"/>
    <n v="125.9"/>
    <n v="113.9"/>
    <n v="117.9"/>
    <n v="126.1"/>
    <n v="129.39285714285714"/>
    <n v="126.7"/>
    <n v="122.4"/>
    <n v="120.8"/>
    <n v="118.88333333333333"/>
    <n v="618.17619047619041"/>
  </r>
  <r>
    <x v="0"/>
    <x v="2"/>
    <x v="10"/>
    <x v="73"/>
    <x v="81"/>
    <x v="78"/>
    <x v="82"/>
    <x v="75"/>
    <x v="89"/>
    <x v="97"/>
    <x v="86"/>
    <x v="74"/>
    <x v="93"/>
    <x v="73"/>
    <x v="91"/>
    <x v="86"/>
    <x v="92"/>
    <n v="132.1"/>
    <n v="128.19999999999999"/>
    <n v="131.5"/>
    <n v="125.6"/>
    <n v="122.6"/>
    <n v="114"/>
    <n v="120.9"/>
    <n v="125.8"/>
    <n v="114.2"/>
    <n v="119.6"/>
    <n v="128.30000000000001"/>
    <n v="129.89285714285714"/>
    <n v="130.6"/>
    <n v="122.9"/>
    <n v="125.6"/>
    <n v="120.51666666666667"/>
    <n v="629.50952380952378"/>
  </r>
  <r>
    <x v="1"/>
    <x v="2"/>
    <x v="10"/>
    <x v="61"/>
    <x v="80"/>
    <x v="40"/>
    <x v="83"/>
    <x v="76"/>
    <x v="90"/>
    <x v="98"/>
    <x v="87"/>
    <x v="59"/>
    <x v="94"/>
    <x v="63"/>
    <x v="92"/>
    <x v="87"/>
    <x v="93"/>
    <n v="125"/>
    <n v="119.3"/>
    <n v="124.2"/>
    <n v="121"/>
    <n v="118.1"/>
    <n v="109.3"/>
    <n v="117.9"/>
    <n v="126.6"/>
    <n v="113.3"/>
    <n v="116.6"/>
    <n v="124.6"/>
    <n v="131.8642857142857"/>
    <n v="122.83333333333333"/>
    <n v="122.9"/>
    <n v="115.1"/>
    <n v="117.69999999999999"/>
    <n v="610.39761904761895"/>
  </r>
  <r>
    <x v="2"/>
    <x v="2"/>
    <x v="10"/>
    <x v="74"/>
    <x v="82"/>
    <x v="72"/>
    <x v="78"/>
    <x v="77"/>
    <x v="91"/>
    <x v="99"/>
    <x v="88"/>
    <x v="75"/>
    <x v="95"/>
    <x v="74"/>
    <x v="93"/>
    <x v="88"/>
    <x v="94"/>
    <n v="129.30000000000001"/>
    <n v="124.5"/>
    <n v="128.6"/>
    <n v="123.4"/>
    <n v="120.9"/>
    <n v="111.5"/>
    <n v="119.2"/>
    <n v="126.3"/>
    <n v="113.8"/>
    <n v="118.1"/>
    <n v="126.6"/>
    <n v="130.40714285714284"/>
    <n v="127.46666666666665"/>
    <n v="122.9"/>
    <n v="121.6"/>
    <n v="119.18333333333332"/>
    <n v="621.55714285714282"/>
  </r>
  <r>
    <x v="0"/>
    <x v="2"/>
    <x v="11"/>
    <x v="75"/>
    <x v="74"/>
    <x v="79"/>
    <x v="84"/>
    <x v="78"/>
    <x v="92"/>
    <x v="100"/>
    <x v="89"/>
    <x v="33"/>
    <x v="96"/>
    <x v="75"/>
    <x v="94"/>
    <x v="89"/>
    <x v="82"/>
    <n v="132.5"/>
    <n v="128.5"/>
    <n v="131.9"/>
    <n v="126"/>
    <n v="123.1"/>
    <n v="114"/>
    <n v="121.6"/>
    <n v="125.6"/>
    <n v="114.1"/>
    <n v="119.8"/>
    <n v="127.9"/>
    <n v="129.67142857142858"/>
    <n v="130.96666666666667"/>
    <n v="122.4"/>
    <n v="125.7"/>
    <n v="120.73333333333335"/>
    <n v="629.47142857142853"/>
  </r>
  <r>
    <x v="1"/>
    <x v="2"/>
    <x v="11"/>
    <x v="63"/>
    <x v="75"/>
    <x v="80"/>
    <x v="83"/>
    <x v="76"/>
    <x v="93"/>
    <x v="101"/>
    <x v="90"/>
    <x v="76"/>
    <x v="97"/>
    <x v="59"/>
    <x v="91"/>
    <x v="81"/>
    <x v="95"/>
    <n v="125.4"/>
    <n v="119.5"/>
    <n v="124.5"/>
    <n v="121"/>
    <n v="118.6"/>
    <n v="109.3"/>
    <n v="118.1"/>
    <n v="126.6"/>
    <n v="113.2"/>
    <n v="116.7"/>
    <n v="124"/>
    <n v="131.21428571428572"/>
    <n v="123.13333333333333"/>
    <n v="122.4"/>
    <n v="116"/>
    <n v="117.80000000000001"/>
    <n v="610.54761904761904"/>
  </r>
  <r>
    <x v="2"/>
    <x v="2"/>
    <x v="11"/>
    <x v="76"/>
    <x v="76"/>
    <x v="81"/>
    <x v="80"/>
    <x v="79"/>
    <x v="94"/>
    <x v="84"/>
    <x v="91"/>
    <x v="74"/>
    <x v="98"/>
    <x v="76"/>
    <x v="95"/>
    <x v="89"/>
    <x v="96"/>
    <n v="129.69999999999999"/>
    <n v="124.8"/>
    <n v="129"/>
    <n v="123.6"/>
    <n v="121.4"/>
    <n v="111.5"/>
    <n v="119.6"/>
    <n v="126.2"/>
    <n v="113.7"/>
    <n v="118.3"/>
    <n v="126.1"/>
    <n v="130.04285714285714"/>
    <n v="127.83333333333333"/>
    <n v="122.4"/>
    <n v="122"/>
    <n v="119.33333333333336"/>
    <n v="621.60952380952381"/>
  </r>
  <r>
    <x v="0"/>
    <x v="3"/>
    <x v="0"/>
    <x v="77"/>
    <x v="83"/>
    <x v="82"/>
    <x v="85"/>
    <x v="80"/>
    <x v="92"/>
    <x v="102"/>
    <x v="92"/>
    <x v="77"/>
    <x v="99"/>
    <x v="77"/>
    <x v="96"/>
    <x v="89"/>
    <x v="94"/>
    <n v="133.19999999999999"/>
    <n v="128.9"/>
    <n v="132.6"/>
    <n v="126.6"/>
    <n v="123.7"/>
    <n v="113.6"/>
    <n v="121.4"/>
    <n v="126.2"/>
    <n v="114.9"/>
    <n v="120.1"/>
    <n v="128.1"/>
    <n v="130.26428571428571"/>
    <n v="131.56666666666669"/>
    <n v="123.4"/>
    <n v="126.2"/>
    <n v="121.06666666666666"/>
    <n v="632.49761904761908"/>
  </r>
  <r>
    <x v="1"/>
    <x v="3"/>
    <x v="0"/>
    <x v="69"/>
    <x v="84"/>
    <x v="83"/>
    <x v="78"/>
    <x v="38"/>
    <x v="95"/>
    <x v="103"/>
    <x v="93"/>
    <x v="78"/>
    <x v="100"/>
    <x v="78"/>
    <x v="95"/>
    <x v="82"/>
    <x v="97"/>
    <n v="125.8"/>
    <n v="119.8"/>
    <n v="124.9"/>
    <n v="121.6"/>
    <n v="119.1"/>
    <n v="108.9"/>
    <n v="118.5"/>
    <n v="126.4"/>
    <n v="114"/>
    <n v="116.8"/>
    <n v="124.2"/>
    <n v="131.49285714285716"/>
    <n v="123.5"/>
    <n v="123.4"/>
    <n v="116.9"/>
    <n v="118.08333333333333"/>
    <n v="613.37619047619057"/>
  </r>
  <r>
    <x v="2"/>
    <x v="3"/>
    <x v="0"/>
    <x v="73"/>
    <x v="85"/>
    <x v="84"/>
    <x v="86"/>
    <x v="81"/>
    <x v="62"/>
    <x v="104"/>
    <x v="94"/>
    <x v="79"/>
    <x v="101"/>
    <x v="79"/>
    <x v="97"/>
    <x v="90"/>
    <x v="98"/>
    <n v="130.30000000000001"/>
    <n v="125.1"/>
    <n v="129.5"/>
    <n v="124.2"/>
    <n v="122"/>
    <n v="111.1"/>
    <n v="119.8"/>
    <n v="126.3"/>
    <n v="114.5"/>
    <n v="118.5"/>
    <n v="126.3"/>
    <n v="130.49285714285716"/>
    <n v="128.29999999999998"/>
    <n v="123.4"/>
    <n v="122.7"/>
    <n v="119.64999999999999"/>
    <n v="624.5428571428572"/>
  </r>
  <r>
    <x v="0"/>
    <x v="3"/>
    <x v="1"/>
    <x v="78"/>
    <x v="86"/>
    <x v="85"/>
    <x v="87"/>
    <x v="82"/>
    <x v="65"/>
    <x v="82"/>
    <x v="95"/>
    <x v="80"/>
    <x v="102"/>
    <x v="80"/>
    <x v="98"/>
    <x v="79"/>
    <x v="99"/>
    <n v="133.9"/>
    <n v="129.80000000000001"/>
    <n v="133.4"/>
    <n v="127.1"/>
    <n v="124.3"/>
    <n v="113.9"/>
    <n v="122.3"/>
    <n v="127.1"/>
    <n v="116.8"/>
    <n v="120.9"/>
    <n v="127.9"/>
    <n v="129.78571428571428"/>
    <n v="132.36666666666667"/>
    <n v="124.4"/>
    <n v="127.5"/>
    <n v="121.91666666666664"/>
    <n v="635.96904761904761"/>
  </r>
  <r>
    <x v="1"/>
    <x v="3"/>
    <x v="1"/>
    <x v="52"/>
    <x v="87"/>
    <x v="86"/>
    <x v="88"/>
    <x v="83"/>
    <x v="96"/>
    <x v="17"/>
    <x v="96"/>
    <x v="81"/>
    <x v="103"/>
    <x v="81"/>
    <x v="99"/>
    <x v="91"/>
    <x v="100"/>
    <n v="126.2"/>
    <n v="120.1"/>
    <n v="125.3"/>
    <n v="121.8"/>
    <n v="119.5"/>
    <n v="109.1"/>
    <n v="118.8"/>
    <n v="126.3"/>
    <n v="116.2"/>
    <n v="117.2"/>
    <n v="123.8"/>
    <n v="129.72142857142856"/>
    <n v="123.86666666666667"/>
    <n v="124.4"/>
    <n v="116"/>
    <n v="118.61666666666667"/>
    <n v="612.60476190476197"/>
  </r>
  <r>
    <x v="2"/>
    <x v="3"/>
    <x v="1"/>
    <x v="79"/>
    <x v="88"/>
    <x v="87"/>
    <x v="85"/>
    <x v="84"/>
    <x v="97"/>
    <x v="105"/>
    <x v="97"/>
    <x v="82"/>
    <x v="104"/>
    <x v="82"/>
    <x v="100"/>
    <x v="92"/>
    <x v="101"/>
    <n v="130.9"/>
    <n v="125.8"/>
    <n v="130.19999999999999"/>
    <n v="124.6"/>
    <n v="122.5"/>
    <n v="111.4"/>
    <n v="120.3"/>
    <n v="126.6"/>
    <n v="116.6"/>
    <n v="119.1"/>
    <n v="126"/>
    <n v="129.57142857142858"/>
    <n v="128.96666666666667"/>
    <n v="124.4"/>
    <n v="123.1"/>
    <n v="120.33333333333333"/>
    <n v="626.37142857142862"/>
  </r>
  <r>
    <x v="0"/>
    <x v="3"/>
    <x v="2"/>
    <x v="80"/>
    <x v="69"/>
    <x v="88"/>
    <x v="89"/>
    <x v="78"/>
    <x v="98"/>
    <x v="106"/>
    <x v="98"/>
    <x v="83"/>
    <x v="105"/>
    <x v="83"/>
    <x v="101"/>
    <x v="93"/>
    <x v="102"/>
    <n v="134.4"/>
    <n v="130.19999999999999"/>
    <n v="133.80000000000001"/>
    <n v="127.7"/>
    <n v="124.8"/>
    <n v="113.6"/>
    <n v="122.5"/>
    <n v="127.5"/>
    <n v="117.4"/>
    <n v="121.1"/>
    <n v="128"/>
    <n v="129.83571428571432"/>
    <n v="132.80000000000001"/>
    <n v="124.9"/>
    <n v="127"/>
    <n v="122.25"/>
    <n v="636.78571428571433"/>
  </r>
  <r>
    <x v="1"/>
    <x v="3"/>
    <x v="2"/>
    <x v="52"/>
    <x v="89"/>
    <x v="89"/>
    <x v="90"/>
    <x v="44"/>
    <x v="99"/>
    <x v="107"/>
    <x v="99"/>
    <x v="30"/>
    <x v="106"/>
    <x v="71"/>
    <x v="102"/>
    <x v="53"/>
    <x v="103"/>
    <n v="126.4"/>
    <n v="120.3"/>
    <n v="125.5"/>
    <n v="122.3"/>
    <n v="119.7"/>
    <n v="108.5"/>
    <n v="119.1"/>
    <n v="126.4"/>
    <n v="117.1"/>
    <n v="117.3"/>
    <n v="123.8"/>
    <n v="129.15714285714287"/>
    <n v="124.06666666666666"/>
    <n v="124.9"/>
    <n v="114.8"/>
    <n v="118.85000000000001"/>
    <n v="611.77380952380952"/>
  </r>
  <r>
    <x v="2"/>
    <x v="3"/>
    <x v="2"/>
    <x v="81"/>
    <x v="87"/>
    <x v="90"/>
    <x v="91"/>
    <x v="85"/>
    <x v="67"/>
    <x v="108"/>
    <x v="100"/>
    <x v="84"/>
    <x v="107"/>
    <x v="73"/>
    <x v="103"/>
    <x v="77"/>
    <x v="104"/>
    <n v="131.30000000000001"/>
    <n v="126.1"/>
    <n v="130.5"/>
    <n v="125.1"/>
    <n v="122.9"/>
    <n v="110.9"/>
    <n v="120.6"/>
    <n v="126.9"/>
    <n v="117.3"/>
    <n v="119.3"/>
    <n v="126"/>
    <n v="129.40714285714287"/>
    <n v="129.29999999999998"/>
    <n v="124.9"/>
    <n v="122.4"/>
    <n v="120.61666666666666"/>
    <n v="626.62380952380954"/>
  </r>
  <r>
    <x v="0"/>
    <x v="3"/>
    <x v="3"/>
    <x v="82"/>
    <x v="90"/>
    <x v="91"/>
    <x v="92"/>
    <x v="86"/>
    <x v="100"/>
    <x v="109"/>
    <x v="101"/>
    <x v="5"/>
    <x v="108"/>
    <x v="84"/>
    <x v="104"/>
    <x v="83"/>
    <x v="105"/>
    <n v="135"/>
    <n v="130.6"/>
    <n v="134.4"/>
    <n v="128"/>
    <n v="125.2"/>
    <n v="114.4"/>
    <n v="123.2"/>
    <n v="127.9"/>
    <n v="118.4"/>
    <n v="121.7"/>
    <n v="129"/>
    <n v="131.22142857142859"/>
    <n v="133.33333333333334"/>
    <n v="125.6"/>
    <n v="127"/>
    <n v="122.85000000000001"/>
    <n v="640.00476190476195"/>
  </r>
  <r>
    <x v="1"/>
    <x v="3"/>
    <x v="3"/>
    <x v="83"/>
    <x v="91"/>
    <x v="55"/>
    <x v="91"/>
    <x v="26"/>
    <x v="53"/>
    <x v="110"/>
    <x v="102"/>
    <x v="85"/>
    <x v="109"/>
    <x v="62"/>
    <x v="96"/>
    <x v="83"/>
    <x v="106"/>
    <n v="126.8"/>
    <n v="120.5"/>
    <n v="125.8"/>
    <n v="122.8"/>
    <n v="120"/>
    <n v="110"/>
    <n v="119.5"/>
    <n v="127.6"/>
    <n v="117.6"/>
    <n v="118.2"/>
    <n v="125.3"/>
    <n v="131.98571428571429"/>
    <n v="124.36666666666667"/>
    <n v="125.6"/>
    <n v="114.6"/>
    <n v="119.58333333333333"/>
    <n v="616.13571428571436"/>
  </r>
  <r>
    <x v="2"/>
    <x v="3"/>
    <x v="3"/>
    <x v="84"/>
    <x v="92"/>
    <x v="73"/>
    <x v="93"/>
    <x v="84"/>
    <x v="101"/>
    <x v="111"/>
    <x v="103"/>
    <x v="86"/>
    <x v="89"/>
    <x v="85"/>
    <x v="105"/>
    <x v="83"/>
    <x v="107"/>
    <n v="131.80000000000001"/>
    <n v="126.4"/>
    <n v="131"/>
    <n v="125.5"/>
    <n v="123.2"/>
    <n v="112.1"/>
    <n v="121.1"/>
    <n v="127.7"/>
    <n v="118.1"/>
    <n v="120"/>
    <n v="127.3"/>
    <n v="131.31428571428572"/>
    <n v="129.73333333333335"/>
    <n v="125.6"/>
    <n v="122.3"/>
    <n v="121.28333333333335"/>
    <n v="630.23095238095243"/>
  </r>
  <r>
    <x v="0"/>
    <x v="3"/>
    <x v="4"/>
    <x v="85"/>
    <x v="93"/>
    <x v="92"/>
    <x v="94"/>
    <x v="86"/>
    <x v="100"/>
    <x v="112"/>
    <x v="104"/>
    <x v="87"/>
    <x v="110"/>
    <x v="86"/>
    <x v="106"/>
    <x v="94"/>
    <x v="108"/>
    <n v="135.4"/>
    <n v="131.1"/>
    <n v="134.80000000000001"/>
    <n v="128.5"/>
    <n v="125.8"/>
    <n v="115.1"/>
    <n v="123.6"/>
    <n v="129.1"/>
    <n v="119.7"/>
    <n v="122.5"/>
    <n v="130.30000000000001"/>
    <n v="132.83571428571426"/>
    <n v="133.76666666666668"/>
    <n v="126"/>
    <n v="127.4"/>
    <n v="123.63333333333334"/>
    <n v="643.63571428571424"/>
  </r>
  <r>
    <x v="1"/>
    <x v="3"/>
    <x v="4"/>
    <x v="72"/>
    <x v="94"/>
    <x v="93"/>
    <x v="95"/>
    <x v="87"/>
    <x v="102"/>
    <x v="113"/>
    <x v="105"/>
    <x v="88"/>
    <x v="111"/>
    <x v="67"/>
    <x v="103"/>
    <x v="95"/>
    <x v="109"/>
    <n v="127.2"/>
    <n v="120.7"/>
    <n v="126.2"/>
    <n v="123.2"/>
    <n v="120.3"/>
    <n v="110.7"/>
    <n v="119.8"/>
    <n v="128"/>
    <n v="118.5"/>
    <n v="118.7"/>
    <n v="126.6"/>
    <n v="134.92857142857142"/>
    <n v="124.7"/>
    <n v="126"/>
    <n v="115"/>
    <n v="120.08333333333333"/>
    <n v="620.71190476190475"/>
  </r>
  <r>
    <x v="2"/>
    <x v="3"/>
    <x v="4"/>
    <x v="77"/>
    <x v="95"/>
    <x v="94"/>
    <x v="96"/>
    <x v="88"/>
    <x v="103"/>
    <x v="88"/>
    <x v="106"/>
    <x v="89"/>
    <x v="112"/>
    <x v="87"/>
    <x v="104"/>
    <x v="96"/>
    <x v="110"/>
    <n v="132.19999999999999"/>
    <n v="126.8"/>
    <n v="131.4"/>
    <n v="126"/>
    <n v="123.7"/>
    <n v="112.8"/>
    <n v="121.5"/>
    <n v="128.5"/>
    <n v="119.2"/>
    <n v="120.7"/>
    <n v="128.6"/>
    <n v="133.43571428571428"/>
    <n v="130.13333333333333"/>
    <n v="126"/>
    <n v="122.7"/>
    <n v="121.95"/>
    <n v="634.21904761904773"/>
  </r>
  <r>
    <x v="0"/>
    <x v="3"/>
    <x v="5"/>
    <x v="86"/>
    <x v="96"/>
    <x v="60"/>
    <x v="97"/>
    <x v="89"/>
    <x v="104"/>
    <x v="114"/>
    <x v="107"/>
    <x v="90"/>
    <x v="113"/>
    <x v="88"/>
    <x v="107"/>
    <x v="97"/>
    <x v="111"/>
    <n v="136.30000000000001"/>
    <n v="131.6"/>
    <n v="135.6"/>
    <n v="129.30000000000001"/>
    <n v="126.2"/>
    <n v="116.3"/>
    <n v="124.1"/>
    <n v="130.19999999999999"/>
    <n v="119.9"/>
    <n v="123.3"/>
    <n v="131.9"/>
    <n v="134.69999999999999"/>
    <n v="134.5"/>
    <n v="125.5"/>
    <n v="128"/>
    <n v="124.33333333333331"/>
    <n v="647.0333333333333"/>
  </r>
  <r>
    <x v="1"/>
    <x v="3"/>
    <x v="5"/>
    <x v="87"/>
    <x v="97"/>
    <x v="95"/>
    <x v="98"/>
    <x v="49"/>
    <x v="105"/>
    <x v="115"/>
    <x v="108"/>
    <x v="91"/>
    <x v="114"/>
    <x v="89"/>
    <x v="108"/>
    <x v="98"/>
    <x v="112"/>
    <n v="127.6"/>
    <n v="121.1"/>
    <n v="126.6"/>
    <n v="123.2"/>
    <n v="120.6"/>
    <n v="112.3"/>
    <n v="119.9"/>
    <n v="129.30000000000001"/>
    <n v="118.8"/>
    <n v="119.6"/>
    <n v="128.1"/>
    <n v="137.83571428571432"/>
    <n v="125.09999999999998"/>
    <n v="125.5"/>
    <n v="115.5"/>
    <n v="120.68333333333332"/>
    <n v="624.61904761904759"/>
  </r>
  <r>
    <x v="2"/>
    <x v="3"/>
    <x v="5"/>
    <x v="88"/>
    <x v="98"/>
    <x v="96"/>
    <x v="99"/>
    <x v="81"/>
    <x v="106"/>
    <x v="116"/>
    <x v="109"/>
    <x v="92"/>
    <x v="115"/>
    <x v="90"/>
    <x v="109"/>
    <x v="99"/>
    <x v="113"/>
    <n v="132.9"/>
    <n v="127.2"/>
    <n v="132"/>
    <n v="126.4"/>
    <n v="124.1"/>
    <n v="114.2"/>
    <n v="121.7"/>
    <n v="129.69999999999999"/>
    <n v="119.4"/>
    <n v="121.5"/>
    <n v="130.1"/>
    <n v="135.66428571428571"/>
    <n v="130.70000000000002"/>
    <n v="125.5"/>
    <n v="123.3"/>
    <n v="122.58333333333331"/>
    <n v="637.74761904761908"/>
  </r>
  <r>
    <x v="0"/>
    <x v="3"/>
    <x v="6"/>
    <x v="89"/>
    <x v="99"/>
    <x v="97"/>
    <x v="100"/>
    <x v="90"/>
    <x v="107"/>
    <x v="117"/>
    <x v="110"/>
    <x v="93"/>
    <x v="116"/>
    <x v="91"/>
    <x v="110"/>
    <x v="100"/>
    <x v="114"/>
    <n v="137.19999999999999"/>
    <n v="132.19999999999999"/>
    <n v="136.5"/>
    <n v="130"/>
    <n v="126.7"/>
    <n v="116.4"/>
    <n v="125.2"/>
    <n v="130.80000000000001"/>
    <n v="120.9"/>
    <n v="123.8"/>
    <n v="133"/>
    <n v="136.30714285714285"/>
    <n v="135.29999999999998"/>
    <n v="126.4"/>
    <n v="128.19999999999999"/>
    <n v="125"/>
    <n v="651.2071428571428"/>
  </r>
  <r>
    <x v="1"/>
    <x v="3"/>
    <x v="6"/>
    <x v="77"/>
    <x v="100"/>
    <x v="98"/>
    <x v="101"/>
    <x v="52"/>
    <x v="108"/>
    <x v="118"/>
    <x v="111"/>
    <x v="94"/>
    <x v="117"/>
    <x v="74"/>
    <x v="111"/>
    <x v="101"/>
    <x v="115"/>
    <n v="127.9"/>
    <n v="121.1"/>
    <n v="126.9"/>
    <n v="123.5"/>
    <n v="120.9"/>
    <n v="111.7"/>
    <n v="120.3"/>
    <n v="130.80000000000001"/>
    <n v="120"/>
    <n v="119.9"/>
    <n v="129"/>
    <n v="139.60000000000002"/>
    <n v="125.3"/>
    <n v="126.4"/>
    <n v="115.5"/>
    <n v="121.2"/>
    <n v="628.00000000000011"/>
  </r>
  <r>
    <x v="2"/>
    <x v="3"/>
    <x v="6"/>
    <x v="90"/>
    <x v="101"/>
    <x v="99"/>
    <x v="102"/>
    <x v="91"/>
    <x v="109"/>
    <x v="119"/>
    <x v="112"/>
    <x v="95"/>
    <x v="118"/>
    <x v="92"/>
    <x v="112"/>
    <x v="102"/>
    <x v="116"/>
    <n v="133.5"/>
    <n v="127.6"/>
    <n v="132.69999999999999"/>
    <n v="126.9"/>
    <n v="124.5"/>
    <n v="113.9"/>
    <n v="122.4"/>
    <n v="130.80000000000001"/>
    <n v="120.5"/>
    <n v="121.9"/>
    <n v="131.1"/>
    <n v="137.34285714285713"/>
    <n v="131.26666666666668"/>
    <n v="126.4"/>
    <n v="123.4"/>
    <n v="123.16666666666667"/>
    <n v="641.57619047619039"/>
  </r>
  <r>
    <x v="0"/>
    <x v="3"/>
    <x v="7"/>
    <x v="91"/>
    <x v="102"/>
    <x v="86"/>
    <x v="103"/>
    <x v="92"/>
    <x v="110"/>
    <x v="120"/>
    <x v="113"/>
    <x v="96"/>
    <x v="119"/>
    <x v="93"/>
    <x v="113"/>
    <x v="103"/>
    <x v="117"/>
    <n v="137.80000000000001"/>
    <n v="133"/>
    <n v="137.1"/>
    <n v="130.6"/>
    <n v="127"/>
    <n v="116"/>
    <n v="125.5"/>
    <n v="131.9"/>
    <n v="122"/>
    <n v="124.2"/>
    <n v="133.5"/>
    <n v="136.88571428571427"/>
    <n v="135.96666666666667"/>
    <n v="127.3"/>
    <n v="129.1"/>
    <n v="125.5"/>
    <n v="654.75238095238092"/>
  </r>
  <r>
    <x v="1"/>
    <x v="3"/>
    <x v="7"/>
    <x v="85"/>
    <x v="103"/>
    <x v="100"/>
    <x v="104"/>
    <x v="56"/>
    <x v="111"/>
    <x v="121"/>
    <x v="114"/>
    <x v="97"/>
    <x v="120"/>
    <x v="69"/>
    <x v="109"/>
    <x v="100"/>
    <x v="118"/>
    <n v="128.30000000000001"/>
    <n v="121.4"/>
    <n v="127.3"/>
    <n v="123.9"/>
    <n v="121.2"/>
    <n v="110.4"/>
    <n v="120.6"/>
    <n v="131.5"/>
    <n v="120.9"/>
    <n v="119.9"/>
    <n v="128.4"/>
    <n v="137.68571428571425"/>
    <n v="125.66666666666667"/>
    <n v="127.3"/>
    <n v="114.7"/>
    <n v="121.41666666666667"/>
    <n v="626.76904761904757"/>
  </r>
  <r>
    <x v="2"/>
    <x v="3"/>
    <x v="7"/>
    <x v="89"/>
    <x v="91"/>
    <x v="101"/>
    <x v="105"/>
    <x v="93"/>
    <x v="100"/>
    <x v="122"/>
    <x v="115"/>
    <x v="98"/>
    <x v="121"/>
    <x v="94"/>
    <x v="114"/>
    <x v="104"/>
    <x v="119"/>
    <n v="134.1"/>
    <n v="128.19999999999999"/>
    <n v="133.19999999999999"/>
    <n v="127.4"/>
    <n v="124.8"/>
    <n v="113.1"/>
    <n v="122.7"/>
    <n v="131.69999999999999"/>
    <n v="121.5"/>
    <n v="122.1"/>
    <n v="131.1"/>
    <n v="137.00714285714287"/>
    <n v="131.83333333333331"/>
    <n v="127.3"/>
    <n v="123.6"/>
    <n v="123.53333333333332"/>
    <n v="643.27380952380952"/>
  </r>
  <r>
    <x v="0"/>
    <x v="3"/>
    <x v="8"/>
    <x v="92"/>
    <x v="104"/>
    <x v="102"/>
    <x v="106"/>
    <x v="94"/>
    <x v="112"/>
    <x v="123"/>
    <x v="116"/>
    <x v="99"/>
    <x v="91"/>
    <x v="95"/>
    <x v="115"/>
    <x v="105"/>
    <x v="120"/>
    <n v="138.5"/>
    <n v="133.5"/>
    <n v="137.80000000000001"/>
    <n v="131.1"/>
    <n v="127.8"/>
    <n v="117"/>
    <n v="125.7"/>
    <n v="132.19999999999999"/>
    <n v="122.8"/>
    <n v="124.9"/>
    <n v="133.4"/>
    <n v="136.47142857142859"/>
    <n v="136.6"/>
    <n v="127.9"/>
    <n v="129.69999999999999"/>
    <n v="126.09999999999998"/>
    <n v="656.7714285714286"/>
  </r>
  <r>
    <x v="1"/>
    <x v="3"/>
    <x v="8"/>
    <x v="93"/>
    <x v="105"/>
    <x v="103"/>
    <x v="99"/>
    <x v="59"/>
    <x v="75"/>
    <x v="124"/>
    <x v="117"/>
    <x v="100"/>
    <x v="122"/>
    <x v="96"/>
    <x v="112"/>
    <x v="106"/>
    <x v="121"/>
    <n v="128.69999999999999"/>
    <n v="121.6"/>
    <n v="127.7"/>
    <n v="124.3"/>
    <n v="121.4"/>
    <n v="111.8"/>
    <n v="120.8"/>
    <n v="131.6"/>
    <n v="121.2"/>
    <n v="120.5"/>
    <n v="128"/>
    <n v="135.73571428571427"/>
    <n v="126"/>
    <n v="127.9"/>
    <n v="114.8"/>
    <n v="121.85000000000001"/>
    <n v="626.28571428571422"/>
  </r>
  <r>
    <x v="2"/>
    <x v="3"/>
    <x v="8"/>
    <x v="94"/>
    <x v="106"/>
    <x v="102"/>
    <x v="107"/>
    <x v="95"/>
    <x v="113"/>
    <x v="125"/>
    <x v="91"/>
    <x v="101"/>
    <x v="123"/>
    <x v="97"/>
    <x v="116"/>
    <x v="107"/>
    <x v="122"/>
    <n v="134.6"/>
    <n v="128.6"/>
    <n v="133.80000000000001"/>
    <n v="127.9"/>
    <n v="125.4"/>
    <n v="114.3"/>
    <n v="122.9"/>
    <n v="131.80000000000001"/>
    <n v="122.1"/>
    <n v="122.8"/>
    <n v="130.9"/>
    <n v="136.04999999999998"/>
    <n v="132.33333333333334"/>
    <n v="127.9"/>
    <n v="124.1"/>
    <n v="124.06666666666666"/>
    <n v="644.45000000000005"/>
  </r>
  <r>
    <x v="0"/>
    <x v="3"/>
    <x v="9"/>
    <x v="95"/>
    <x v="107"/>
    <x v="104"/>
    <x v="108"/>
    <x v="96"/>
    <x v="114"/>
    <x v="126"/>
    <x v="118"/>
    <x v="102"/>
    <x v="115"/>
    <x v="98"/>
    <x v="117"/>
    <x v="108"/>
    <x v="123"/>
    <n v="139.6"/>
    <n v="134.30000000000001"/>
    <n v="138.80000000000001"/>
    <n v="131.80000000000001"/>
    <n v="128.69999999999999"/>
    <n v="117.8"/>
    <n v="126.5"/>
    <n v="133"/>
    <n v="123"/>
    <n v="125.7"/>
    <n v="133.80000000000001"/>
    <n v="136.62142857142859"/>
    <n v="137.56666666666666"/>
    <n v="128.69999999999999"/>
    <n v="129.80000000000001"/>
    <n v="126.8"/>
    <n v="659.48809523809518"/>
  </r>
  <r>
    <x v="1"/>
    <x v="3"/>
    <x v="9"/>
    <x v="96"/>
    <x v="108"/>
    <x v="86"/>
    <x v="109"/>
    <x v="60"/>
    <x v="65"/>
    <x v="127"/>
    <x v="119"/>
    <x v="103"/>
    <x v="124"/>
    <x v="99"/>
    <x v="118"/>
    <x v="109"/>
    <x v="124"/>
    <n v="129.1"/>
    <n v="121.9"/>
    <n v="128"/>
    <n v="124.5"/>
    <n v="121.8"/>
    <n v="112.8"/>
    <n v="121.2"/>
    <n v="131.9"/>
    <n v="120.8"/>
    <n v="120.9"/>
    <n v="128.6"/>
    <n v="136.22857142857143"/>
    <n v="126.33333333333333"/>
    <n v="128.69999999999999"/>
    <n v="115.2"/>
    <n v="122.16666666666667"/>
    <n v="628.62857142857138"/>
  </r>
  <r>
    <x v="2"/>
    <x v="3"/>
    <x v="9"/>
    <x v="97"/>
    <x v="109"/>
    <x v="105"/>
    <x v="110"/>
    <x v="75"/>
    <x v="115"/>
    <x v="128"/>
    <x v="120"/>
    <x v="104"/>
    <x v="125"/>
    <x v="86"/>
    <x v="119"/>
    <x v="110"/>
    <x v="125"/>
    <n v="135.5"/>
    <n v="129.1"/>
    <n v="134.5"/>
    <n v="128.4"/>
    <n v="126.1"/>
    <n v="115.2"/>
    <n v="123.5"/>
    <n v="132.4"/>
    <n v="122.1"/>
    <n v="123.4"/>
    <n v="131.4"/>
    <n v="136.32857142857139"/>
    <n v="133.03333333333333"/>
    <n v="128.69999999999999"/>
    <n v="124.3"/>
    <n v="124.61666666666667"/>
    <n v="646.9785714285714"/>
  </r>
  <r>
    <x v="0"/>
    <x v="3"/>
    <x v="10"/>
    <x v="98"/>
    <x v="110"/>
    <x v="103"/>
    <x v="111"/>
    <x v="97"/>
    <x v="116"/>
    <x v="112"/>
    <x v="121"/>
    <x v="102"/>
    <x v="126"/>
    <x v="98"/>
    <x v="120"/>
    <x v="107"/>
    <x v="126"/>
    <n v="139.9"/>
    <n v="134.5"/>
    <n v="139.19999999999999"/>
    <n v="132.1"/>
    <n v="129.1"/>
    <n v="118.2"/>
    <n v="126.9"/>
    <n v="133.69999999999999"/>
    <n v="123.5"/>
    <n v="126.1"/>
    <n v="133.6"/>
    <n v="136.12857142857143"/>
    <n v="137.86666666666665"/>
    <n v="129.1"/>
    <n v="130.30000000000001"/>
    <n v="127.25"/>
    <n v="660.64523809523803"/>
  </r>
  <r>
    <x v="1"/>
    <x v="3"/>
    <x v="10"/>
    <x v="99"/>
    <x v="111"/>
    <x v="106"/>
    <x v="112"/>
    <x v="98"/>
    <x v="77"/>
    <x v="129"/>
    <x v="122"/>
    <x v="105"/>
    <x v="127"/>
    <x v="79"/>
    <x v="121"/>
    <x v="111"/>
    <x v="124"/>
    <n v="129.6"/>
    <n v="122.1"/>
    <n v="128.5"/>
    <n v="124.7"/>
    <n v="122.1"/>
    <n v="113.4"/>
    <n v="121.7"/>
    <n v="132.1"/>
    <n v="121.3"/>
    <n v="121.3"/>
    <n v="128.5"/>
    <n v="135.67857142857142"/>
    <n v="126.73333333333333"/>
    <n v="129.1"/>
    <n v="116.2"/>
    <n v="122.55"/>
    <n v="630.2619047619047"/>
  </r>
  <r>
    <x v="2"/>
    <x v="3"/>
    <x v="10"/>
    <x v="100"/>
    <x v="112"/>
    <x v="83"/>
    <x v="113"/>
    <x v="99"/>
    <x v="76"/>
    <x v="130"/>
    <x v="106"/>
    <x v="104"/>
    <x v="103"/>
    <x v="100"/>
    <x v="122"/>
    <x v="112"/>
    <x v="127"/>
    <n v="135.80000000000001"/>
    <n v="129.30000000000001"/>
    <n v="135"/>
    <n v="128.6"/>
    <n v="126.4"/>
    <n v="115.7"/>
    <n v="124"/>
    <n v="132.80000000000001"/>
    <n v="122.6"/>
    <n v="123.8"/>
    <n v="131.19999999999999"/>
    <n v="135.84285714285713"/>
    <n v="133.36666666666667"/>
    <n v="129.1"/>
    <n v="125"/>
    <n v="125.01666666666667"/>
    <n v="648.3261904761905"/>
  </r>
  <r>
    <x v="0"/>
    <x v="3"/>
    <x v="11"/>
    <x v="101"/>
    <x v="113"/>
    <x v="101"/>
    <x v="114"/>
    <x v="100"/>
    <x v="117"/>
    <x v="77"/>
    <x v="123"/>
    <x v="101"/>
    <x v="118"/>
    <x v="101"/>
    <x v="123"/>
    <x v="113"/>
    <x v="128"/>
    <n v="140.4"/>
    <n v="135.19999999999999"/>
    <n v="139.69999999999999"/>
    <n v="132.9"/>
    <n v="129.69999999999999"/>
    <n v="118.6"/>
    <n v="127.3"/>
    <n v="134.19999999999999"/>
    <n v="121.9"/>
    <n v="126.3"/>
    <n v="132.80000000000001"/>
    <n v="135.10714285714286"/>
    <n v="138.43333333333334"/>
    <n v="128.5"/>
    <n v="132"/>
    <n v="127.43333333333334"/>
    <n v="661.47380952380945"/>
  </r>
  <r>
    <x v="1"/>
    <x v="3"/>
    <x v="11"/>
    <x v="102"/>
    <x v="104"/>
    <x v="107"/>
    <x v="115"/>
    <x v="66"/>
    <x v="118"/>
    <x v="131"/>
    <x v="99"/>
    <x v="106"/>
    <x v="128"/>
    <x v="73"/>
    <x v="124"/>
    <x v="114"/>
    <x v="129"/>
    <n v="130"/>
    <n v="122.2"/>
    <n v="128.80000000000001"/>
    <n v="125"/>
    <n v="122.3"/>
    <n v="113.7"/>
    <n v="121.8"/>
    <n v="132.30000000000001"/>
    <n v="119.9"/>
    <n v="121.4"/>
    <n v="127.6"/>
    <n v="133.91428571428571"/>
    <n v="127"/>
    <n v="128.5"/>
    <n v="117.8"/>
    <n v="122.5"/>
    <n v="629.71428571428578"/>
  </r>
  <r>
    <x v="2"/>
    <x v="3"/>
    <x v="11"/>
    <x v="103"/>
    <x v="107"/>
    <x v="108"/>
    <x v="116"/>
    <x v="89"/>
    <x v="52"/>
    <x v="132"/>
    <x v="124"/>
    <x v="107"/>
    <x v="129"/>
    <x v="102"/>
    <x v="125"/>
    <x v="96"/>
    <x v="130"/>
    <n v="136.30000000000001"/>
    <n v="129.80000000000001"/>
    <n v="135.4"/>
    <n v="129.19999999999999"/>
    <n v="126.9"/>
    <n v="116"/>
    <n v="124.2"/>
    <n v="133.1"/>
    <n v="121.1"/>
    <n v="123.9"/>
    <n v="130.4"/>
    <n v="134.55714285714285"/>
    <n v="133.83333333333334"/>
    <n v="128.5"/>
    <n v="126.6"/>
    <n v="125.08333333333333"/>
    <n v="648.57380952380959"/>
  </r>
  <r>
    <x v="0"/>
    <x v="4"/>
    <x v="0"/>
    <x v="104"/>
    <x v="112"/>
    <x v="109"/>
    <x v="117"/>
    <x v="101"/>
    <x v="103"/>
    <x v="133"/>
    <x v="125"/>
    <x v="108"/>
    <x v="130"/>
    <x v="103"/>
    <x v="126"/>
    <x v="115"/>
    <x v="130"/>
    <n v="140.69999999999999"/>
    <n v="135.80000000000001"/>
    <n v="140"/>
    <n v="133.19999999999999"/>
    <n v="129.9"/>
    <n v="119.1"/>
    <n v="127"/>
    <n v="134.6"/>
    <n v="122.3"/>
    <n v="126.6"/>
    <n v="132.4"/>
    <n v="134.31428571428572"/>
    <n v="138.83333333333334"/>
    <n v="129.6"/>
    <n v="132.1"/>
    <n v="127.68333333333334"/>
    <n v="662.53095238095239"/>
  </r>
  <r>
    <x v="1"/>
    <x v="4"/>
    <x v="0"/>
    <x v="105"/>
    <x v="114"/>
    <x v="110"/>
    <x v="115"/>
    <x v="69"/>
    <x v="119"/>
    <x v="134"/>
    <x v="126"/>
    <x v="109"/>
    <x v="131"/>
    <x v="104"/>
    <x v="127"/>
    <x v="116"/>
    <x v="131"/>
    <n v="130.19999999999999"/>
    <n v="122.3"/>
    <n v="129"/>
    <n v="125.1"/>
    <n v="122.6"/>
    <n v="115.2"/>
    <n v="122"/>
    <n v="132.4"/>
    <n v="120.9"/>
    <n v="122.1"/>
    <n v="127.8"/>
    <n v="132.77142857142857"/>
    <n v="127.16666666666667"/>
    <n v="129.6"/>
    <n v="118"/>
    <n v="123.03333333333332"/>
    <n v="630.57142857142856"/>
  </r>
  <r>
    <x v="2"/>
    <x v="4"/>
    <x v="0"/>
    <x v="106"/>
    <x v="104"/>
    <x v="111"/>
    <x v="118"/>
    <x v="102"/>
    <x v="120"/>
    <x v="135"/>
    <x v="127"/>
    <x v="105"/>
    <x v="132"/>
    <x v="102"/>
    <x v="128"/>
    <x v="117"/>
    <x v="132"/>
    <n v="136.6"/>
    <n v="130.19999999999999"/>
    <n v="135.6"/>
    <n v="129.4"/>
    <n v="127.1"/>
    <n v="117"/>
    <n v="124.2"/>
    <n v="133.30000000000001"/>
    <n v="121.7"/>
    <n v="124.4"/>
    <n v="130.30000000000001"/>
    <n v="133.64999999999995"/>
    <n v="134.13333333333333"/>
    <n v="129.6"/>
    <n v="126.8"/>
    <n v="125.45"/>
    <n v="649.63333333333333"/>
  </r>
  <r>
    <x v="0"/>
    <x v="4"/>
    <x v="1"/>
    <x v="107"/>
    <x v="115"/>
    <x v="112"/>
    <x v="119"/>
    <x v="103"/>
    <x v="121"/>
    <x v="136"/>
    <x v="128"/>
    <x v="110"/>
    <x v="133"/>
    <x v="105"/>
    <x v="129"/>
    <x v="94"/>
    <x v="133"/>
    <n v="140.9"/>
    <n v="135.80000000000001"/>
    <n v="140.19999999999999"/>
    <n v="133.6"/>
    <n v="130.1"/>
    <n v="119.5"/>
    <n v="127.7"/>
    <n v="134.9"/>
    <n v="123.2"/>
    <n v="127"/>
    <n v="132.6"/>
    <n v="134.15714285714287"/>
    <n v="138.96666666666667"/>
    <n v="130.5"/>
    <n v="133.19999999999999"/>
    <n v="128.16666666666666"/>
    <n v="664.99047619047622"/>
  </r>
  <r>
    <x v="1"/>
    <x v="4"/>
    <x v="1"/>
    <x v="106"/>
    <x v="116"/>
    <x v="112"/>
    <x v="102"/>
    <x v="104"/>
    <x v="122"/>
    <x v="137"/>
    <x v="129"/>
    <x v="111"/>
    <x v="134"/>
    <x v="106"/>
    <x v="130"/>
    <x v="85"/>
    <x v="134"/>
    <n v="130.5"/>
    <n v="122.5"/>
    <n v="129.30000000000001"/>
    <n v="125.3"/>
    <n v="122.9"/>
    <n v="115.5"/>
    <n v="122.2"/>
    <n v="132.4"/>
    <n v="121.7"/>
    <n v="122.4"/>
    <n v="128.19999999999999"/>
    <n v="132.25714285714287"/>
    <n v="127.43333333333334"/>
    <n v="130.5"/>
    <n v="119.2"/>
    <n v="123.33333333333333"/>
    <n v="632.72380952380956"/>
  </r>
  <r>
    <x v="2"/>
    <x v="4"/>
    <x v="1"/>
    <x v="104"/>
    <x v="102"/>
    <x v="112"/>
    <x v="120"/>
    <x v="105"/>
    <x v="123"/>
    <x v="138"/>
    <x v="130"/>
    <x v="109"/>
    <x v="135"/>
    <x v="107"/>
    <x v="131"/>
    <x v="118"/>
    <x v="135"/>
    <n v="136.80000000000001"/>
    <n v="130.30000000000001"/>
    <n v="135.9"/>
    <n v="129.69999999999999"/>
    <n v="127.4"/>
    <n v="117.4"/>
    <n v="124.6"/>
    <n v="133.4"/>
    <n v="122.6"/>
    <n v="124.8"/>
    <n v="130.6"/>
    <n v="133.33571428571432"/>
    <n v="134.33333333333334"/>
    <n v="130.5"/>
    <n v="127.9"/>
    <n v="125.85000000000001"/>
    <n v="651.91904761904766"/>
  </r>
  <r>
    <x v="0"/>
    <x v="4"/>
    <x v="2"/>
    <x v="108"/>
    <x v="102"/>
    <x v="113"/>
    <x v="119"/>
    <x v="100"/>
    <x v="124"/>
    <x v="139"/>
    <x v="131"/>
    <x v="112"/>
    <x v="136"/>
    <x v="108"/>
    <x v="132"/>
    <x v="119"/>
    <x v="136"/>
    <n v="141.6"/>
    <n v="136.19999999999999"/>
    <n v="140.80000000000001"/>
    <n v="134.1"/>
    <n v="130.6"/>
    <n v="119.8"/>
    <n v="128.30000000000001"/>
    <n v="135.19999999999999"/>
    <n v="123.3"/>
    <n v="127.4"/>
    <n v="132.80000000000001"/>
    <n v="133.76428571428573"/>
    <n v="139.53333333333333"/>
    <n v="131.1"/>
    <n v="134.19999999999999"/>
    <n v="128.54999999999998"/>
    <n v="667.14761904761895"/>
  </r>
  <r>
    <x v="1"/>
    <x v="4"/>
    <x v="2"/>
    <x v="109"/>
    <x v="117"/>
    <x v="114"/>
    <x v="121"/>
    <x v="69"/>
    <x v="125"/>
    <x v="36"/>
    <x v="132"/>
    <x v="113"/>
    <x v="137"/>
    <x v="85"/>
    <x v="117"/>
    <x v="84"/>
    <x v="137"/>
    <n v="130.80000000000001"/>
    <n v="122.8"/>
    <n v="129.6"/>
    <n v="125.6"/>
    <n v="123.1"/>
    <n v="115.6"/>
    <n v="122.4"/>
    <n v="132.80000000000001"/>
    <n v="121.7"/>
    <n v="122.6"/>
    <n v="128.69999999999999"/>
    <n v="132.37142857142857"/>
    <n v="127.73333333333335"/>
    <n v="131.1"/>
    <n v="120.8"/>
    <n v="123.53333333333335"/>
    <n v="635.53809523809514"/>
  </r>
  <r>
    <x v="2"/>
    <x v="4"/>
    <x v="2"/>
    <x v="107"/>
    <x v="118"/>
    <x v="84"/>
    <x v="114"/>
    <x v="106"/>
    <x v="126"/>
    <x v="43"/>
    <x v="133"/>
    <x v="114"/>
    <x v="138"/>
    <x v="109"/>
    <x v="133"/>
    <x v="117"/>
    <x v="138"/>
    <n v="137.30000000000001"/>
    <n v="130.6"/>
    <n v="136.4"/>
    <n v="130.1"/>
    <n v="127.8"/>
    <n v="117.6"/>
    <n v="125"/>
    <n v="133.80000000000001"/>
    <n v="122.6"/>
    <n v="125.1"/>
    <n v="130.9"/>
    <n v="133.14285714285714"/>
    <n v="134.76666666666665"/>
    <n v="131.1"/>
    <n v="129.1"/>
    <n v="126.14999999999999"/>
    <n v="654.25952380952378"/>
  </r>
  <r>
    <x v="0"/>
    <x v="4"/>
    <x v="3"/>
    <x v="110"/>
    <x v="119"/>
    <x v="80"/>
    <x v="122"/>
    <x v="107"/>
    <x v="127"/>
    <x v="140"/>
    <x v="134"/>
    <x v="115"/>
    <x v="139"/>
    <x v="110"/>
    <x v="134"/>
    <x v="120"/>
    <x v="135"/>
    <n v="142.4"/>
    <n v="136.80000000000001"/>
    <n v="141.6"/>
    <n v="134.30000000000001"/>
    <n v="131"/>
    <n v="119.2"/>
    <n v="128.30000000000001"/>
    <n v="135.69999999999999"/>
    <n v="123.7"/>
    <n v="127.5"/>
    <n v="132.9"/>
    <n v="133.62142857142857"/>
    <n v="140.26666666666668"/>
    <n v="131.69999999999999"/>
    <n v="135"/>
    <n v="128.70000000000002"/>
    <n v="669.28809523809537"/>
  </r>
  <r>
    <x v="1"/>
    <x v="4"/>
    <x v="3"/>
    <x v="109"/>
    <x v="120"/>
    <x v="37"/>
    <x v="114"/>
    <x v="66"/>
    <x v="128"/>
    <x v="141"/>
    <x v="74"/>
    <x v="116"/>
    <x v="140"/>
    <x v="111"/>
    <x v="135"/>
    <x v="119"/>
    <x v="139"/>
    <n v="131.19999999999999"/>
    <n v="123"/>
    <n v="130"/>
    <n v="126"/>
    <n v="123.4"/>
    <n v="114.3"/>
    <n v="122.6"/>
    <n v="133.6"/>
    <n v="122.2"/>
    <n v="122.5"/>
    <n v="129.1"/>
    <n v="132.57857142857142"/>
    <n v="128.06666666666666"/>
    <n v="131.69999999999999"/>
    <n v="121.4"/>
    <n v="123.68333333333334"/>
    <n v="637.42857142857133"/>
  </r>
  <r>
    <x v="2"/>
    <x v="4"/>
    <x v="3"/>
    <x v="111"/>
    <x v="117"/>
    <x v="115"/>
    <x v="119"/>
    <x v="108"/>
    <x v="129"/>
    <x v="142"/>
    <x v="135"/>
    <x v="117"/>
    <x v="141"/>
    <x v="112"/>
    <x v="136"/>
    <x v="120"/>
    <x v="140"/>
    <n v="138"/>
    <n v="131.1"/>
    <n v="137"/>
    <n v="130.4"/>
    <n v="128.1"/>
    <n v="116.6"/>
    <n v="125.1"/>
    <n v="134.5"/>
    <n v="123.1"/>
    <n v="125.1"/>
    <n v="131.1"/>
    <n v="133.12857142857143"/>
    <n v="135.36666666666667"/>
    <n v="131.69999999999999"/>
    <n v="129.80000000000001"/>
    <n v="126.30000000000001"/>
    <n v="656.29523809523812"/>
  </r>
  <r>
    <x v="0"/>
    <x v="4"/>
    <x v="4"/>
    <x v="104"/>
    <x v="103"/>
    <x v="116"/>
    <x v="123"/>
    <x v="96"/>
    <x v="110"/>
    <x v="143"/>
    <x v="136"/>
    <x v="118"/>
    <x v="142"/>
    <x v="113"/>
    <x v="137"/>
    <x v="121"/>
    <x v="141"/>
    <n v="142.5"/>
    <n v="137.30000000000001"/>
    <n v="141.80000000000001"/>
    <n v="134.9"/>
    <n v="131.4"/>
    <n v="119.4"/>
    <n v="129.4"/>
    <n v="136.30000000000001"/>
    <n v="123.7"/>
    <n v="127.9"/>
    <n v="133.30000000000001"/>
    <n v="133.78571428571425"/>
    <n v="140.53333333333333"/>
    <n v="132.1"/>
    <n v="135"/>
    <n v="129.18333333333337"/>
    <n v="670.60238095238094"/>
  </r>
  <r>
    <x v="1"/>
    <x v="4"/>
    <x v="4"/>
    <x v="101"/>
    <x v="121"/>
    <x v="117"/>
    <x v="124"/>
    <x v="109"/>
    <x v="130"/>
    <x v="17"/>
    <x v="137"/>
    <x v="119"/>
    <x v="143"/>
    <x v="111"/>
    <x v="138"/>
    <x v="94"/>
    <x v="142"/>
    <n v="131.5"/>
    <n v="123.2"/>
    <n v="130.19999999999999"/>
    <n v="126.5"/>
    <n v="123.6"/>
    <n v="114.3"/>
    <n v="122.8"/>
    <n v="133.80000000000001"/>
    <n v="122"/>
    <n v="122.6"/>
    <n v="129.30000000000001"/>
    <n v="132.70714285714286"/>
    <n v="128.29999999999998"/>
    <n v="132.1"/>
    <n v="120.1"/>
    <n v="123.83333333333333"/>
    <n v="637.04047619047628"/>
  </r>
  <r>
    <x v="2"/>
    <x v="4"/>
    <x v="4"/>
    <x v="112"/>
    <x v="122"/>
    <x v="58"/>
    <x v="122"/>
    <x v="110"/>
    <x v="131"/>
    <x v="144"/>
    <x v="138"/>
    <x v="120"/>
    <x v="133"/>
    <x v="114"/>
    <x v="139"/>
    <x v="115"/>
    <x v="143"/>
    <n v="138.19999999999999"/>
    <n v="131.4"/>
    <n v="137.19999999999999"/>
    <n v="130.9"/>
    <n v="128.4"/>
    <n v="116.7"/>
    <n v="125.7"/>
    <n v="134.80000000000001"/>
    <n v="123"/>
    <n v="125.3"/>
    <n v="131.4"/>
    <n v="133.27142857142857"/>
    <n v="135.6"/>
    <n v="132.1"/>
    <n v="129.4"/>
    <n v="126.58333333333333"/>
    <n v="656.95476190476188"/>
  </r>
  <r>
    <x v="0"/>
    <x v="4"/>
    <x v="5"/>
    <x v="113"/>
    <x v="123"/>
    <x v="118"/>
    <x v="125"/>
    <x v="111"/>
    <x v="132"/>
    <x v="145"/>
    <x v="139"/>
    <x v="121"/>
    <x v="144"/>
    <x v="115"/>
    <x v="140"/>
    <x v="122"/>
    <x v="144"/>
    <n v="143.1"/>
    <n v="137.69999999999999"/>
    <n v="142.30000000000001"/>
    <n v="135.19999999999999"/>
    <n v="131.30000000000001"/>
    <n v="119.4"/>
    <n v="129.80000000000001"/>
    <n v="136.9"/>
    <n v="124.1"/>
    <n v="128.1"/>
    <n v="133.9"/>
    <n v="134.61428571428573"/>
    <n v="141.03333333333333"/>
    <n v="131.4"/>
    <n v="134.80000000000001"/>
    <n v="129.45000000000002"/>
    <n v="671.29761904761904"/>
  </r>
  <r>
    <x v="1"/>
    <x v="4"/>
    <x v="5"/>
    <x v="112"/>
    <x v="124"/>
    <x v="96"/>
    <x v="126"/>
    <x v="66"/>
    <x v="133"/>
    <x v="146"/>
    <x v="140"/>
    <x v="122"/>
    <x v="123"/>
    <x v="87"/>
    <x v="120"/>
    <x v="106"/>
    <x v="145"/>
    <n v="131.5"/>
    <n v="123.2"/>
    <n v="130.19999999999999"/>
    <n v="126.8"/>
    <n v="123.8"/>
    <n v="113.9"/>
    <n v="122.9"/>
    <n v="134.30000000000001"/>
    <n v="122.5"/>
    <n v="122.7"/>
    <n v="129.9"/>
    <n v="134.25714285714287"/>
    <n v="128.29999999999998"/>
    <n v="131.4"/>
    <n v="119"/>
    <n v="124.03333333333335"/>
    <n v="636.9904761904761"/>
  </r>
  <r>
    <x v="2"/>
    <x v="4"/>
    <x v="5"/>
    <x v="107"/>
    <x v="125"/>
    <x v="119"/>
    <x v="127"/>
    <x v="86"/>
    <x v="112"/>
    <x v="147"/>
    <x v="141"/>
    <x v="123"/>
    <x v="112"/>
    <x v="116"/>
    <x v="141"/>
    <x v="111"/>
    <x v="146"/>
    <n v="138.5"/>
    <n v="131.69999999999999"/>
    <n v="137.5"/>
    <n v="131.19999999999999"/>
    <n v="128.5"/>
    <n v="116.5"/>
    <n v="125.9"/>
    <n v="135.4"/>
    <n v="123.4"/>
    <n v="125.5"/>
    <n v="132"/>
    <n v="134.37142857142857"/>
    <n v="135.9"/>
    <n v="131.4"/>
    <n v="128.80000000000001"/>
    <n v="126.81666666666666"/>
    <n v="657.28809523809514"/>
  </r>
  <r>
    <x v="0"/>
    <x v="4"/>
    <x v="6"/>
    <x v="114"/>
    <x v="100"/>
    <x v="120"/>
    <x v="128"/>
    <x v="111"/>
    <x v="134"/>
    <x v="148"/>
    <x v="142"/>
    <x v="124"/>
    <x v="107"/>
    <x v="117"/>
    <x v="142"/>
    <x v="123"/>
    <x v="147"/>
    <n v="144.30000000000001"/>
    <n v="138.1"/>
    <n v="143.5"/>
    <n v="136.1"/>
    <n v="132.1"/>
    <n v="119.1"/>
    <n v="130.6"/>
    <n v="138.6"/>
    <n v="124.4"/>
    <n v="128.6"/>
    <n v="136.19999999999999"/>
    <n v="137.16428571428574"/>
    <n v="141.96666666666667"/>
    <n v="132.6"/>
    <n v="135.30000000000001"/>
    <n v="130.15"/>
    <n v="677.18095238095236"/>
  </r>
  <r>
    <x v="1"/>
    <x v="4"/>
    <x v="6"/>
    <x v="106"/>
    <x v="126"/>
    <x v="121"/>
    <x v="122"/>
    <x v="109"/>
    <x v="135"/>
    <x v="149"/>
    <x v="143"/>
    <x v="125"/>
    <x v="145"/>
    <x v="90"/>
    <x v="143"/>
    <x v="101"/>
    <x v="148"/>
    <n v="131.6"/>
    <n v="123.7"/>
    <n v="130.4"/>
    <n v="127.2"/>
    <n v="125"/>
    <n v="113.2"/>
    <n v="123.5"/>
    <n v="135.5"/>
    <n v="122.4"/>
    <n v="123"/>
    <n v="131.80000000000001"/>
    <n v="137.04285714285714"/>
    <n v="128.56666666666669"/>
    <n v="132.6"/>
    <n v="119.7"/>
    <n v="124.46666666666665"/>
    <n v="642.37619047619057"/>
  </r>
  <r>
    <x v="2"/>
    <x v="4"/>
    <x v="6"/>
    <x v="108"/>
    <x v="127"/>
    <x v="97"/>
    <x v="129"/>
    <x v="110"/>
    <x v="127"/>
    <x v="150"/>
    <x v="144"/>
    <x v="126"/>
    <x v="146"/>
    <x v="118"/>
    <x v="137"/>
    <x v="124"/>
    <x v="149"/>
    <n v="139.30000000000001"/>
    <n v="132.1"/>
    <n v="138.30000000000001"/>
    <n v="131.9"/>
    <n v="129.4"/>
    <n v="116"/>
    <n v="126.6"/>
    <n v="136.80000000000001"/>
    <n v="123.6"/>
    <n v="125.9"/>
    <n v="134.19999999999999"/>
    <n v="136.97142857142856"/>
    <n v="136.56666666666666"/>
    <n v="132.6"/>
    <n v="129.4"/>
    <n v="127.38333333333334"/>
    <n v="662.92142857142858"/>
  </r>
  <r>
    <x v="0"/>
    <x v="4"/>
    <x v="7"/>
    <x v="115"/>
    <x v="128"/>
    <x v="122"/>
    <x v="130"/>
    <x v="112"/>
    <x v="136"/>
    <x v="151"/>
    <x v="73"/>
    <x v="116"/>
    <x v="147"/>
    <x v="119"/>
    <x v="144"/>
    <x v="125"/>
    <x v="150"/>
    <n v="145.30000000000001"/>
    <n v="139.19999999999999"/>
    <n v="144.5"/>
    <n v="137.30000000000001"/>
    <n v="133"/>
    <n v="120.3"/>
    <n v="131.5"/>
    <n v="140.19999999999999"/>
    <n v="125.4"/>
    <n v="129.69999999999999"/>
    <n v="137.80000000000001"/>
    <n v="138.67857142857142"/>
    <n v="143"/>
    <n v="134.4"/>
    <n v="136.4"/>
    <n v="131.28333333333333"/>
    <n v="683.7619047619047"/>
  </r>
  <r>
    <x v="1"/>
    <x v="4"/>
    <x v="7"/>
    <x v="110"/>
    <x v="97"/>
    <x v="96"/>
    <x v="131"/>
    <x v="63"/>
    <x v="137"/>
    <x v="152"/>
    <x v="145"/>
    <x v="127"/>
    <x v="118"/>
    <x v="120"/>
    <x v="139"/>
    <x v="126"/>
    <x v="151"/>
    <n v="132.69999999999999"/>
    <n v="124.3"/>
    <n v="131.4"/>
    <n v="127.7"/>
    <n v="125.7"/>
    <n v="114.6"/>
    <n v="124.1"/>
    <n v="135.69999999999999"/>
    <n v="123.3"/>
    <n v="123.8"/>
    <n v="132.69999999999999"/>
    <n v="137.50714285714284"/>
    <n v="129.46666666666667"/>
    <n v="134.4"/>
    <n v="118.9"/>
    <n v="125.18333333333332"/>
    <n v="645.4571428571428"/>
  </r>
  <r>
    <x v="2"/>
    <x v="4"/>
    <x v="7"/>
    <x v="116"/>
    <x v="129"/>
    <x v="112"/>
    <x v="128"/>
    <x v="110"/>
    <x v="138"/>
    <x v="58"/>
    <x v="146"/>
    <x v="128"/>
    <x v="136"/>
    <x v="98"/>
    <x v="145"/>
    <x v="125"/>
    <x v="152"/>
    <n v="140.30000000000001"/>
    <n v="133"/>
    <n v="139.30000000000001"/>
    <n v="132.80000000000001"/>
    <n v="130.19999999999999"/>
    <n v="117.3"/>
    <n v="127.3"/>
    <n v="137.6"/>
    <n v="124.5"/>
    <n v="126.8"/>
    <n v="135.4"/>
    <n v="138.1142857142857"/>
    <n v="137.53333333333333"/>
    <n v="134.4"/>
    <n v="129.80000000000001"/>
    <n v="128.28333333333333"/>
    <n v="668.13095238095229"/>
  </r>
  <r>
    <x v="0"/>
    <x v="4"/>
    <x v="8"/>
    <x v="117"/>
    <x v="130"/>
    <x v="102"/>
    <x v="132"/>
    <x v="113"/>
    <x v="139"/>
    <x v="153"/>
    <x v="147"/>
    <x v="119"/>
    <x v="147"/>
    <x v="121"/>
    <x v="146"/>
    <x v="127"/>
    <x v="152"/>
    <n v="146.1"/>
    <n v="139.69999999999999"/>
    <n v="145.19999999999999"/>
    <n v="137.9"/>
    <n v="133.4"/>
    <n v="121.2"/>
    <n v="132.30000000000001"/>
    <n v="139.6"/>
    <n v="126.7"/>
    <n v="130.30000000000001"/>
    <n v="137.6"/>
    <n v="138.15"/>
    <n v="143.66666666666666"/>
    <n v="135.69999999999999"/>
    <n v="137.4"/>
    <n v="131.85"/>
    <n v="686.76666666666665"/>
  </r>
  <r>
    <x v="1"/>
    <x v="4"/>
    <x v="8"/>
    <x v="108"/>
    <x v="131"/>
    <x v="123"/>
    <x v="133"/>
    <x v="85"/>
    <x v="140"/>
    <x v="154"/>
    <x v="148"/>
    <x v="129"/>
    <x v="148"/>
    <x v="80"/>
    <x v="147"/>
    <x v="103"/>
    <x v="153"/>
    <n v="133.30000000000001"/>
    <n v="124.6"/>
    <n v="132"/>
    <n v="128.1"/>
    <n v="126.1"/>
    <n v="115.7"/>
    <n v="124.5"/>
    <n v="135.9"/>
    <n v="124.4"/>
    <n v="124.5"/>
    <n v="132.4"/>
    <n v="135.94999999999999"/>
    <n v="129.96666666666667"/>
    <n v="135.69999999999999"/>
    <n v="120.6"/>
    <n v="125.78333333333332"/>
    <n v="647.99999999999989"/>
  </r>
  <r>
    <x v="2"/>
    <x v="4"/>
    <x v="8"/>
    <x v="118"/>
    <x v="132"/>
    <x v="105"/>
    <x v="134"/>
    <x v="108"/>
    <x v="141"/>
    <x v="155"/>
    <x v="149"/>
    <x v="125"/>
    <x v="136"/>
    <x v="95"/>
    <x v="148"/>
    <x v="124"/>
    <x v="154"/>
    <n v="141.1"/>
    <n v="133.4"/>
    <n v="140"/>
    <n v="133.30000000000001"/>
    <n v="130.6"/>
    <n v="118.3"/>
    <n v="127.9"/>
    <n v="137.4"/>
    <n v="125.7"/>
    <n v="127.5"/>
    <n v="135.19999999999999"/>
    <n v="137.19999999999999"/>
    <n v="138.16666666666666"/>
    <n v="135.69999999999999"/>
    <n v="131"/>
    <n v="128.86666666666667"/>
    <n v="670.93333333333328"/>
  </r>
  <r>
    <x v="0"/>
    <x v="4"/>
    <x v="9"/>
    <x v="119"/>
    <x v="133"/>
    <x v="124"/>
    <x v="135"/>
    <x v="114"/>
    <x v="142"/>
    <x v="156"/>
    <x v="150"/>
    <x v="130"/>
    <x v="136"/>
    <x v="122"/>
    <x v="149"/>
    <x v="128"/>
    <x v="148"/>
    <n v="147.19999999999999"/>
    <n v="140.6"/>
    <n v="146.19999999999999"/>
    <n v="138.4"/>
    <n v="134.19999999999999"/>
    <n v="121"/>
    <n v="133"/>
    <n v="140.1"/>
    <n v="127.4"/>
    <n v="130.69999999999999"/>
    <n v="138.30000000000001"/>
    <n v="138.67142857142855"/>
    <n v="144.66666666666666"/>
    <n v="137.30000000000001"/>
    <n v="138.1"/>
    <n v="132.35"/>
    <n v="691.08809523809521"/>
  </r>
  <r>
    <x v="1"/>
    <x v="4"/>
    <x v="9"/>
    <x v="120"/>
    <x v="134"/>
    <x v="125"/>
    <x v="136"/>
    <x v="77"/>
    <x v="117"/>
    <x v="157"/>
    <x v="151"/>
    <x v="131"/>
    <x v="145"/>
    <x v="123"/>
    <x v="134"/>
    <x v="129"/>
    <x v="155"/>
    <n v="134"/>
    <n v="124.9"/>
    <n v="132.6"/>
    <n v="128.30000000000001"/>
    <n v="126.6"/>
    <n v="115"/>
    <n v="124.8"/>
    <n v="136.30000000000001"/>
    <n v="124.6"/>
    <n v="124.5"/>
    <n v="133.5"/>
    <n v="137.16428571428568"/>
    <n v="130.5"/>
    <n v="137.30000000000001"/>
    <n v="122.6"/>
    <n v="125.93333333333334"/>
    <n v="653.49761904761908"/>
  </r>
  <r>
    <x v="2"/>
    <x v="4"/>
    <x v="9"/>
    <x v="121"/>
    <x v="135"/>
    <x v="126"/>
    <x v="137"/>
    <x v="115"/>
    <x v="143"/>
    <x v="158"/>
    <x v="152"/>
    <x v="132"/>
    <x v="115"/>
    <x v="98"/>
    <x v="150"/>
    <x v="130"/>
    <x v="156"/>
    <n v="142"/>
    <n v="134.1"/>
    <n v="140.80000000000001"/>
    <n v="133.6"/>
    <n v="131.30000000000001"/>
    <n v="117.8"/>
    <n v="128.4"/>
    <n v="137.9"/>
    <n v="126.2"/>
    <n v="127.7"/>
    <n v="136.1"/>
    <n v="137.94999999999999"/>
    <n v="138.96666666666667"/>
    <n v="137.30000000000001"/>
    <n v="132.19999999999999"/>
    <n v="129.20000000000002"/>
    <n v="675.61666666666667"/>
  </r>
  <r>
    <x v="0"/>
    <x v="4"/>
    <x v="10"/>
    <x v="122"/>
    <x v="136"/>
    <x v="127"/>
    <x v="135"/>
    <x v="100"/>
    <x v="144"/>
    <x v="159"/>
    <x v="132"/>
    <x v="133"/>
    <x v="133"/>
    <x v="124"/>
    <x v="151"/>
    <x v="131"/>
    <x v="151"/>
    <n v="148.19999999999999"/>
    <n v="141.5"/>
    <n v="147.30000000000001"/>
    <n v="139.4"/>
    <n v="135.80000000000001"/>
    <n v="121.6"/>
    <n v="133.69999999999999"/>
    <n v="141.5"/>
    <n v="128.1"/>
    <n v="131.69999999999999"/>
    <n v="140"/>
    <n v="140.70000000000002"/>
    <n v="145.66666666666666"/>
    <n v="138.6"/>
    <n v="141.1"/>
    <n v="133.35"/>
    <n v="699.41666666666674"/>
  </r>
  <r>
    <x v="1"/>
    <x v="4"/>
    <x v="10"/>
    <x v="116"/>
    <x v="94"/>
    <x v="128"/>
    <x v="138"/>
    <x v="116"/>
    <x v="145"/>
    <x v="160"/>
    <x v="153"/>
    <x v="134"/>
    <x v="149"/>
    <x v="84"/>
    <x v="152"/>
    <x v="132"/>
    <x v="157"/>
    <n v="135"/>
    <n v="125.4"/>
    <n v="133.5"/>
    <n v="128.80000000000001"/>
    <n v="127.4"/>
    <n v="115.3"/>
    <n v="125.1"/>
    <n v="136.6"/>
    <n v="124.9"/>
    <n v="124.9"/>
    <n v="134.80000000000001"/>
    <n v="139.49285714285716"/>
    <n v="131.29999999999998"/>
    <n v="138.6"/>
    <n v="125.7"/>
    <n v="126.35000000000001"/>
    <n v="661.44285714285718"/>
  </r>
  <r>
    <x v="2"/>
    <x v="4"/>
    <x v="10"/>
    <x v="123"/>
    <x v="132"/>
    <x v="129"/>
    <x v="139"/>
    <x v="105"/>
    <x v="146"/>
    <x v="161"/>
    <x v="154"/>
    <x v="135"/>
    <x v="126"/>
    <x v="125"/>
    <x v="153"/>
    <x v="133"/>
    <x v="158"/>
    <n v="143"/>
    <n v="134.80000000000001"/>
    <n v="141.80000000000001"/>
    <n v="134.4"/>
    <n v="132.6"/>
    <n v="118.3"/>
    <n v="128.9"/>
    <n v="138.6"/>
    <n v="126.8"/>
    <n v="128.4"/>
    <n v="137.6"/>
    <n v="140.1"/>
    <n v="139.86666666666667"/>
    <n v="138.6"/>
    <n v="135.30000000000001"/>
    <n v="129.93333333333334"/>
    <n v="683.80000000000018"/>
  </r>
  <r>
    <x v="0"/>
    <x v="4"/>
    <x v="11"/>
    <x v="124"/>
    <x v="123"/>
    <x v="130"/>
    <x v="140"/>
    <x v="117"/>
    <x v="147"/>
    <x v="162"/>
    <x v="74"/>
    <x v="136"/>
    <x v="91"/>
    <x v="126"/>
    <x v="151"/>
    <x v="132"/>
    <x v="158"/>
    <n v="148"/>
    <n v="141.9"/>
    <n v="147.19999999999999"/>
    <n v="139.5"/>
    <n v="136.1"/>
    <n v="122"/>
    <n v="133.4"/>
    <n v="141.1"/>
    <n v="127.8"/>
    <n v="131.9"/>
    <n v="139.80000000000001"/>
    <n v="140.48571428571429"/>
    <n v="145.69999999999999"/>
    <n v="139.1"/>
    <n v="142.6"/>
    <n v="133.31666666666666"/>
    <n v="701.20238095238096"/>
  </r>
  <r>
    <x v="1"/>
    <x v="4"/>
    <x v="11"/>
    <x v="125"/>
    <x v="137"/>
    <x v="131"/>
    <x v="138"/>
    <x v="118"/>
    <x v="148"/>
    <x v="163"/>
    <x v="155"/>
    <x v="137"/>
    <x v="103"/>
    <x v="127"/>
    <x v="154"/>
    <x v="134"/>
    <x v="159"/>
    <n v="135.6"/>
    <n v="125.6"/>
    <n v="134"/>
    <n v="129.30000000000001"/>
    <n v="128.19999999999999"/>
    <n v="115.3"/>
    <n v="125.6"/>
    <n v="136.69999999999999"/>
    <n v="124.6"/>
    <n v="125.1"/>
    <n v="134.1"/>
    <n v="137.46428571428572"/>
    <n v="131.73333333333332"/>
    <n v="139.1"/>
    <n v="126.8"/>
    <n v="126.61666666666666"/>
    <n v="661.71428571428567"/>
  </r>
  <r>
    <x v="2"/>
    <x v="4"/>
    <x v="11"/>
    <x v="126"/>
    <x v="138"/>
    <x v="132"/>
    <x v="141"/>
    <x v="112"/>
    <x v="143"/>
    <x v="164"/>
    <x v="156"/>
    <x v="125"/>
    <x v="94"/>
    <x v="95"/>
    <x v="155"/>
    <x v="126"/>
    <x v="160"/>
    <n v="143.1"/>
    <n v="135.1"/>
    <n v="142"/>
    <n v="134.69999999999999"/>
    <n v="133.1"/>
    <n v="118.5"/>
    <n v="129"/>
    <n v="138.5"/>
    <n v="126.5"/>
    <n v="128.6"/>
    <n v="137.19999999999999"/>
    <n v="139.22857142857143"/>
    <n v="140.06666666666666"/>
    <n v="139.1"/>
    <n v="136.6"/>
    <n v="130.04999999999998"/>
    <n v="685.04523809523812"/>
  </r>
  <r>
    <x v="0"/>
    <x v="5"/>
    <x v="0"/>
    <x v="127"/>
    <x v="139"/>
    <x v="133"/>
    <x v="142"/>
    <x v="119"/>
    <x v="149"/>
    <x v="165"/>
    <x v="157"/>
    <x v="111"/>
    <x v="133"/>
    <x v="128"/>
    <x v="156"/>
    <x v="128"/>
    <x v="153"/>
    <n v="148.30000000000001"/>
    <n v="142.30000000000001"/>
    <n v="147.5"/>
    <n v="139.80000000000001"/>
    <n v="136"/>
    <n v="122.7"/>
    <n v="134.30000000000001"/>
    <n v="141.6"/>
    <n v="128.6"/>
    <n v="132.30000000000001"/>
    <n v="139.30000000000001"/>
    <n v="139.59285714285713"/>
    <n v="146.03333333333333"/>
    <n v="140.4"/>
    <n v="142.30000000000001"/>
    <n v="133.83333333333334"/>
    <n v="702.15952380952388"/>
  </r>
  <r>
    <x v="1"/>
    <x v="5"/>
    <x v="0"/>
    <x v="128"/>
    <x v="123"/>
    <x v="134"/>
    <x v="134"/>
    <x v="91"/>
    <x v="150"/>
    <x v="166"/>
    <x v="158"/>
    <x v="109"/>
    <x v="150"/>
    <x v="129"/>
    <x v="145"/>
    <x v="105"/>
    <x v="161"/>
    <n v="136"/>
    <n v="125.9"/>
    <n v="134.4"/>
    <n v="129.5"/>
    <n v="129"/>
    <n v="116.3"/>
    <n v="126.2"/>
    <n v="137.1"/>
    <n v="125.5"/>
    <n v="125.8"/>
    <n v="134.1"/>
    <n v="136.14285714285717"/>
    <n v="132.1"/>
    <n v="140.4"/>
    <n v="127.3"/>
    <n v="127.26666666666667"/>
    <n v="663.20952380952372"/>
  </r>
  <r>
    <x v="2"/>
    <x v="5"/>
    <x v="0"/>
    <x v="129"/>
    <x v="100"/>
    <x v="135"/>
    <x v="143"/>
    <x v="113"/>
    <x v="151"/>
    <x v="167"/>
    <x v="159"/>
    <x v="138"/>
    <x v="118"/>
    <x v="103"/>
    <x v="157"/>
    <x v="135"/>
    <x v="162"/>
    <n v="143.5"/>
    <n v="135.5"/>
    <n v="142.30000000000001"/>
    <n v="134.9"/>
    <n v="133.30000000000001"/>
    <n v="119.3"/>
    <n v="129.69999999999999"/>
    <n v="139"/>
    <n v="127.3"/>
    <n v="129.1"/>
    <n v="136.9"/>
    <n v="138.18571428571428"/>
    <n v="140.43333333333334"/>
    <n v="140.4"/>
    <n v="136.6"/>
    <n v="130.58333333333334"/>
    <n v="686.20238095238096"/>
  </r>
  <r>
    <x v="0"/>
    <x v="5"/>
    <x v="1"/>
    <x v="124"/>
    <x v="123"/>
    <x v="136"/>
    <x v="135"/>
    <x v="120"/>
    <x v="152"/>
    <x v="168"/>
    <x v="160"/>
    <x v="139"/>
    <x v="136"/>
    <x v="130"/>
    <x v="158"/>
    <x v="136"/>
    <x v="163"/>
    <n v="148.69999999999999"/>
    <n v="142.4"/>
    <n v="147.80000000000001"/>
    <n v="139.9"/>
    <n v="136.19999999999999"/>
    <n v="123.3"/>
    <n v="134.30000000000001"/>
    <n v="141.5"/>
    <n v="128.80000000000001"/>
    <n v="132.5"/>
    <n v="138.5"/>
    <n v="138.19999999999999"/>
    <n v="146.30000000000001"/>
    <n v="141.30000000000001"/>
    <n v="142.4"/>
    <n v="134"/>
    <n v="702.2"/>
  </r>
  <r>
    <x v="1"/>
    <x v="5"/>
    <x v="1"/>
    <x v="115"/>
    <x v="131"/>
    <x v="137"/>
    <x v="144"/>
    <x v="121"/>
    <x v="105"/>
    <x v="169"/>
    <x v="161"/>
    <x v="103"/>
    <x v="151"/>
    <x v="129"/>
    <x v="159"/>
    <x v="137"/>
    <x v="164"/>
    <n v="136.30000000000001"/>
    <n v="126.1"/>
    <n v="134.69999999999999"/>
    <n v="129.9"/>
    <n v="129.80000000000001"/>
    <n v="117.4"/>
    <n v="126.5"/>
    <n v="137.19999999999999"/>
    <n v="126.2"/>
    <n v="126.5"/>
    <n v="134"/>
    <n v="134.80000000000001"/>
    <n v="132.36666666666665"/>
    <n v="141.30000000000001"/>
    <n v="127.3"/>
    <n v="127.83333333333333"/>
    <n v="663.6"/>
  </r>
  <r>
    <x v="2"/>
    <x v="5"/>
    <x v="1"/>
    <x v="119"/>
    <x v="140"/>
    <x v="138"/>
    <x v="145"/>
    <x v="122"/>
    <x v="153"/>
    <x v="68"/>
    <x v="162"/>
    <x v="140"/>
    <x v="148"/>
    <x v="131"/>
    <x v="160"/>
    <x v="100"/>
    <x v="165"/>
    <n v="143.80000000000001"/>
    <n v="135.6"/>
    <n v="142.6"/>
    <n v="135.19999999999999"/>
    <n v="133.80000000000001"/>
    <n v="120.2"/>
    <n v="129.9"/>
    <n v="139"/>
    <n v="127.7"/>
    <n v="129.6"/>
    <n v="136.4"/>
    <n v="136.80714285714285"/>
    <n v="140.66666666666666"/>
    <n v="141.30000000000001"/>
    <n v="136.69999999999999"/>
    <n v="130.96666666666667"/>
    <n v="686.44047619047615"/>
  </r>
  <r>
    <x v="0"/>
    <x v="5"/>
    <x v="2"/>
    <x v="130"/>
    <x v="141"/>
    <x v="139"/>
    <x v="142"/>
    <x v="119"/>
    <x v="154"/>
    <x v="170"/>
    <x v="163"/>
    <x v="140"/>
    <x v="115"/>
    <x v="128"/>
    <x v="161"/>
    <x v="138"/>
    <x v="166"/>
    <n v="149.19999999999999"/>
    <n v="143"/>
    <n v="148.30000000000001"/>
    <n v="139.9"/>
    <n v="136.69999999999999"/>
    <n v="124.6"/>
    <n v="135.1"/>
    <n v="142.69999999999999"/>
    <n v="129.30000000000001"/>
    <n v="133.30000000000001"/>
    <n v="138.69999999999999"/>
    <n v="138.3642857142857"/>
    <n v="146.83333333333334"/>
    <n v="142"/>
    <n v="142.6"/>
    <n v="134.71666666666667"/>
    <n v="704.51428571428573"/>
  </r>
  <r>
    <x v="1"/>
    <x v="5"/>
    <x v="2"/>
    <x v="131"/>
    <x v="128"/>
    <x v="140"/>
    <x v="144"/>
    <x v="123"/>
    <x v="107"/>
    <x v="75"/>
    <x v="48"/>
    <x v="141"/>
    <x v="151"/>
    <x v="100"/>
    <x v="162"/>
    <x v="139"/>
    <x v="167"/>
    <n v="136.69999999999999"/>
    <n v="126.7"/>
    <n v="135.19999999999999"/>
    <n v="130.80000000000001"/>
    <n v="130.5"/>
    <n v="117.8"/>
    <n v="126.8"/>
    <n v="137.80000000000001"/>
    <n v="126.7"/>
    <n v="127.1"/>
    <n v="134"/>
    <n v="133.94285714285715"/>
    <n v="132.86666666666665"/>
    <n v="142"/>
    <n v="126.4"/>
    <n v="128.4"/>
    <n v="663.60952380952381"/>
  </r>
  <r>
    <x v="2"/>
    <x v="5"/>
    <x v="2"/>
    <x v="132"/>
    <x v="142"/>
    <x v="141"/>
    <x v="146"/>
    <x v="113"/>
    <x v="155"/>
    <x v="171"/>
    <x v="164"/>
    <x v="142"/>
    <x v="145"/>
    <x v="101"/>
    <x v="163"/>
    <x v="105"/>
    <x v="168"/>
    <n v="144.30000000000001"/>
    <n v="136.19999999999999"/>
    <n v="143.1"/>
    <n v="135.6"/>
    <n v="134.30000000000001"/>
    <n v="121"/>
    <n v="130.4"/>
    <n v="139.80000000000001"/>
    <n v="128.19999999999999"/>
    <n v="130.30000000000001"/>
    <n v="136.5"/>
    <n v="136.59285714285713"/>
    <n v="141.20000000000002"/>
    <n v="142"/>
    <n v="136.5"/>
    <n v="131.54999999999998"/>
    <n v="687.84285714285716"/>
  </r>
  <r>
    <x v="0"/>
    <x v="5"/>
    <x v="3"/>
    <x v="133"/>
    <x v="143"/>
    <x v="142"/>
    <x v="147"/>
    <x v="124"/>
    <x v="156"/>
    <x v="172"/>
    <x v="165"/>
    <x v="143"/>
    <x v="152"/>
    <x v="124"/>
    <x v="164"/>
    <x v="138"/>
    <x v="169"/>
    <n v="150.1"/>
    <n v="143.30000000000001"/>
    <n v="149.1"/>
    <n v="140.9"/>
    <n v="137.6"/>
    <n v="125.3"/>
    <n v="136"/>
    <n v="143.69999999999999"/>
    <n v="130.4"/>
    <n v="134.19999999999999"/>
    <n v="139.1"/>
    <n v="138.29285714285714"/>
    <n v="147.5"/>
    <n v="142.9"/>
    <n v="143.80000000000001"/>
    <n v="135.65"/>
    <n v="708.14285714285722"/>
  </r>
  <r>
    <x v="1"/>
    <x v="5"/>
    <x v="3"/>
    <x v="131"/>
    <x v="144"/>
    <x v="143"/>
    <x v="148"/>
    <x v="125"/>
    <x v="157"/>
    <x v="173"/>
    <x v="166"/>
    <x v="144"/>
    <x v="129"/>
    <x v="132"/>
    <x v="165"/>
    <x v="106"/>
    <x v="170"/>
    <n v="137.80000000000001"/>
    <n v="127.4"/>
    <n v="136.19999999999999"/>
    <n v="131.80000000000001"/>
    <n v="131.30000000000001"/>
    <n v="118.9"/>
    <n v="127.6"/>
    <n v="139.69999999999999"/>
    <n v="127.6"/>
    <n v="128.19999999999999"/>
    <n v="134.80000000000001"/>
    <n v="134.22857142857146"/>
    <n v="133.80000000000001"/>
    <n v="142.9"/>
    <n v="124.6"/>
    <n v="129.48333333333332"/>
    <n v="665.01190476190482"/>
  </r>
  <r>
    <x v="2"/>
    <x v="5"/>
    <x v="3"/>
    <x v="124"/>
    <x v="139"/>
    <x v="144"/>
    <x v="149"/>
    <x v="126"/>
    <x v="158"/>
    <x v="174"/>
    <x v="145"/>
    <x v="145"/>
    <x v="153"/>
    <x v="133"/>
    <x v="166"/>
    <x v="140"/>
    <x v="171"/>
    <n v="145.30000000000001"/>
    <n v="136.69999999999999"/>
    <n v="144"/>
    <n v="136.6"/>
    <n v="135.19999999999999"/>
    <n v="121.9"/>
    <n v="131.30000000000001"/>
    <n v="141.4"/>
    <n v="129.19999999999999"/>
    <n v="131.30000000000001"/>
    <n v="137.1"/>
    <n v="136.71428571428572"/>
    <n v="142"/>
    <n v="142.9"/>
    <n v="136.5"/>
    <n v="132.6"/>
    <n v="690.71428571428578"/>
  </r>
  <r>
    <x v="0"/>
    <x v="5"/>
    <x v="4"/>
    <x v="134"/>
    <x v="127"/>
    <x v="140"/>
    <x v="150"/>
    <x v="127"/>
    <x v="159"/>
    <x v="175"/>
    <x v="63"/>
    <x v="146"/>
    <x v="154"/>
    <x v="134"/>
    <x v="167"/>
    <x v="141"/>
    <x v="159"/>
    <n v="150.80000000000001"/>
    <n v="144.1"/>
    <n v="149.80000000000001"/>
    <n v="141.80000000000001"/>
    <n v="138.4"/>
    <n v="126.4"/>
    <n v="136.80000000000001"/>
    <n v="144.4"/>
    <n v="131.19999999999999"/>
    <n v="135.1"/>
    <n v="139.80000000000001"/>
    <n v="138.52857142857144"/>
    <n v="148.23333333333332"/>
    <n v="143.19999999999999"/>
    <n v="144.30000000000001"/>
    <n v="136.5"/>
    <n v="710.76190476190482"/>
  </r>
  <r>
    <x v="1"/>
    <x v="5"/>
    <x v="4"/>
    <x v="131"/>
    <x v="145"/>
    <x v="102"/>
    <x v="151"/>
    <x v="91"/>
    <x v="160"/>
    <x v="76"/>
    <x v="38"/>
    <x v="147"/>
    <x v="132"/>
    <x v="102"/>
    <x v="144"/>
    <x v="142"/>
    <x v="172"/>
    <n v="138.6"/>
    <n v="127.9"/>
    <n v="137"/>
    <n v="132.5"/>
    <n v="132"/>
    <n v="119.8"/>
    <n v="128"/>
    <n v="140.4"/>
    <n v="128.1"/>
    <n v="128.9"/>
    <n v="135.4"/>
    <n v="134.51428571428571"/>
    <n v="134.5"/>
    <n v="143.19999999999999"/>
    <n v="124.7"/>
    <n v="130.13333333333333"/>
    <n v="667.04761904761904"/>
  </r>
  <r>
    <x v="2"/>
    <x v="5"/>
    <x v="4"/>
    <x v="127"/>
    <x v="146"/>
    <x v="145"/>
    <x v="152"/>
    <x v="126"/>
    <x v="161"/>
    <x v="81"/>
    <x v="167"/>
    <x v="148"/>
    <x v="121"/>
    <x v="135"/>
    <x v="158"/>
    <x v="143"/>
    <x v="173"/>
    <n v="146"/>
    <n v="137.4"/>
    <n v="144.69999999999999"/>
    <n v="137.4"/>
    <n v="136"/>
    <n v="122.9"/>
    <n v="131.80000000000001"/>
    <n v="142.1"/>
    <n v="129.9"/>
    <n v="132.1"/>
    <n v="137.80000000000001"/>
    <n v="136.97857142857143"/>
    <n v="142.69999999999999"/>
    <n v="143.19999999999999"/>
    <n v="136.9"/>
    <n v="133.35"/>
    <n v="693.12857142857149"/>
  </r>
  <r>
    <x v="0"/>
    <x v="5"/>
    <x v="5"/>
    <x v="135"/>
    <x v="147"/>
    <x v="146"/>
    <x v="153"/>
    <x v="128"/>
    <x v="162"/>
    <x v="176"/>
    <x v="168"/>
    <x v="149"/>
    <x v="155"/>
    <x v="136"/>
    <x v="167"/>
    <x v="144"/>
    <x v="174"/>
    <n v="151.30000000000001"/>
    <n v="144.69999999999999"/>
    <n v="150.30000000000001"/>
    <n v="142.19999999999999"/>
    <n v="138.4"/>
    <n v="127.4"/>
    <n v="137.80000000000001"/>
    <n v="145.1"/>
    <n v="131.4"/>
    <n v="135.6"/>
    <n v="140.5"/>
    <n v="139.1142857142857"/>
    <n v="148.76666666666668"/>
    <n v="142.5"/>
    <n v="145.1"/>
    <n v="137.04999999999998"/>
    <n v="712.53095238095239"/>
  </r>
  <r>
    <x v="1"/>
    <x v="5"/>
    <x v="5"/>
    <x v="121"/>
    <x v="148"/>
    <x v="144"/>
    <x v="139"/>
    <x v="125"/>
    <x v="163"/>
    <x v="177"/>
    <x v="169"/>
    <x v="150"/>
    <x v="156"/>
    <x v="137"/>
    <x v="155"/>
    <x v="102"/>
    <x v="175"/>
    <n v="138.9"/>
    <n v="128.69999999999999"/>
    <n v="137.4"/>
    <n v="133.1"/>
    <n v="132.6"/>
    <n v="120.4"/>
    <n v="128.5"/>
    <n v="141.19999999999999"/>
    <n v="128.19999999999999"/>
    <n v="129.5"/>
    <n v="136.19999999999999"/>
    <n v="136.30714285714288"/>
    <n v="135"/>
    <n v="142.5"/>
    <n v="126.5"/>
    <n v="130.66666666666666"/>
    <n v="670.97380952380956"/>
  </r>
  <r>
    <x v="2"/>
    <x v="5"/>
    <x v="5"/>
    <x v="136"/>
    <x v="124"/>
    <x v="147"/>
    <x v="154"/>
    <x v="107"/>
    <x v="164"/>
    <x v="178"/>
    <x v="170"/>
    <x v="88"/>
    <x v="157"/>
    <x v="113"/>
    <x v="156"/>
    <x v="145"/>
    <x v="176"/>
    <n v="146.4"/>
    <n v="138.1"/>
    <n v="145.19999999999999"/>
    <n v="137.9"/>
    <n v="136.19999999999999"/>
    <n v="123.7"/>
    <n v="132.6"/>
    <n v="142.80000000000001"/>
    <n v="130.1"/>
    <n v="132.6"/>
    <n v="138.5"/>
    <n v="138.02857142857144"/>
    <n v="143.23333333333332"/>
    <n v="142.5"/>
    <n v="138.1"/>
    <n v="133.88333333333335"/>
    <n v="695.74523809523805"/>
  </r>
  <r>
    <x v="0"/>
    <x v="5"/>
    <x v="6"/>
    <x v="137"/>
    <x v="149"/>
    <x v="148"/>
    <x v="155"/>
    <x v="129"/>
    <x v="165"/>
    <x v="179"/>
    <x v="171"/>
    <x v="151"/>
    <x v="153"/>
    <x v="136"/>
    <x v="168"/>
    <x v="146"/>
    <x v="169"/>
    <n v="151.5"/>
    <n v="145.1"/>
    <n v="150.6"/>
    <n v="143.1"/>
    <n v="139"/>
    <n v="127.5"/>
    <n v="138.4"/>
    <n v="145.80000000000001"/>
    <n v="131.4"/>
    <n v="136"/>
    <n v="141.80000000000001"/>
    <n v="140.47142857142859"/>
    <n v="149.06666666666669"/>
    <n v="143.6"/>
    <n v="146.80000000000001"/>
    <n v="137.53333333333333"/>
    <n v="717.47142857142853"/>
  </r>
  <r>
    <x v="1"/>
    <x v="5"/>
    <x v="6"/>
    <x v="138"/>
    <x v="150"/>
    <x v="149"/>
    <x v="141"/>
    <x v="130"/>
    <x v="166"/>
    <x v="180"/>
    <x v="35"/>
    <x v="146"/>
    <x v="158"/>
    <x v="138"/>
    <x v="169"/>
    <x v="147"/>
    <x v="177"/>
    <n v="139.6"/>
    <n v="128.9"/>
    <n v="137.9"/>
    <n v="133.6"/>
    <n v="133.6"/>
    <n v="120.1"/>
    <n v="129"/>
    <n v="144"/>
    <n v="128.19999999999999"/>
    <n v="130.19999999999999"/>
    <n v="137.5"/>
    <n v="138.03571428571428"/>
    <n v="135.46666666666667"/>
    <n v="143.6"/>
    <n v="128.1"/>
    <n v="131.41666666666666"/>
    <n v="676.61904761904759"/>
  </r>
  <r>
    <x v="2"/>
    <x v="5"/>
    <x v="6"/>
    <x v="139"/>
    <x v="151"/>
    <x v="150"/>
    <x v="156"/>
    <x v="114"/>
    <x v="167"/>
    <x v="181"/>
    <x v="172"/>
    <x v="152"/>
    <x v="159"/>
    <x v="113"/>
    <x v="170"/>
    <x v="148"/>
    <x v="178"/>
    <n v="146.80000000000001"/>
    <n v="138.4"/>
    <n v="145.6"/>
    <n v="138.6"/>
    <n v="137"/>
    <n v="123.6"/>
    <n v="133.1"/>
    <n v="144.69999999999999"/>
    <n v="130.1"/>
    <n v="133.19999999999999"/>
    <n v="139.80000000000001"/>
    <n v="139.48571428571429"/>
    <n v="143.60000000000002"/>
    <n v="143.6"/>
    <n v="139.69999999999999"/>
    <n v="134.51666666666668"/>
    <n v="700.90238095238101"/>
  </r>
  <r>
    <x v="0"/>
    <x v="5"/>
    <x v="7"/>
    <x v="140"/>
    <x v="152"/>
    <x v="149"/>
    <x v="157"/>
    <x v="131"/>
    <x v="168"/>
    <x v="182"/>
    <x v="173"/>
    <x v="103"/>
    <x v="97"/>
    <x v="139"/>
    <x v="171"/>
    <x v="149"/>
    <x v="179"/>
    <n v="152.1"/>
    <n v="145.80000000000001"/>
    <n v="151.30000000000001"/>
    <n v="143.80000000000001"/>
    <n v="139.4"/>
    <n v="128.30000000000001"/>
    <n v="138.6"/>
    <n v="146.9"/>
    <n v="131.30000000000001"/>
    <n v="136.6"/>
    <n v="142.5"/>
    <n v="141.08571428571429"/>
    <n v="149.73333333333332"/>
    <n v="144.6"/>
    <n v="147.69999999999999"/>
    <n v="138.04999999999998"/>
    <n v="721.16904761904766"/>
  </r>
  <r>
    <x v="1"/>
    <x v="5"/>
    <x v="7"/>
    <x v="141"/>
    <x v="153"/>
    <x v="98"/>
    <x v="146"/>
    <x v="132"/>
    <x v="169"/>
    <x v="183"/>
    <x v="174"/>
    <x v="94"/>
    <x v="160"/>
    <x v="112"/>
    <x v="163"/>
    <x v="130"/>
    <x v="180"/>
    <n v="140"/>
    <n v="129"/>
    <n v="138.30000000000001"/>
    <n v="134.4"/>
    <n v="134.9"/>
    <n v="120.7"/>
    <n v="129.80000000000001"/>
    <n v="145.30000000000001"/>
    <n v="128.30000000000001"/>
    <n v="131"/>
    <n v="138"/>
    <n v="137.83571428571426"/>
    <n v="135.76666666666668"/>
    <n v="144.6"/>
    <n v="129.80000000000001"/>
    <n v="132.23333333333332"/>
    <n v="680.23571428571427"/>
  </r>
  <r>
    <x v="2"/>
    <x v="5"/>
    <x v="7"/>
    <x v="142"/>
    <x v="154"/>
    <x v="151"/>
    <x v="158"/>
    <x v="133"/>
    <x v="170"/>
    <x v="155"/>
    <x v="64"/>
    <x v="153"/>
    <x v="161"/>
    <x v="126"/>
    <x v="172"/>
    <x v="150"/>
    <x v="173"/>
    <n v="147.30000000000001"/>
    <n v="138.80000000000001"/>
    <n v="146.1"/>
    <n v="139.4"/>
    <n v="137.69999999999999"/>
    <n v="124.3"/>
    <n v="133.6"/>
    <n v="146"/>
    <n v="130.1"/>
    <n v="133.9"/>
    <n v="140.4"/>
    <n v="139.7571428571429"/>
    <n v="144.06666666666669"/>
    <n v="144.6"/>
    <n v="140.9"/>
    <n v="135.18333333333334"/>
    <n v="704.50714285714298"/>
  </r>
  <r>
    <x v="0"/>
    <x v="5"/>
    <x v="8"/>
    <x v="143"/>
    <x v="155"/>
    <x v="98"/>
    <x v="159"/>
    <x v="134"/>
    <x v="157"/>
    <x v="184"/>
    <x v="175"/>
    <x v="107"/>
    <x v="135"/>
    <x v="140"/>
    <x v="173"/>
    <x v="151"/>
    <x v="161"/>
    <n v="152.1"/>
    <n v="146.1"/>
    <n v="151.30000000000001"/>
    <n v="144"/>
    <n v="140"/>
    <n v="129.9"/>
    <n v="140"/>
    <n v="147.6"/>
    <n v="132"/>
    <n v="137.4"/>
    <n v="142.1"/>
    <n v="139.82142857142858"/>
    <n v="149.83333333333334"/>
    <n v="145.30000000000001"/>
    <n v="149"/>
    <n v="138.91666666666666"/>
    <n v="722.87142857142851"/>
  </r>
  <r>
    <x v="1"/>
    <x v="5"/>
    <x v="8"/>
    <x v="144"/>
    <x v="128"/>
    <x v="152"/>
    <x v="135"/>
    <x v="75"/>
    <x v="171"/>
    <x v="185"/>
    <x v="176"/>
    <x v="154"/>
    <x v="162"/>
    <x v="141"/>
    <x v="174"/>
    <x v="152"/>
    <x v="181"/>
    <n v="140.80000000000001"/>
    <n v="129.30000000000001"/>
    <n v="139.1"/>
    <n v="134.9"/>
    <n v="135.69999999999999"/>
    <n v="122.5"/>
    <n v="130.19999999999999"/>
    <n v="145.19999999999999"/>
    <n v="129.30000000000001"/>
    <n v="131.9"/>
    <n v="138.1"/>
    <n v="136.55000000000001"/>
    <n v="136.4"/>
    <n v="145.30000000000001"/>
    <n v="131.19999999999999"/>
    <n v="132.96666666666667"/>
    <n v="682.41666666666674"/>
  </r>
  <r>
    <x v="2"/>
    <x v="5"/>
    <x v="8"/>
    <x v="145"/>
    <x v="156"/>
    <x v="153"/>
    <x v="150"/>
    <x v="103"/>
    <x v="172"/>
    <x v="186"/>
    <x v="170"/>
    <x v="145"/>
    <x v="100"/>
    <x v="142"/>
    <x v="164"/>
    <x v="128"/>
    <x v="170"/>
    <n v="147.69999999999999"/>
    <n v="139.1"/>
    <n v="146.5"/>
    <n v="139.69999999999999"/>
    <n v="138.4"/>
    <n v="126"/>
    <n v="134.5"/>
    <n v="146.19999999999999"/>
    <n v="130.9"/>
    <n v="134.69999999999999"/>
    <n v="140.19999999999999"/>
    <n v="138.47857142857143"/>
    <n v="144.43333333333331"/>
    <n v="145.30000000000001"/>
    <n v="142.30000000000001"/>
    <n v="135.94999999999999"/>
    <n v="706.46190476190486"/>
  </r>
  <r>
    <x v="0"/>
    <x v="5"/>
    <x v="9"/>
    <x v="146"/>
    <x v="157"/>
    <x v="154"/>
    <x v="140"/>
    <x v="124"/>
    <x v="173"/>
    <x v="187"/>
    <x v="170"/>
    <x v="154"/>
    <x v="100"/>
    <x v="143"/>
    <x v="171"/>
    <x v="153"/>
    <x v="182"/>
    <n v="150.69999999999999"/>
    <n v="144.5"/>
    <n v="149.80000000000001"/>
    <n v="147.5"/>
    <n v="144.80000000000001"/>
    <n v="130.80000000000001"/>
    <n v="140.1"/>
    <n v="148"/>
    <n v="134.4"/>
    <n v="139.80000000000001"/>
    <n v="142.19999999999999"/>
    <n v="138.69999999999999"/>
    <n v="148.33333333333334"/>
    <n v="146.30000000000001"/>
    <n v="149.69999999999999"/>
    <n v="140.93333333333334"/>
    <n v="723.9666666666667"/>
  </r>
  <r>
    <x v="1"/>
    <x v="5"/>
    <x v="9"/>
    <x v="135"/>
    <x v="158"/>
    <x v="155"/>
    <x v="135"/>
    <x v="99"/>
    <x v="174"/>
    <x v="188"/>
    <x v="40"/>
    <x v="155"/>
    <x v="160"/>
    <x v="114"/>
    <x v="175"/>
    <x v="145"/>
    <x v="183"/>
    <n v="141.5"/>
    <n v="129.80000000000001"/>
    <n v="139.69999999999999"/>
    <n v="135.1"/>
    <n v="136.19999999999999"/>
    <n v="123.3"/>
    <n v="130.69999999999999"/>
    <n v="145.5"/>
    <n v="130.4"/>
    <n v="132.5"/>
    <n v="138.9"/>
    <n v="137.00714285714284"/>
    <n v="137"/>
    <n v="146.30000000000001"/>
    <n v="133.4"/>
    <n v="133.53333333333333"/>
    <n v="687.24047619047622"/>
  </r>
  <r>
    <x v="2"/>
    <x v="5"/>
    <x v="9"/>
    <x v="134"/>
    <x v="159"/>
    <x v="156"/>
    <x v="140"/>
    <x v="97"/>
    <x v="175"/>
    <x v="84"/>
    <x v="58"/>
    <x v="156"/>
    <x v="163"/>
    <x v="144"/>
    <x v="176"/>
    <x v="129"/>
    <x v="184"/>
    <n v="148"/>
    <n v="139.19999999999999"/>
    <n v="146.80000000000001"/>
    <n v="142.19999999999999"/>
    <n v="142.1"/>
    <n v="125.5"/>
    <n v="136.5"/>
    <n v="147.80000000000001"/>
    <n v="132"/>
    <n v="136.30000000000001"/>
    <n v="140.80000000000001"/>
    <n v="138.48571428571429"/>
    <n v="144.66666666666666"/>
    <n v="146.9"/>
    <n v="145.30000000000001"/>
    <n v="137.68333333333331"/>
    <n v="713.03571428571433"/>
  </r>
  <r>
    <x v="0"/>
    <x v="5"/>
    <x v="10"/>
    <x v="133"/>
    <x v="160"/>
    <x v="146"/>
    <x v="140"/>
    <x v="135"/>
    <x v="134"/>
    <x v="189"/>
    <x v="177"/>
    <x v="157"/>
    <x v="164"/>
    <x v="145"/>
    <x v="177"/>
    <x v="144"/>
    <x v="185"/>
    <n v="151.69999999999999"/>
    <n v="145.5"/>
    <n v="150.80000000000001"/>
    <n v="148"/>
    <n v="145.4"/>
    <n v="130.30000000000001"/>
    <n v="143.1"/>
    <n v="150.19999999999999"/>
    <n v="133.1"/>
    <n v="140.1"/>
    <n v="142.4"/>
    <n v="139.2428571428571"/>
    <n v="149.33333333333334"/>
    <n v="146.9"/>
    <n v="150.30000000000001"/>
    <n v="141.68333333333334"/>
    <n v="727.45952380952394"/>
  </r>
  <r>
    <x v="1"/>
    <x v="5"/>
    <x v="10"/>
    <x v="147"/>
    <x v="161"/>
    <x v="157"/>
    <x v="149"/>
    <x v="110"/>
    <x v="143"/>
    <x v="190"/>
    <x v="178"/>
    <x v="158"/>
    <x v="165"/>
    <x v="146"/>
    <x v="178"/>
    <x v="141"/>
    <x v="186"/>
    <n v="142.4"/>
    <n v="130.19999999999999"/>
    <n v="140.5"/>
    <n v="135.80000000000001"/>
    <n v="136.80000000000001"/>
    <n v="121.2"/>
    <n v="131.30000000000001"/>
    <n v="146.1"/>
    <n v="130.5"/>
    <n v="132.19999999999999"/>
    <n v="139"/>
    <n v="137.27857142857141"/>
    <n v="137.70000000000002"/>
    <n v="146.9"/>
    <n v="136.69999999999999"/>
    <n v="133.61666666666667"/>
    <n v="692.1952380952381"/>
  </r>
  <r>
    <x v="2"/>
    <x v="5"/>
    <x v="10"/>
    <x v="134"/>
    <x v="162"/>
    <x v="158"/>
    <x v="160"/>
    <x v="97"/>
    <x v="176"/>
    <x v="84"/>
    <x v="58"/>
    <x v="156"/>
    <x v="166"/>
    <x v="147"/>
    <x v="176"/>
    <x v="129"/>
    <x v="184"/>
    <n v="148"/>
    <n v="139.1"/>
    <n v="146.69999999999999"/>
    <n v="142.19999999999999"/>
    <n v="142.1"/>
    <n v="125.5"/>
    <n v="136.5"/>
    <n v="147.80000000000001"/>
    <n v="132"/>
    <n v="136.30000000000001"/>
    <n v="140.80000000000001"/>
    <n v="138.45000000000002"/>
    <n v="144.6"/>
    <n v="146.9"/>
    <n v="145.1"/>
    <n v="137.68333333333331"/>
    <n v="712.73333333333335"/>
  </r>
  <r>
    <x v="0"/>
    <x v="5"/>
    <x v="11"/>
    <x v="133"/>
    <x v="163"/>
    <x v="159"/>
    <x v="147"/>
    <x v="136"/>
    <x v="110"/>
    <x v="191"/>
    <x v="61"/>
    <x v="92"/>
    <x v="129"/>
    <x v="148"/>
    <x v="179"/>
    <x v="123"/>
    <x v="187"/>
    <n v="151.6"/>
    <n v="145.9"/>
    <n v="150.80000000000001"/>
    <n v="149.5"/>
    <n v="149.6"/>
    <n v="128.9"/>
    <n v="143.30000000000001"/>
    <n v="155.1"/>
    <n v="133.19999999999999"/>
    <n v="141.6"/>
    <n v="141.9"/>
    <n v="138.25000000000003"/>
    <n v="149.43333333333334"/>
    <n v="146.5"/>
    <n v="149"/>
    <n v="143.26666666666665"/>
    <n v="726.45"/>
  </r>
  <r>
    <x v="1"/>
    <x v="5"/>
    <x v="11"/>
    <x v="148"/>
    <x v="164"/>
    <x v="160"/>
    <x v="149"/>
    <x v="110"/>
    <x v="107"/>
    <x v="192"/>
    <x v="179"/>
    <x v="159"/>
    <x v="111"/>
    <x v="93"/>
    <x v="180"/>
    <x v="100"/>
    <x v="188"/>
    <n v="142.69999999999999"/>
    <n v="130.30000000000001"/>
    <n v="140.80000000000001"/>
    <n v="136.19999999999999"/>
    <n v="137.30000000000001"/>
    <n v="118.8"/>
    <n v="131.69999999999999"/>
    <n v="146.5"/>
    <n v="130.80000000000001"/>
    <n v="131.69999999999999"/>
    <n v="138"/>
    <n v="136.51428571428571"/>
    <n v="137.93333333333334"/>
    <n v="146.5"/>
    <n v="132.4"/>
    <n v="133.54999999999998"/>
    <n v="686.89761904761895"/>
  </r>
  <r>
    <x v="2"/>
    <x v="5"/>
    <x v="11"/>
    <x v="139"/>
    <x v="165"/>
    <x v="161"/>
    <x v="152"/>
    <x v="101"/>
    <x v="135"/>
    <x v="83"/>
    <x v="155"/>
    <x v="93"/>
    <x v="164"/>
    <x v="139"/>
    <x v="181"/>
    <x v="98"/>
    <x v="189"/>
    <n v="148.1"/>
    <n v="139.4"/>
    <n v="146.80000000000001"/>
    <n v="143.19999999999999"/>
    <n v="144.9"/>
    <n v="123.6"/>
    <n v="136.80000000000001"/>
    <n v="150.1"/>
    <n v="132.19999999999999"/>
    <n v="136.80000000000001"/>
    <n v="140.1"/>
    <n v="137.55714285714285"/>
    <n v="144.76666666666668"/>
    <n v="146.5"/>
    <n v="142.69999999999999"/>
    <n v="138.46666666666667"/>
    <n v="709.99047619047622"/>
  </r>
  <r>
    <x v="0"/>
    <x v="6"/>
    <x v="0"/>
    <x v="127"/>
    <x v="166"/>
    <x v="162"/>
    <x v="147"/>
    <x v="137"/>
    <x v="105"/>
    <x v="193"/>
    <x v="180"/>
    <x v="150"/>
    <x v="159"/>
    <x v="149"/>
    <x v="182"/>
    <x v="108"/>
    <x v="190"/>
    <n v="150.6"/>
    <n v="145.1"/>
    <n v="149.9"/>
    <n v="150.1"/>
    <n v="149.6"/>
    <n v="128.6"/>
    <n v="142.9"/>
    <n v="155.19999999999999"/>
    <n v="133.5"/>
    <n v="141.69999999999999"/>
    <n v="141"/>
    <n v="137.30714285714288"/>
    <n v="148.53333333333333"/>
    <n v="147.69999999999999"/>
    <n v="146.19999999999999"/>
    <n v="143.31666666666663"/>
    <n v="723.05714285714282"/>
  </r>
  <r>
    <x v="1"/>
    <x v="6"/>
    <x v="0"/>
    <x v="142"/>
    <x v="167"/>
    <x v="163"/>
    <x v="161"/>
    <x v="110"/>
    <x v="130"/>
    <x v="194"/>
    <x v="181"/>
    <x v="160"/>
    <x v="109"/>
    <x v="93"/>
    <x v="183"/>
    <x v="154"/>
    <x v="191"/>
    <n v="143"/>
    <n v="130.4"/>
    <n v="141.1"/>
    <n v="136.30000000000001"/>
    <n v="137.80000000000001"/>
    <n v="118.6"/>
    <n v="131.9"/>
    <n v="146.6"/>
    <n v="131.69999999999999"/>
    <n v="131.80000000000001"/>
    <n v="138"/>
    <n v="136.35714285714286"/>
    <n v="138.16666666666666"/>
    <n v="147.69999999999999"/>
    <n v="128.6"/>
    <n v="133.81666666666669"/>
    <n v="684.64047619047619"/>
  </r>
  <r>
    <x v="2"/>
    <x v="6"/>
    <x v="0"/>
    <x v="133"/>
    <x v="168"/>
    <x v="164"/>
    <x v="152"/>
    <x v="138"/>
    <x v="177"/>
    <x v="195"/>
    <x v="182"/>
    <x v="85"/>
    <x v="161"/>
    <x v="150"/>
    <x v="181"/>
    <x v="108"/>
    <x v="192"/>
    <n v="147.6"/>
    <n v="139"/>
    <n v="146.4"/>
    <n v="143.6"/>
    <n v="145.1"/>
    <n v="123.3"/>
    <n v="136.69999999999999"/>
    <n v="150.19999999999999"/>
    <n v="132.80000000000001"/>
    <n v="136.9"/>
    <n v="139.6"/>
    <n v="136.9"/>
    <n v="144.33333333333334"/>
    <n v="147.69999999999999"/>
    <n v="139.5"/>
    <n v="138.61666666666667"/>
    <n v="707.05000000000007"/>
  </r>
  <r>
    <x v="0"/>
    <x v="6"/>
    <x v="1"/>
    <x v="130"/>
    <x v="169"/>
    <x v="149"/>
    <x v="156"/>
    <x v="129"/>
    <x v="111"/>
    <x v="196"/>
    <x v="65"/>
    <x v="161"/>
    <x v="167"/>
    <x v="151"/>
    <x v="184"/>
    <x v="105"/>
    <x v="193"/>
    <n v="150.5"/>
    <n v="146.1"/>
    <n v="149.9"/>
    <n v="150.1"/>
    <n v="149.9"/>
    <n v="129.19999999999999"/>
    <n v="143.4"/>
    <n v="155.5"/>
    <n v="134.9"/>
    <n v="142.19999999999999"/>
    <n v="141"/>
    <n v="137.32857142857145"/>
    <n v="148.83333333333334"/>
    <n v="148.5"/>
    <n v="145.30000000000001"/>
    <n v="143.83333333333334"/>
    <n v="723.79523809523823"/>
  </r>
  <r>
    <x v="1"/>
    <x v="6"/>
    <x v="1"/>
    <x v="143"/>
    <x v="170"/>
    <x v="165"/>
    <x v="161"/>
    <x v="108"/>
    <x v="108"/>
    <x v="197"/>
    <x v="62"/>
    <x v="160"/>
    <x v="168"/>
    <x v="152"/>
    <x v="185"/>
    <x v="103"/>
    <x v="194"/>
    <n v="143.30000000000001"/>
    <n v="130.80000000000001"/>
    <n v="141.4"/>
    <n v="136.6"/>
    <n v="138.5"/>
    <n v="119.2"/>
    <n v="132.19999999999999"/>
    <n v="146.6"/>
    <n v="133"/>
    <n v="132.4"/>
    <n v="138.6"/>
    <n v="137.09285714285716"/>
    <n v="138.5"/>
    <n v="148.5"/>
    <n v="127.1"/>
    <n v="134.35"/>
    <n v="685.5428571428572"/>
  </r>
  <r>
    <x v="2"/>
    <x v="6"/>
    <x v="1"/>
    <x v="135"/>
    <x v="171"/>
    <x v="166"/>
    <x v="162"/>
    <x v="101"/>
    <x v="145"/>
    <x v="198"/>
    <x v="177"/>
    <x v="162"/>
    <x v="103"/>
    <x v="144"/>
    <x v="186"/>
    <x v="140"/>
    <x v="195"/>
    <n v="147.69999999999999"/>
    <n v="139.69999999999999"/>
    <n v="146.5"/>
    <n v="143.69999999999999"/>
    <n v="145.6"/>
    <n v="123.9"/>
    <n v="137.1"/>
    <n v="150.30000000000001"/>
    <n v="134.1"/>
    <n v="137.4"/>
    <n v="139.9"/>
    <n v="137.17857142857142"/>
    <n v="144.63333333333333"/>
    <n v="148.5"/>
    <n v="138.4"/>
    <n v="139.11666666666665"/>
    <n v="707.82857142857142"/>
  </r>
  <r>
    <x v="0"/>
    <x v="6"/>
    <x v="2"/>
    <x v="136"/>
    <x v="172"/>
    <x v="167"/>
    <x v="156"/>
    <x v="129"/>
    <x v="113"/>
    <x v="72"/>
    <x v="167"/>
    <x v="161"/>
    <x v="159"/>
    <x v="151"/>
    <x v="187"/>
    <x v="154"/>
    <x v="196"/>
    <n v="150.80000000000001"/>
    <n v="146.1"/>
    <n v="150.1"/>
    <n v="150"/>
    <n v="150.4"/>
    <n v="129.9"/>
    <n v="143.80000000000001"/>
    <n v="155.5"/>
    <n v="134"/>
    <n v="142.4"/>
    <n v="141.19999999999999"/>
    <n v="137.43571428571431"/>
    <n v="149"/>
    <n v="149"/>
    <n v="146.4"/>
    <n v="143.93333333333331"/>
    <n v="725.76904761904757"/>
  </r>
  <r>
    <x v="1"/>
    <x v="6"/>
    <x v="2"/>
    <x v="149"/>
    <x v="173"/>
    <x v="129"/>
    <x v="140"/>
    <x v="108"/>
    <x v="135"/>
    <x v="199"/>
    <x v="183"/>
    <x v="160"/>
    <x v="151"/>
    <x v="118"/>
    <x v="188"/>
    <x v="127"/>
    <x v="197"/>
    <n v="143.5"/>
    <n v="131.19999999999999"/>
    <n v="141.6"/>
    <n v="136.80000000000001"/>
    <n v="139.19999999999999"/>
    <n v="119.9"/>
    <n v="133"/>
    <n v="146.69999999999999"/>
    <n v="132.5"/>
    <n v="132.80000000000001"/>
    <n v="139.5"/>
    <n v="138.12142857142857"/>
    <n v="138.76666666666665"/>
    <n v="149"/>
    <n v="128.80000000000001"/>
    <n v="134.68333333333331"/>
    <n v="689.37142857142851"/>
  </r>
  <r>
    <x v="2"/>
    <x v="6"/>
    <x v="2"/>
    <x v="150"/>
    <x v="169"/>
    <x v="138"/>
    <x v="154"/>
    <x v="101"/>
    <x v="178"/>
    <x v="174"/>
    <x v="184"/>
    <x v="162"/>
    <x v="100"/>
    <x v="153"/>
    <x v="171"/>
    <x v="143"/>
    <x v="198"/>
    <n v="147.9"/>
    <n v="139.9"/>
    <n v="146.69999999999999"/>
    <n v="143.80000000000001"/>
    <n v="146.19999999999999"/>
    <n v="124.6"/>
    <n v="137.69999999999999"/>
    <n v="150.30000000000001"/>
    <n v="133.4"/>
    <n v="137.69999999999999"/>
    <n v="140.4"/>
    <n v="137.6"/>
    <n v="144.83333333333334"/>
    <n v="149"/>
    <n v="139.69999999999999"/>
    <n v="139.33333333333331"/>
    <n v="710.4666666666667"/>
  </r>
  <r>
    <x v="0"/>
    <x v="6"/>
    <x v="4"/>
    <x v="134"/>
    <x v="174"/>
    <x v="168"/>
    <x v="158"/>
    <x v="128"/>
    <x v="179"/>
    <x v="200"/>
    <x v="60"/>
    <x v="163"/>
    <x v="125"/>
    <x v="154"/>
    <x v="187"/>
    <x v="135"/>
    <x v="181"/>
    <n v="151.30000000000001"/>
    <n v="146.6"/>
    <n v="150.69999999999999"/>
    <n v="149.5"/>
    <n v="151.30000000000001"/>
    <n v="130.19999999999999"/>
    <n v="145.9"/>
    <n v="156.69999999999999"/>
    <n v="133.9"/>
    <n v="142.9"/>
    <n v="142.4"/>
    <n v="138.95714285714286"/>
    <n v="149.53333333333333"/>
    <n v="150.1"/>
    <n v="146.9"/>
    <n v="144.58333333333331"/>
    <n v="730.07380952380959"/>
  </r>
  <r>
    <x v="1"/>
    <x v="6"/>
    <x v="4"/>
    <x v="151"/>
    <x v="175"/>
    <x v="141"/>
    <x v="147"/>
    <x v="89"/>
    <x v="166"/>
    <x v="201"/>
    <x v="185"/>
    <x v="164"/>
    <x v="163"/>
    <x v="155"/>
    <x v="176"/>
    <x v="155"/>
    <x v="199"/>
    <n v="144"/>
    <n v="131.69999999999999"/>
    <n v="142.19999999999999"/>
    <n v="137.19999999999999"/>
    <n v="139.80000000000001"/>
    <n v="120.1"/>
    <n v="134"/>
    <n v="148"/>
    <n v="132.6"/>
    <n v="133.30000000000001"/>
    <n v="141.5"/>
    <n v="141.26428571428573"/>
    <n v="139.29999999999998"/>
    <n v="150.1"/>
    <n v="129.4"/>
    <n v="135.28333333333333"/>
    <n v="695.34761904761899"/>
  </r>
  <r>
    <x v="2"/>
    <x v="6"/>
    <x v="4"/>
    <x v="142"/>
    <x v="176"/>
    <x v="169"/>
    <x v="156"/>
    <x v="101"/>
    <x v="180"/>
    <x v="202"/>
    <x v="186"/>
    <x v="92"/>
    <x v="143"/>
    <x v="156"/>
    <x v="189"/>
    <x v="156"/>
    <x v="200"/>
    <n v="148.4"/>
    <n v="140.4"/>
    <n v="147.30000000000001"/>
    <n v="143.69999999999999"/>
    <n v="146.9"/>
    <n v="124.9"/>
    <n v="139.19999999999999"/>
    <n v="151.6"/>
    <n v="133.4"/>
    <n v="138.19999999999999"/>
    <n v="142"/>
    <n v="139.71428571428572"/>
    <n v="145.36666666666667"/>
    <n v="150.1"/>
    <n v="140.30000000000001"/>
    <n v="139.95000000000002"/>
    <n v="715.43095238095248"/>
  </r>
  <r>
    <x v="0"/>
    <x v="6"/>
    <x v="5"/>
    <x v="150"/>
    <x v="177"/>
    <x v="170"/>
    <x v="153"/>
    <x v="139"/>
    <x v="181"/>
    <x v="203"/>
    <x v="187"/>
    <x v="144"/>
    <x v="109"/>
    <x v="157"/>
    <x v="190"/>
    <x v="157"/>
    <x v="201"/>
    <n v="151.4"/>
    <n v="146.5"/>
    <n v="150.69999999999999"/>
    <n v="149.6"/>
    <n v="151.69999999999999"/>
    <n v="130.19999999999999"/>
    <n v="146.4"/>
    <n v="157.69999999999999"/>
    <n v="134.80000000000001"/>
    <n v="143.30000000000001"/>
    <n v="143.6"/>
    <n v="140.6"/>
    <n v="149.53333333333333"/>
    <n v="149.4"/>
    <n v="147.80000000000001"/>
    <n v="145.06666666666663"/>
    <n v="732.39999999999986"/>
  </r>
  <r>
    <x v="1"/>
    <x v="6"/>
    <x v="5"/>
    <x v="152"/>
    <x v="178"/>
    <x v="171"/>
    <x v="155"/>
    <x v="89"/>
    <x v="182"/>
    <x v="204"/>
    <x v="188"/>
    <x v="146"/>
    <x v="163"/>
    <x v="103"/>
    <x v="191"/>
    <x v="158"/>
    <x v="202"/>
    <n v="144.30000000000001"/>
    <n v="131.69999999999999"/>
    <n v="142.4"/>
    <n v="137.4"/>
    <n v="140.30000000000001"/>
    <n v="119.6"/>
    <n v="134.30000000000001"/>
    <n v="148.9"/>
    <n v="133.69999999999999"/>
    <n v="133.6"/>
    <n v="142.1"/>
    <n v="142.85714285714283"/>
    <n v="139.46666666666667"/>
    <n v="149.4"/>
    <n v="130.5"/>
    <n v="135.70000000000002"/>
    <n v="697.9238095238095"/>
  </r>
  <r>
    <x v="2"/>
    <x v="6"/>
    <x v="5"/>
    <x v="153"/>
    <x v="179"/>
    <x v="157"/>
    <x v="163"/>
    <x v="133"/>
    <x v="183"/>
    <x v="166"/>
    <x v="189"/>
    <x v="159"/>
    <x v="164"/>
    <x v="158"/>
    <x v="173"/>
    <x v="149"/>
    <x v="194"/>
    <n v="148.6"/>
    <n v="140.4"/>
    <n v="147.4"/>
    <n v="143.80000000000001"/>
    <n v="147.4"/>
    <n v="124.6"/>
    <n v="139.6"/>
    <n v="152.5"/>
    <n v="134.30000000000001"/>
    <n v="138.6"/>
    <n v="142.9"/>
    <n v="141.35714285714286"/>
    <n v="145.46666666666667"/>
    <n v="149.4"/>
    <n v="141.19999999999999"/>
    <n v="140.36666666666667"/>
    <n v="717.79047619047617"/>
  </r>
  <r>
    <x v="0"/>
    <x v="6"/>
    <x v="6"/>
    <x v="137"/>
    <x v="180"/>
    <x v="172"/>
    <x v="164"/>
    <x v="140"/>
    <x v="184"/>
    <x v="51"/>
    <x v="190"/>
    <x v="165"/>
    <x v="169"/>
    <x v="159"/>
    <x v="192"/>
    <x v="159"/>
    <x v="203"/>
    <n v="151.6"/>
    <n v="146.6"/>
    <n v="150.9"/>
    <n v="150"/>
    <n v="152.19999999999999"/>
    <n v="131.19999999999999"/>
    <n v="147.5"/>
    <n v="159.1"/>
    <n v="136.1"/>
    <n v="144.19999999999999"/>
    <n v="144.9"/>
    <n v="142.24285714285713"/>
    <n v="149.70000000000002"/>
    <n v="150.6"/>
    <n v="146.80000000000001"/>
    <n v="146.01666666666668"/>
    <n v="735.35952380952381"/>
  </r>
  <r>
    <x v="1"/>
    <x v="6"/>
    <x v="6"/>
    <x v="154"/>
    <x v="181"/>
    <x v="173"/>
    <x v="165"/>
    <x v="141"/>
    <x v="185"/>
    <x v="205"/>
    <x v="191"/>
    <x v="146"/>
    <x v="170"/>
    <x v="160"/>
    <x v="193"/>
    <x v="160"/>
    <x v="204"/>
    <n v="144.69999999999999"/>
    <n v="131.9"/>
    <n v="142.69999999999999"/>
    <n v="137.69999999999999"/>
    <n v="140.80000000000001"/>
    <n v="120.6"/>
    <n v="135"/>
    <n v="150.4"/>
    <n v="135.1"/>
    <n v="134.5"/>
    <n v="143.30000000000001"/>
    <n v="144.6142857142857"/>
    <n v="139.76666666666668"/>
    <n v="150.6"/>
    <n v="127"/>
    <n v="136.6"/>
    <n v="698.58095238095245"/>
  </r>
  <r>
    <x v="2"/>
    <x v="6"/>
    <x v="6"/>
    <x v="146"/>
    <x v="182"/>
    <x v="139"/>
    <x v="166"/>
    <x v="142"/>
    <x v="186"/>
    <x v="206"/>
    <x v="192"/>
    <x v="88"/>
    <x v="169"/>
    <x v="161"/>
    <x v="184"/>
    <x v="161"/>
    <x v="205"/>
    <n v="148.9"/>
    <n v="140.5"/>
    <n v="147.6"/>
    <n v="144.19999999999999"/>
    <n v="147.9"/>
    <n v="125.6"/>
    <n v="140.5"/>
    <n v="154"/>
    <n v="135.69999999999999"/>
    <n v="139.5"/>
    <n v="144.19999999999999"/>
    <n v="143.05000000000001"/>
    <n v="145.66666666666666"/>
    <n v="150.6"/>
    <n v="139.30000000000001"/>
    <n v="141.31666666666669"/>
    <n v="719.93333333333351"/>
  </r>
  <r>
    <x v="0"/>
    <x v="6"/>
    <x v="7"/>
    <x v="140"/>
    <x v="183"/>
    <x v="158"/>
    <x v="167"/>
    <x v="143"/>
    <x v="138"/>
    <x v="207"/>
    <x v="137"/>
    <x v="166"/>
    <x v="171"/>
    <x v="159"/>
    <x v="194"/>
    <x v="162"/>
    <x v="206"/>
    <n v="151.80000000000001"/>
    <n v="146.6"/>
    <n v="151.1"/>
    <n v="150.19999999999999"/>
    <n v="152.69999999999999"/>
    <n v="131.4"/>
    <n v="148"/>
    <n v="159.69999999999999"/>
    <n v="138.80000000000001"/>
    <n v="144.9"/>
    <n v="145.69999999999999"/>
    <n v="142.82857142857145"/>
    <n v="149.83333333333334"/>
    <n v="151.6"/>
    <n v="146.4"/>
    <n v="146.79999999999998"/>
    <n v="737.46190476190475"/>
  </r>
  <r>
    <x v="1"/>
    <x v="6"/>
    <x v="7"/>
    <x v="155"/>
    <x v="184"/>
    <x v="174"/>
    <x v="168"/>
    <x v="92"/>
    <x v="187"/>
    <x v="208"/>
    <x v="193"/>
    <x v="167"/>
    <x v="172"/>
    <x v="108"/>
    <x v="184"/>
    <x v="163"/>
    <x v="207"/>
    <n v="145"/>
    <n v="132.19999999999999"/>
    <n v="143"/>
    <n v="138.1"/>
    <n v="141.5"/>
    <n v="120.8"/>
    <n v="135.4"/>
    <n v="151.5"/>
    <n v="137.80000000000001"/>
    <n v="135.30000000000001"/>
    <n v="144.19999999999999"/>
    <n v="145.5"/>
    <n v="140.06666666666666"/>
    <n v="151.6"/>
    <n v="125.5"/>
    <n v="137.51666666666668"/>
    <n v="700.18333333333328"/>
  </r>
  <r>
    <x v="2"/>
    <x v="6"/>
    <x v="7"/>
    <x v="156"/>
    <x v="185"/>
    <x v="175"/>
    <x v="169"/>
    <x v="120"/>
    <x v="152"/>
    <x v="209"/>
    <x v="194"/>
    <x v="91"/>
    <x v="137"/>
    <x v="162"/>
    <x v="190"/>
    <x v="164"/>
    <x v="208"/>
    <n v="149.1"/>
    <n v="140.6"/>
    <n v="147.9"/>
    <n v="144.5"/>
    <n v="148.5"/>
    <n v="125.8"/>
    <n v="140.9"/>
    <n v="154.9"/>
    <n v="138.4"/>
    <n v="140.19999999999999"/>
    <n v="145"/>
    <n v="143.73571428571429"/>
    <n v="145.86666666666667"/>
    <n v="151.6"/>
    <n v="138.5"/>
    <n v="142.16666666666666"/>
    <n v="721.86904761904759"/>
  </r>
  <r>
    <x v="0"/>
    <x v="6"/>
    <x v="8"/>
    <x v="156"/>
    <x v="183"/>
    <x v="141"/>
    <x v="170"/>
    <x v="144"/>
    <x v="188"/>
    <x v="210"/>
    <x v="195"/>
    <x v="155"/>
    <x v="173"/>
    <x v="159"/>
    <x v="195"/>
    <x v="165"/>
    <x v="209"/>
    <n v="151.69999999999999"/>
    <n v="146.6"/>
    <n v="151"/>
    <n v="150.30000000000001"/>
    <n v="153.4"/>
    <n v="131.6"/>
    <n v="148.30000000000001"/>
    <n v="160.19999999999999"/>
    <n v="140.19999999999999"/>
    <n v="145.4"/>
    <n v="146.69999999999999"/>
    <n v="143.8857142857143"/>
    <n v="149.76666666666665"/>
    <n v="152.19999999999999"/>
    <n v="146.9"/>
    <n v="147.33333333333337"/>
    <n v="740.08571428571429"/>
  </r>
  <r>
    <x v="1"/>
    <x v="6"/>
    <x v="8"/>
    <x v="157"/>
    <x v="186"/>
    <x v="176"/>
    <x v="168"/>
    <x v="96"/>
    <x v="189"/>
    <x v="211"/>
    <x v="196"/>
    <x v="168"/>
    <x v="174"/>
    <x v="110"/>
    <x v="187"/>
    <x v="166"/>
    <x v="210"/>
    <n v="145.30000000000001"/>
    <n v="132.19999999999999"/>
    <n v="143.30000000000001"/>
    <n v="138.30000000000001"/>
    <n v="141.9"/>
    <n v="121.2"/>
    <n v="135.9"/>
    <n v="151.6"/>
    <n v="139"/>
    <n v="135.69999999999999"/>
    <n v="144.69999999999999"/>
    <n v="145.96428571428572"/>
    <n v="140.26666666666668"/>
    <n v="152.19999999999999"/>
    <n v="126.6"/>
    <n v="137.98333333333335"/>
    <n v="703.01428571428573"/>
  </r>
  <r>
    <x v="2"/>
    <x v="6"/>
    <x v="8"/>
    <x v="158"/>
    <x v="187"/>
    <x v="177"/>
    <x v="171"/>
    <x v="124"/>
    <x v="190"/>
    <x v="157"/>
    <x v="197"/>
    <x v="169"/>
    <x v="175"/>
    <x v="163"/>
    <x v="196"/>
    <x v="167"/>
    <x v="211"/>
    <n v="149.19999999999999"/>
    <n v="140.6"/>
    <n v="147.9"/>
    <n v="144.6"/>
    <n v="149"/>
    <n v="126.1"/>
    <n v="141.30000000000001"/>
    <n v="155.19999999999999"/>
    <n v="139.69999999999999"/>
    <n v="140.69999999999999"/>
    <n v="145.80000000000001"/>
    <n v="144.58571428571426"/>
    <n v="145.89999999999998"/>
    <n v="152.19999999999999"/>
    <n v="139.19999999999999"/>
    <n v="142.65"/>
    <n v="724.53571428571422"/>
  </r>
  <r>
    <x v="0"/>
    <x v="6"/>
    <x v="9"/>
    <x v="159"/>
    <x v="188"/>
    <x v="178"/>
    <x v="172"/>
    <x v="145"/>
    <x v="191"/>
    <x v="212"/>
    <x v="198"/>
    <x v="170"/>
    <x v="128"/>
    <x v="164"/>
    <x v="197"/>
    <x v="168"/>
    <x v="212"/>
    <n v="151.69999999999999"/>
    <n v="146.69999999999999"/>
    <n v="151"/>
    <n v="150.6"/>
    <n v="153.69999999999999"/>
    <n v="131.69999999999999"/>
    <n v="148.69999999999999"/>
    <n v="160.69999999999999"/>
    <n v="140.30000000000001"/>
    <n v="145.69999999999999"/>
    <n v="148.30000000000001"/>
    <n v="145.94285714285712"/>
    <n v="149.79999999999998"/>
    <n v="153"/>
    <n v="147.69999999999999"/>
    <n v="147.61666666666665"/>
    <n v="744.05952380952374"/>
  </r>
  <r>
    <x v="1"/>
    <x v="6"/>
    <x v="9"/>
    <x v="160"/>
    <x v="189"/>
    <x v="179"/>
    <x v="173"/>
    <x v="97"/>
    <x v="170"/>
    <x v="213"/>
    <x v="154"/>
    <x v="108"/>
    <x v="176"/>
    <x v="165"/>
    <x v="196"/>
    <x v="169"/>
    <x v="213"/>
    <n v="145.9"/>
    <n v="132.4"/>
    <n v="143.9"/>
    <n v="138.69999999999999"/>
    <n v="142.4"/>
    <n v="121.5"/>
    <n v="136.19999999999999"/>
    <n v="151.69999999999999"/>
    <n v="139.5"/>
    <n v="136"/>
    <n v="146"/>
    <n v="147.99285714285716"/>
    <n v="140.73333333333335"/>
    <n v="153"/>
    <n v="128.9"/>
    <n v="138.33333333333334"/>
    <n v="708.95952380952383"/>
  </r>
  <r>
    <x v="2"/>
    <x v="6"/>
    <x v="9"/>
    <x v="161"/>
    <x v="190"/>
    <x v="180"/>
    <x v="174"/>
    <x v="137"/>
    <x v="136"/>
    <x v="214"/>
    <x v="199"/>
    <x v="168"/>
    <x v="127"/>
    <x v="166"/>
    <x v="198"/>
    <x v="170"/>
    <x v="214"/>
    <n v="149.4"/>
    <n v="140.80000000000001"/>
    <n v="148.19999999999999"/>
    <n v="145"/>
    <n v="149.4"/>
    <n v="126.3"/>
    <n v="141.69999999999999"/>
    <n v="155.4"/>
    <n v="140"/>
    <n v="141"/>
    <n v="147.19999999999999"/>
    <n v="146.62142857142857"/>
    <n v="146.13333333333335"/>
    <n v="153"/>
    <n v="140.6"/>
    <n v="142.96666666666667"/>
    <n v="729.32142857142867"/>
  </r>
  <r>
    <x v="0"/>
    <x v="6"/>
    <x v="10"/>
    <x v="161"/>
    <x v="191"/>
    <x v="133"/>
    <x v="175"/>
    <x v="146"/>
    <x v="155"/>
    <x v="215"/>
    <x v="141"/>
    <x v="101"/>
    <x v="177"/>
    <x v="167"/>
    <x v="199"/>
    <x v="171"/>
    <x v="204"/>
    <n v="152.30000000000001"/>
    <n v="147"/>
    <n v="151.5"/>
    <n v="150.9"/>
    <n v="154.30000000000001"/>
    <n v="132.1"/>
    <n v="149.1"/>
    <n v="160.80000000000001"/>
    <n v="140.6"/>
    <n v="146.1"/>
    <n v="149.9"/>
    <n v="147.98571428571429"/>
    <n v="150.26666666666668"/>
    <n v="153.5"/>
    <n v="148.4"/>
    <n v="147.96666666666667"/>
    <n v="748.11904761904771"/>
  </r>
  <r>
    <x v="1"/>
    <x v="6"/>
    <x v="10"/>
    <x v="162"/>
    <x v="192"/>
    <x v="181"/>
    <x v="176"/>
    <x v="147"/>
    <x v="192"/>
    <x v="216"/>
    <x v="200"/>
    <x v="171"/>
    <x v="178"/>
    <x v="130"/>
    <x v="195"/>
    <x v="172"/>
    <x v="215"/>
    <n v="146.30000000000001"/>
    <n v="132.6"/>
    <n v="144.19999999999999"/>
    <n v="139.1"/>
    <n v="142.80000000000001"/>
    <n v="121.7"/>
    <n v="136.69999999999999"/>
    <n v="151.80000000000001"/>
    <n v="139.80000000000001"/>
    <n v="136.30000000000001"/>
    <n v="147"/>
    <n v="149.56428571428569"/>
    <n v="141.03333333333333"/>
    <n v="153.5"/>
    <n v="132.19999999999999"/>
    <n v="138.64999999999998"/>
    <n v="714.94761904761901"/>
  </r>
  <r>
    <x v="2"/>
    <x v="6"/>
    <x v="10"/>
    <x v="163"/>
    <x v="193"/>
    <x v="182"/>
    <x v="177"/>
    <x v="139"/>
    <x v="193"/>
    <x v="217"/>
    <x v="201"/>
    <x v="141"/>
    <x v="179"/>
    <x v="168"/>
    <x v="200"/>
    <x v="169"/>
    <x v="207"/>
    <n v="149.9"/>
    <n v="141"/>
    <n v="148.6"/>
    <n v="145.30000000000001"/>
    <n v="149.9"/>
    <n v="126.6"/>
    <n v="142.1"/>
    <n v="155.5"/>
    <n v="140.30000000000001"/>
    <n v="141.30000000000001"/>
    <n v="148.6"/>
    <n v="148.48571428571429"/>
    <n v="146.5"/>
    <n v="153.5"/>
    <n v="142.30000000000001"/>
    <n v="143.28333333333333"/>
    <n v="734.06904761904752"/>
  </r>
  <r>
    <x v="0"/>
    <x v="6"/>
    <x v="11"/>
    <x v="164"/>
    <x v="194"/>
    <x v="183"/>
    <x v="178"/>
    <x v="148"/>
    <x v="194"/>
    <x v="218"/>
    <x v="202"/>
    <x v="170"/>
    <x v="180"/>
    <x v="169"/>
    <x v="201"/>
    <x v="173"/>
    <x v="216"/>
    <n v="152.6"/>
    <n v="147.30000000000001"/>
    <n v="151.9"/>
    <n v="151.19999999999999"/>
    <n v="154.80000000000001"/>
    <n v="135"/>
    <n v="149.5"/>
    <n v="161.1"/>
    <n v="140.6"/>
    <n v="147.1"/>
    <n v="152.30000000000001"/>
    <n v="150.62857142857141"/>
    <n v="150.6"/>
    <n v="152.80000000000001"/>
    <n v="149.9"/>
    <n v="148.70000000000002"/>
    <n v="752.62857142857149"/>
  </r>
  <r>
    <x v="1"/>
    <x v="6"/>
    <x v="11"/>
    <x v="165"/>
    <x v="195"/>
    <x v="184"/>
    <x v="179"/>
    <x v="149"/>
    <x v="147"/>
    <x v="219"/>
    <x v="203"/>
    <x v="153"/>
    <x v="181"/>
    <x v="142"/>
    <x v="199"/>
    <x v="174"/>
    <x v="217"/>
    <n v="146.80000000000001"/>
    <n v="132.80000000000001"/>
    <n v="144.6"/>
    <n v="139.80000000000001"/>
    <n v="143.19999999999999"/>
    <n v="125.2"/>
    <n v="136.80000000000001"/>
    <n v="151.9"/>
    <n v="140.19999999999999"/>
    <n v="137.69999999999999"/>
    <n v="148.30000000000001"/>
    <n v="151.93571428571428"/>
    <n v="141.4"/>
    <n v="152.80000000000001"/>
    <n v="133.6"/>
    <n v="139.51666666666665"/>
    <n v="719.25238095238092"/>
  </r>
  <r>
    <x v="2"/>
    <x v="6"/>
    <x v="11"/>
    <x v="160"/>
    <x v="196"/>
    <x v="185"/>
    <x v="180"/>
    <x v="150"/>
    <x v="191"/>
    <x v="220"/>
    <x v="138"/>
    <x v="168"/>
    <x v="182"/>
    <x v="170"/>
    <x v="202"/>
    <x v="175"/>
    <x v="218"/>
    <n v="150.30000000000001"/>
    <n v="141.30000000000001"/>
    <n v="149"/>
    <n v="145.80000000000001"/>
    <n v="150.4"/>
    <n v="129.80000000000001"/>
    <n v="142.30000000000001"/>
    <n v="155.69999999999999"/>
    <n v="140.4"/>
    <n v="142.5"/>
    <n v="150.4"/>
    <n v="151.04285714285717"/>
    <n v="146.86666666666667"/>
    <n v="152.80000000000001"/>
    <n v="143.69999999999999"/>
    <n v="144.06666666666666"/>
    <n v="738.4761904761906"/>
  </r>
  <r>
    <x v="0"/>
    <x v="7"/>
    <x v="0"/>
    <x v="166"/>
    <x v="197"/>
    <x v="186"/>
    <x v="181"/>
    <x v="151"/>
    <x v="146"/>
    <x v="221"/>
    <x v="204"/>
    <x v="101"/>
    <x v="183"/>
    <x v="171"/>
    <x v="203"/>
    <x v="176"/>
    <x v="210"/>
    <n v="152.80000000000001"/>
    <n v="147.4"/>
    <n v="152.1"/>
    <n v="151.69999999999999"/>
    <n v="155.69999999999999"/>
    <n v="136.30000000000001"/>
    <n v="150.1"/>
    <n v="161.69999999999999"/>
    <n v="142.5"/>
    <n v="148.1"/>
    <n v="151.9"/>
    <n v="150.51428571428571"/>
    <n v="150.76666666666668"/>
    <n v="153.9"/>
    <n v="150.4"/>
    <n v="149.66666666666666"/>
    <n v="755.24761904761897"/>
  </r>
  <r>
    <x v="1"/>
    <x v="7"/>
    <x v="0"/>
    <x v="167"/>
    <x v="198"/>
    <x v="187"/>
    <x v="182"/>
    <x v="152"/>
    <x v="195"/>
    <x v="222"/>
    <x v="76"/>
    <x v="108"/>
    <x v="184"/>
    <x v="126"/>
    <x v="204"/>
    <x v="177"/>
    <x v="219"/>
    <n v="147"/>
    <n v="133.19999999999999"/>
    <n v="144.9"/>
    <n v="140.1"/>
    <n v="143.80000000000001"/>
    <n v="126.1"/>
    <n v="137.19999999999999"/>
    <n v="152.1"/>
    <n v="142.1"/>
    <n v="138.4"/>
    <n v="148.19999999999999"/>
    <n v="151.15714285714284"/>
    <n v="141.70000000000002"/>
    <n v="153.9"/>
    <n v="135.1"/>
    <n v="140.23333333333335"/>
    <n v="722.09047619047624"/>
  </r>
  <r>
    <x v="2"/>
    <x v="7"/>
    <x v="0"/>
    <x v="168"/>
    <x v="199"/>
    <x v="188"/>
    <x v="183"/>
    <x v="153"/>
    <x v="196"/>
    <x v="223"/>
    <x v="205"/>
    <x v="104"/>
    <x v="185"/>
    <x v="172"/>
    <x v="205"/>
    <x v="178"/>
    <x v="220"/>
    <n v="150.5"/>
    <n v="141.5"/>
    <n v="149.19999999999999"/>
    <n v="146.19999999999999"/>
    <n v="151.19999999999999"/>
    <n v="130.9"/>
    <n v="142.80000000000001"/>
    <n v="156.1"/>
    <n v="142.30000000000001"/>
    <n v="143.4"/>
    <n v="150.19999999999999"/>
    <n v="150.68571428571428"/>
    <n v="147.06666666666666"/>
    <n v="153.9"/>
    <n v="144.6"/>
    <n v="144.91666666666666"/>
    <n v="741.16904761904755"/>
  </r>
  <r>
    <x v="0"/>
    <x v="7"/>
    <x v="1"/>
    <x v="169"/>
    <x v="200"/>
    <x v="189"/>
    <x v="184"/>
    <x v="154"/>
    <x v="197"/>
    <x v="224"/>
    <x v="136"/>
    <x v="99"/>
    <x v="186"/>
    <x v="173"/>
    <x v="206"/>
    <x v="179"/>
    <x v="221"/>
    <n v="153"/>
    <n v="147.5"/>
    <n v="152.30000000000001"/>
    <n v="151.80000000000001"/>
    <n v="156.19999999999999"/>
    <n v="136"/>
    <n v="150.4"/>
    <n v="161.9"/>
    <n v="143.4"/>
    <n v="148.4"/>
    <n v="150.4"/>
    <n v="148.51428571428571"/>
    <n v="150.93333333333334"/>
    <n v="154.80000000000001"/>
    <n v="152.30000000000001"/>
    <n v="149.94999999999999"/>
    <n v="756.49761904761908"/>
  </r>
  <r>
    <x v="1"/>
    <x v="7"/>
    <x v="1"/>
    <x v="170"/>
    <x v="198"/>
    <x v="190"/>
    <x v="185"/>
    <x v="155"/>
    <x v="198"/>
    <x v="225"/>
    <x v="206"/>
    <x v="97"/>
    <x v="187"/>
    <x v="174"/>
    <x v="207"/>
    <x v="180"/>
    <x v="222"/>
    <n v="147.30000000000001"/>
    <n v="133.5"/>
    <n v="145.19999999999999"/>
    <n v="140.4"/>
    <n v="144.4"/>
    <n v="125.2"/>
    <n v="137.69999999999999"/>
    <n v="152.19999999999999"/>
    <n v="143.5"/>
    <n v="138.4"/>
    <n v="147.69999999999999"/>
    <n v="149.18571428571428"/>
    <n v="142"/>
    <n v="154.80000000000001"/>
    <n v="138.9"/>
    <n v="140.56666666666669"/>
    <n v="725.45238095238108"/>
  </r>
  <r>
    <x v="2"/>
    <x v="7"/>
    <x v="1"/>
    <x v="171"/>
    <x v="200"/>
    <x v="191"/>
    <x v="186"/>
    <x v="156"/>
    <x v="127"/>
    <x v="226"/>
    <x v="204"/>
    <x v="170"/>
    <x v="188"/>
    <x v="175"/>
    <x v="208"/>
    <x v="181"/>
    <x v="223"/>
    <n v="150.80000000000001"/>
    <n v="141.69999999999999"/>
    <n v="149.5"/>
    <n v="146.4"/>
    <n v="151.69999999999999"/>
    <n v="130.30000000000001"/>
    <n v="143.19999999999999"/>
    <n v="156.19999999999999"/>
    <n v="143.4"/>
    <n v="143.6"/>
    <n v="149.1"/>
    <n v="148.69285714285712"/>
    <n v="147.33333333333334"/>
    <n v="154.80000000000001"/>
    <n v="147.19999999999999"/>
    <n v="145.19999999999999"/>
    <n v="743.22619047619037"/>
  </r>
  <r>
    <x v="0"/>
    <x v="7"/>
    <x v="2"/>
    <x v="172"/>
    <x v="201"/>
    <x v="192"/>
    <x v="187"/>
    <x v="157"/>
    <x v="127"/>
    <x v="227"/>
    <x v="136"/>
    <x v="172"/>
    <x v="189"/>
    <x v="173"/>
    <x v="209"/>
    <x v="182"/>
    <x v="224"/>
    <n v="153.4"/>
    <n v="147.6"/>
    <n v="152.5"/>
    <n v="151.5"/>
    <n v="156.69999999999999"/>
    <n v="135.80000000000001"/>
    <n v="151.19999999999999"/>
    <n v="161.19999999999999"/>
    <n v="145.1"/>
    <n v="148.6"/>
    <n v="149.80000000000001"/>
    <n v="147.50714285714281"/>
    <n v="151.16666666666666"/>
    <n v="154.5"/>
    <n v="153.4"/>
    <n v="150.25000000000003"/>
    <n v="756.82380952380947"/>
  </r>
  <r>
    <x v="1"/>
    <x v="7"/>
    <x v="2"/>
    <x v="173"/>
    <x v="200"/>
    <x v="193"/>
    <x v="188"/>
    <x v="148"/>
    <x v="181"/>
    <x v="228"/>
    <x v="207"/>
    <x v="107"/>
    <x v="190"/>
    <x v="124"/>
    <x v="208"/>
    <x v="183"/>
    <x v="225"/>
    <n v="147.69999999999999"/>
    <n v="133.80000000000001"/>
    <n v="145.6"/>
    <n v="140.80000000000001"/>
    <n v="145"/>
    <n v="124.6"/>
    <n v="137.9"/>
    <n v="152.5"/>
    <n v="145.30000000000001"/>
    <n v="138.69999999999999"/>
    <n v="147.30000000000001"/>
    <n v="147.98571428571429"/>
    <n v="142.36666666666667"/>
    <n v="154.5"/>
    <n v="141.4"/>
    <n v="141.01666666666665"/>
    <n v="727.26904761904757"/>
  </r>
  <r>
    <x v="2"/>
    <x v="7"/>
    <x v="2"/>
    <x v="174"/>
    <x v="202"/>
    <x v="194"/>
    <x v="189"/>
    <x v="158"/>
    <x v="175"/>
    <x v="183"/>
    <x v="204"/>
    <x v="169"/>
    <x v="191"/>
    <x v="176"/>
    <x v="210"/>
    <x v="184"/>
    <x v="226"/>
    <n v="151.19999999999999"/>
    <n v="141.9"/>
    <n v="149.80000000000001"/>
    <n v="146.4"/>
    <n v="152.30000000000001"/>
    <n v="129.9"/>
    <n v="143.69999999999999"/>
    <n v="156.1"/>
    <n v="145.19999999999999"/>
    <n v="143.80000000000001"/>
    <n v="148.6"/>
    <n v="147.6142857142857"/>
    <n v="147.63333333333335"/>
    <n v="154.5"/>
    <n v="148.9"/>
    <n v="145.6"/>
    <n v="744.24761904761908"/>
  </r>
  <r>
    <x v="0"/>
    <x v="7"/>
    <x v="3"/>
    <x v="175"/>
    <x v="203"/>
    <x v="195"/>
    <x v="190"/>
    <x v="159"/>
    <x v="144"/>
    <x v="229"/>
    <x v="208"/>
    <x v="173"/>
    <x v="192"/>
    <x v="177"/>
    <x v="211"/>
    <x v="183"/>
    <x v="227"/>
    <n v="153.75714285714284"/>
    <n v="148.44285714285715"/>
    <n v="153.04285714285714"/>
    <n v="151.64285714285717"/>
    <n v="154.30000000000001"/>
    <n v="138.5"/>
    <n v="151.40000000000003"/>
    <n v="161.7428571428571"/>
    <n v="146.79999999999998"/>
    <n v="149.80000000000001"/>
    <n v="152.07142857142861"/>
    <n v="151.85306122448978"/>
    <n v="151.74761904761905"/>
    <n v="155.6"/>
    <n v="148.4"/>
    <n v="150.73095238095237"/>
    <n v="758.33163265306121"/>
  </r>
  <r>
    <x v="1"/>
    <x v="7"/>
    <x v="3"/>
    <x v="176"/>
    <x v="204"/>
    <x v="196"/>
    <x v="191"/>
    <x v="160"/>
    <x v="154"/>
    <x v="230"/>
    <x v="209"/>
    <x v="128"/>
    <x v="189"/>
    <x v="147"/>
    <x v="212"/>
    <x v="178"/>
    <x v="228"/>
    <n v="148.14285714285714"/>
    <n v="134.52857142857144"/>
    <n v="146.07142857142858"/>
    <n v="140.91428571428568"/>
    <n v="144.80000000000001"/>
    <n v="127.65714285714286"/>
    <n v="139.97142857142856"/>
    <n v="152.74285714285716"/>
    <n v="147.24285714285716"/>
    <n v="140.28571428571428"/>
    <n v="149.42857142857142"/>
    <n v="153.91836734693879"/>
    <n v="142.91428571428571"/>
    <n v="155.6"/>
    <n v="137.1"/>
    <n v="142.22142857142856"/>
    <n v="731.75408163265308"/>
  </r>
  <r>
    <x v="2"/>
    <x v="7"/>
    <x v="3"/>
    <x v="177"/>
    <x v="205"/>
    <x v="197"/>
    <x v="190"/>
    <x v="161"/>
    <x v="199"/>
    <x v="58"/>
    <x v="210"/>
    <x v="113"/>
    <x v="193"/>
    <x v="178"/>
    <x v="213"/>
    <x v="185"/>
    <x v="229"/>
    <n v="151.55714285714285"/>
    <n v="142.65714285714284"/>
    <n v="150.28571428571428"/>
    <n v="146.57142857142858"/>
    <n v="150.69999999999999"/>
    <n v="132.77142857142857"/>
    <n v="144.94285714285712"/>
    <n v="156.48571428571427"/>
    <n v="146.97142857142856"/>
    <n v="145.18571428571428"/>
    <n v="150.82857142857145"/>
    <n v="152.57040816326528"/>
    <n v="148.16666666666666"/>
    <n v="155.6"/>
    <n v="144.1"/>
    <n v="146.40714285714284"/>
    <n v="746.84421768707477"/>
  </r>
  <r>
    <x v="0"/>
    <x v="7"/>
    <x v="4"/>
    <x v="178"/>
    <x v="206"/>
    <x v="198"/>
    <x v="192"/>
    <x v="162"/>
    <x v="200"/>
    <x v="231"/>
    <x v="211"/>
    <x v="174"/>
    <x v="194"/>
    <x v="179"/>
    <x v="214"/>
    <x v="186"/>
    <x v="230"/>
    <n v="154.10952380952384"/>
    <n v="148.80714285714285"/>
    <n v="153.39047619047619"/>
    <n v="151.70714285714286"/>
    <n v="157.06666666666663"/>
    <n v="139.45000000000002"/>
    <n v="151.93333333333337"/>
    <n v="161.85714285714286"/>
    <n v="148.55000000000001"/>
    <n v="150.53333333333333"/>
    <n v="152.06190476190477"/>
    <n v="151.1493197278912"/>
    <n v="152.10238095238097"/>
    <n v="154.96666666666667"/>
    <n v="148.28333333333333"/>
    <n v="151.76071428571433"/>
    <n v="758.26241496598652"/>
  </r>
  <r>
    <x v="1"/>
    <x v="7"/>
    <x v="4"/>
    <x v="179"/>
    <x v="207"/>
    <x v="199"/>
    <x v="193"/>
    <x v="163"/>
    <x v="201"/>
    <x v="232"/>
    <x v="212"/>
    <x v="175"/>
    <x v="195"/>
    <x v="180"/>
    <x v="215"/>
    <x v="187"/>
    <x v="231"/>
    <n v="148.55714285714285"/>
    <n v="135.03809523809525"/>
    <n v="146.51190476190473"/>
    <n v="141.23571428571427"/>
    <n v="146.51666666666668"/>
    <n v="128.32619047619048"/>
    <n v="140.96190476190475"/>
    <n v="152.99047619047619"/>
    <n v="149.27380952380955"/>
    <n v="141.03095238095239"/>
    <n v="149.82142857142858"/>
    <n v="153.4613945578231"/>
    <n v="143.36904761904759"/>
    <n v="154.96666666666667"/>
    <n v="138.31666666666669"/>
    <n v="143.21746031746031"/>
    <n v="733.33123582766439"/>
  </r>
  <r>
    <x v="2"/>
    <x v="7"/>
    <x v="4"/>
    <x v="180"/>
    <x v="208"/>
    <x v="200"/>
    <x v="194"/>
    <x v="164"/>
    <x v="202"/>
    <x v="233"/>
    <x v="213"/>
    <x v="176"/>
    <x v="196"/>
    <x v="181"/>
    <x v="216"/>
    <x v="188"/>
    <x v="232"/>
    <n v="151.94285714285715"/>
    <n v="143.07619047619048"/>
    <n v="150.68095238095236"/>
    <n v="146.76190476190476"/>
    <n v="153.08333333333334"/>
    <n v="133.57857142857142"/>
    <n v="145.74047619047619"/>
    <n v="156.68095238095239"/>
    <n v="148.8452380952381"/>
    <n v="145.93095238095239"/>
    <n v="151.00476190476189"/>
    <n v="151.93673469387755"/>
    <n v="148.56666666666666"/>
    <n v="154.96666666666667"/>
    <n v="144.5"/>
    <n v="147.44841269841268"/>
    <n v="747.41848072562357"/>
  </r>
  <r>
    <x v="0"/>
    <x v="7"/>
    <x v="5"/>
    <x v="181"/>
    <x v="209"/>
    <x v="201"/>
    <x v="195"/>
    <x v="165"/>
    <x v="196"/>
    <x v="234"/>
    <x v="214"/>
    <x v="169"/>
    <x v="197"/>
    <x v="182"/>
    <x v="217"/>
    <x v="189"/>
    <x v="233"/>
    <n v="154.69999999999999"/>
    <n v="150"/>
    <n v="154.1"/>
    <n v="151.69999999999999"/>
    <n v="158.19999999999999"/>
    <n v="141.4"/>
    <n v="153.19999999999999"/>
    <n v="161.80000000000001"/>
    <n v="151.19999999999999"/>
    <n v="151.69999999999999"/>
    <n v="152.69999999999999"/>
    <n v="152.3857142857143"/>
    <n v="152.93333333333331"/>
    <n v="154.69999999999999"/>
    <n v="144.9"/>
    <n v="152.91666666666666"/>
    <n v="757.83571428571429"/>
  </r>
  <r>
    <x v="1"/>
    <x v="7"/>
    <x v="5"/>
    <x v="182"/>
    <x v="210"/>
    <x v="202"/>
    <x v="196"/>
    <x v="166"/>
    <x v="203"/>
    <x v="27"/>
    <x v="215"/>
    <x v="177"/>
    <x v="198"/>
    <x v="183"/>
    <x v="218"/>
    <x v="190"/>
    <x v="234"/>
    <n v="149.1"/>
    <n v="136.6"/>
    <n v="147.19999999999999"/>
    <n v="140.4"/>
    <n v="148.1"/>
    <n v="129.30000000000001"/>
    <n v="144.5"/>
    <n v="152.5"/>
    <n v="152.19999999999999"/>
    <n v="142"/>
    <n v="150.80000000000001"/>
    <n v="155.83571428571426"/>
    <n v="144.29999999999998"/>
    <n v="154.69999999999999"/>
    <n v="137.1"/>
    <n v="144.5"/>
    <n v="736.4357142857142"/>
  </r>
  <r>
    <x v="2"/>
    <x v="7"/>
    <x v="5"/>
    <x v="183"/>
    <x v="211"/>
    <x v="203"/>
    <x v="195"/>
    <x v="167"/>
    <x v="147"/>
    <x v="235"/>
    <x v="216"/>
    <x v="141"/>
    <x v="199"/>
    <x v="184"/>
    <x v="217"/>
    <x v="191"/>
    <x v="235"/>
    <n v="152.5"/>
    <n v="144.4"/>
    <n v="151.4"/>
    <n v="146.4"/>
    <n v="154.4"/>
    <n v="135"/>
    <n v="148.30000000000001"/>
    <n v="156.4"/>
    <n v="151.6"/>
    <n v="147"/>
    <n v="151.80000000000001"/>
    <n v="153.59285714285716"/>
    <n v="149.43333333333331"/>
    <n v="154.69999999999999"/>
    <n v="141.9"/>
    <n v="148.68333333333334"/>
    <n v="748.30952380952385"/>
  </r>
  <r>
    <x v="0"/>
    <x v="7"/>
    <x v="6"/>
    <x v="181"/>
    <x v="209"/>
    <x v="201"/>
    <x v="195"/>
    <x v="165"/>
    <x v="196"/>
    <x v="234"/>
    <x v="214"/>
    <x v="169"/>
    <x v="197"/>
    <x v="182"/>
    <x v="217"/>
    <x v="189"/>
    <x v="233"/>
    <n v="154.69999999999999"/>
    <n v="150"/>
    <n v="154.1"/>
    <n v="151.69999999999999"/>
    <n v="158.19999999999999"/>
    <n v="141.4"/>
    <n v="153.19999999999999"/>
    <n v="161.80000000000001"/>
    <n v="151.19999999999999"/>
    <n v="151.69999999999999"/>
    <n v="152.69999999999999"/>
    <n v="152.3857142857143"/>
    <n v="152.93333333333331"/>
    <n v="154.69999999999999"/>
    <n v="144.9"/>
    <n v="152.91666666666666"/>
    <n v="757.83571428571429"/>
  </r>
  <r>
    <x v="1"/>
    <x v="7"/>
    <x v="6"/>
    <x v="182"/>
    <x v="210"/>
    <x v="202"/>
    <x v="196"/>
    <x v="166"/>
    <x v="203"/>
    <x v="27"/>
    <x v="215"/>
    <x v="177"/>
    <x v="198"/>
    <x v="183"/>
    <x v="218"/>
    <x v="190"/>
    <x v="234"/>
    <n v="149.1"/>
    <n v="136.6"/>
    <n v="147.19999999999999"/>
    <n v="140.4"/>
    <n v="148.1"/>
    <n v="129.30000000000001"/>
    <n v="144.5"/>
    <n v="152.5"/>
    <n v="152.19999999999999"/>
    <n v="142"/>
    <n v="150.80000000000001"/>
    <n v="155.83571428571426"/>
    <n v="144.29999999999998"/>
    <n v="154.69999999999999"/>
    <n v="137.1"/>
    <n v="144.5"/>
    <n v="736.4357142857142"/>
  </r>
  <r>
    <x v="2"/>
    <x v="7"/>
    <x v="6"/>
    <x v="183"/>
    <x v="211"/>
    <x v="203"/>
    <x v="195"/>
    <x v="167"/>
    <x v="147"/>
    <x v="235"/>
    <x v="216"/>
    <x v="141"/>
    <x v="199"/>
    <x v="184"/>
    <x v="217"/>
    <x v="191"/>
    <x v="235"/>
    <n v="152.5"/>
    <n v="144.4"/>
    <n v="151.4"/>
    <n v="146.4"/>
    <n v="154.4"/>
    <n v="135"/>
    <n v="148.30000000000001"/>
    <n v="156.4"/>
    <n v="151.6"/>
    <n v="147"/>
    <n v="151.80000000000001"/>
    <n v="153.59285714285716"/>
    <n v="149.43333333333331"/>
    <n v="154.69999999999999"/>
    <n v="141.9"/>
    <n v="148.68333333333334"/>
    <n v="748.30952380952385"/>
  </r>
  <r>
    <x v="0"/>
    <x v="7"/>
    <x v="7"/>
    <x v="184"/>
    <x v="212"/>
    <x v="181"/>
    <x v="195"/>
    <x v="168"/>
    <x v="204"/>
    <x v="236"/>
    <x v="217"/>
    <x v="141"/>
    <x v="200"/>
    <x v="185"/>
    <x v="219"/>
    <x v="192"/>
    <x v="236"/>
    <n v="155.1"/>
    <n v="149.30000000000001"/>
    <n v="154.30000000000001"/>
    <n v="151.9"/>
    <n v="158.80000000000001"/>
    <n v="143.6"/>
    <n v="152.19999999999999"/>
    <n v="162.69999999999999"/>
    <n v="153.6"/>
    <n v="153"/>
    <n v="154.69999999999999"/>
    <n v="154.25"/>
    <n v="152.9"/>
    <n v="155.5"/>
    <n v="145.80000000000001"/>
    <n v="153.80000000000001"/>
    <n v="762.25"/>
  </r>
  <r>
    <x v="1"/>
    <x v="7"/>
    <x v="7"/>
    <x v="185"/>
    <x v="213"/>
    <x v="204"/>
    <x v="196"/>
    <x v="169"/>
    <x v="205"/>
    <x v="237"/>
    <x v="218"/>
    <x v="178"/>
    <x v="200"/>
    <x v="175"/>
    <x v="220"/>
    <x v="193"/>
    <x v="237"/>
    <n v="150"/>
    <n v="135.19999999999999"/>
    <n v="147.80000000000001"/>
    <n v="144.5"/>
    <n v="148.69999999999999"/>
    <n v="133.9"/>
    <n v="141.19999999999999"/>
    <n v="155.5"/>
    <n v="155.19999999999999"/>
    <n v="144.80000000000001"/>
    <n v="152.9"/>
    <n v="158.00714285714284"/>
    <n v="144.33333333333334"/>
    <n v="155.5"/>
    <n v="138.30000000000001"/>
    <n v="146.5"/>
    <n v="742.64047619047619"/>
  </r>
  <r>
    <x v="2"/>
    <x v="7"/>
    <x v="7"/>
    <x v="186"/>
    <x v="214"/>
    <x v="205"/>
    <x v="195"/>
    <x v="170"/>
    <x v="206"/>
    <x v="28"/>
    <x v="210"/>
    <x v="100"/>
    <x v="200"/>
    <x v="186"/>
    <x v="221"/>
    <x v="190"/>
    <x v="238"/>
    <n v="153.1"/>
    <n v="143.4"/>
    <n v="151.69999999999999"/>
    <n v="148.4"/>
    <n v="155"/>
    <n v="138.5"/>
    <n v="146"/>
    <n v="158.5"/>
    <n v="154.30000000000001"/>
    <n v="149"/>
    <n v="153.9"/>
    <n v="155.55714285714285"/>
    <n v="149.4"/>
    <n v="155.5"/>
    <n v="143"/>
    <n v="150.11666666666667"/>
    <n v="753.57380952380947"/>
  </r>
  <r>
    <x v="0"/>
    <x v="7"/>
    <x v="8"/>
    <x v="187"/>
    <x v="215"/>
    <x v="183"/>
    <x v="196"/>
    <x v="171"/>
    <x v="207"/>
    <x v="212"/>
    <x v="219"/>
    <x v="100"/>
    <x v="200"/>
    <x v="187"/>
    <x v="222"/>
    <x v="194"/>
    <x v="239"/>
    <n v="155.4"/>
    <n v="149.9"/>
    <n v="154.6"/>
    <n v="151.6"/>
    <n v="159.1"/>
    <n v="144.6"/>
    <n v="152.80000000000001"/>
    <n v="161.1"/>
    <n v="157.4"/>
    <n v="153.69999999999999"/>
    <n v="155.4"/>
    <n v="155.02142857142854"/>
    <n v="153.29999999999998"/>
    <n v="156.30000000000001"/>
    <n v="146.4"/>
    <n v="154.43333333333331"/>
    <n v="765.45476190476188"/>
  </r>
  <r>
    <x v="1"/>
    <x v="7"/>
    <x v="8"/>
    <x v="188"/>
    <x v="216"/>
    <x v="206"/>
    <x v="197"/>
    <x v="172"/>
    <x v="208"/>
    <x v="238"/>
    <x v="209"/>
    <x v="121"/>
    <x v="201"/>
    <x v="154"/>
    <x v="223"/>
    <x v="195"/>
    <x v="240"/>
    <n v="150.19999999999999"/>
    <n v="136.30000000000001"/>
    <n v="148.1"/>
    <n v="145.4"/>
    <n v="150"/>
    <n v="135.1"/>
    <n v="141.80000000000001"/>
    <n v="154.9"/>
    <n v="159.80000000000001"/>
    <n v="146"/>
    <n v="154"/>
    <n v="159.30714285714288"/>
    <n v="144.86666666666667"/>
    <n v="156.30000000000001"/>
    <n v="137.19999999999999"/>
    <n v="147.83333333333334"/>
    <n v="745.50714285714287"/>
  </r>
  <r>
    <x v="2"/>
    <x v="7"/>
    <x v="8"/>
    <x v="189"/>
    <x v="217"/>
    <x v="207"/>
    <x v="198"/>
    <x v="165"/>
    <x v="182"/>
    <x v="239"/>
    <x v="220"/>
    <x v="179"/>
    <x v="202"/>
    <x v="188"/>
    <x v="224"/>
    <x v="196"/>
    <x v="241"/>
    <n v="153.4"/>
    <n v="144.30000000000001"/>
    <n v="152"/>
    <n v="148.69999999999999"/>
    <n v="155.6"/>
    <n v="139.6"/>
    <n v="146.6"/>
    <n v="157.5"/>
    <n v="158.4"/>
    <n v="150"/>
    <n v="154.69999999999999"/>
    <n v="156.52857142857144"/>
    <n v="149.9"/>
    <n v="156.30000000000001"/>
    <n v="142.9"/>
    <n v="151.06666666666666"/>
    <n v="756.69523809523821"/>
  </r>
  <r>
    <x v="0"/>
    <x v="7"/>
    <x v="9"/>
    <x v="190"/>
    <x v="218"/>
    <x v="208"/>
    <x v="198"/>
    <x v="173"/>
    <x v="147"/>
    <x v="240"/>
    <x v="214"/>
    <x v="180"/>
    <x v="201"/>
    <x v="189"/>
    <x v="225"/>
    <x v="197"/>
    <x v="242"/>
    <n v="155.69999999999999"/>
    <n v="150.6"/>
    <n v="155"/>
    <n v="152"/>
    <n v="159.5"/>
    <n v="146.4"/>
    <n v="152.4"/>
    <n v="162.5"/>
    <n v="156.19999999999999"/>
    <n v="154.30000000000001"/>
    <n v="157.5"/>
    <n v="158.1142857142857"/>
    <n v="153.76666666666665"/>
    <n v="156.5"/>
    <n v="146.80000000000001"/>
    <n v="154.83333333333334"/>
    <n v="770.01428571428573"/>
  </r>
  <r>
    <x v="1"/>
    <x v="7"/>
    <x v="9"/>
    <x v="191"/>
    <x v="219"/>
    <x v="209"/>
    <x v="199"/>
    <x v="174"/>
    <x v="209"/>
    <x v="241"/>
    <x v="130"/>
    <x v="181"/>
    <x v="203"/>
    <x v="177"/>
    <x v="226"/>
    <x v="198"/>
    <x v="240"/>
    <n v="150.5"/>
    <n v="136.1"/>
    <n v="148.30000000000001"/>
    <n v="145.1"/>
    <n v="151"/>
    <n v="135.4"/>
    <n v="142"/>
    <n v="155.69999999999999"/>
    <n v="158.1"/>
    <n v="146.19999999999999"/>
    <n v="155.19999999999999"/>
    <n v="162.06428571428569"/>
    <n v="144.96666666666667"/>
    <n v="156.5"/>
    <n v="137.1"/>
    <n v="147.88333333333335"/>
    <n v="748.51428571428573"/>
  </r>
  <r>
    <x v="2"/>
    <x v="7"/>
    <x v="9"/>
    <x v="192"/>
    <x v="220"/>
    <x v="210"/>
    <x v="198"/>
    <x v="175"/>
    <x v="210"/>
    <x v="242"/>
    <x v="216"/>
    <x v="110"/>
    <x v="204"/>
    <x v="190"/>
    <x v="227"/>
    <x v="199"/>
    <x v="243"/>
    <n v="153.69999999999999"/>
    <n v="144.6"/>
    <n v="152.30000000000001"/>
    <n v="148.69999999999999"/>
    <n v="156.30000000000001"/>
    <n v="140.6"/>
    <n v="146.5"/>
    <n v="158.5"/>
    <n v="157"/>
    <n v="150.4"/>
    <n v="156.4"/>
    <n v="159.49285714285719"/>
    <n v="150.19999999999999"/>
    <n v="156.5"/>
    <n v="143.1"/>
    <n v="151.26666666666668"/>
    <n v="760.55952380952385"/>
  </r>
  <r>
    <x v="0"/>
    <x v="7"/>
    <x v="10"/>
    <x v="193"/>
    <x v="221"/>
    <x v="211"/>
    <x v="200"/>
    <x v="176"/>
    <x v="180"/>
    <x v="243"/>
    <x v="221"/>
    <x v="182"/>
    <x v="205"/>
    <x v="191"/>
    <x v="228"/>
    <x v="200"/>
    <x v="244"/>
    <n v="156.30000000000001"/>
    <n v="151"/>
    <n v="155.5"/>
    <n v="152.80000000000001"/>
    <n v="160.4"/>
    <n v="146.1"/>
    <n v="153.6"/>
    <n v="161.6"/>
    <n v="156.19999999999999"/>
    <n v="154.5"/>
    <n v="159.80000000000001"/>
    <n v="161.84285714285716"/>
    <n v="154.26666666666668"/>
    <n v="158"/>
    <n v="147.5"/>
    <n v="155.11666666666667"/>
    <n v="776.72619047619048"/>
  </r>
  <r>
    <x v="1"/>
    <x v="7"/>
    <x v="10"/>
    <x v="194"/>
    <x v="222"/>
    <x v="212"/>
    <x v="197"/>
    <x v="177"/>
    <x v="211"/>
    <x v="244"/>
    <x v="222"/>
    <x v="183"/>
    <x v="206"/>
    <x v="192"/>
    <x v="229"/>
    <x v="201"/>
    <x v="245"/>
    <n v="151.1"/>
    <n v="136.4"/>
    <n v="148.80000000000001"/>
    <n v="145.1"/>
    <n v="152"/>
    <n v="135.19999999999999"/>
    <n v="144.4"/>
    <n v="156.4"/>
    <n v="157.9"/>
    <n v="146.6"/>
    <n v="156.69999999999999"/>
    <n v="164.96428571428572"/>
    <n v="145.43333333333334"/>
    <n v="158"/>
    <n v="137.30000000000001"/>
    <n v="148.5"/>
    <n v="754.19761904761913"/>
  </r>
  <r>
    <x v="2"/>
    <x v="7"/>
    <x v="10"/>
    <x v="195"/>
    <x v="223"/>
    <x v="213"/>
    <x v="200"/>
    <x v="178"/>
    <x v="212"/>
    <x v="245"/>
    <x v="223"/>
    <x v="184"/>
    <x v="207"/>
    <x v="193"/>
    <x v="230"/>
    <x v="202"/>
    <x v="246"/>
    <n v="154.30000000000001"/>
    <n v="144.9"/>
    <n v="152.80000000000001"/>
    <n v="149.19999999999999"/>
    <n v="157.19999999999999"/>
    <n v="140.4"/>
    <n v="148.4"/>
    <n v="158.6"/>
    <n v="156.9"/>
    <n v="150.69999999999999"/>
    <n v="158.4"/>
    <n v="162.8857142857143"/>
    <n v="150.66666666666669"/>
    <n v="158"/>
    <n v="143.6"/>
    <n v="151.78333333333333"/>
    <n v="766.93571428571431"/>
  </r>
  <r>
    <x v="0"/>
    <x v="7"/>
    <x v="11"/>
    <x v="196"/>
    <x v="224"/>
    <x v="214"/>
    <x v="201"/>
    <x v="179"/>
    <x v="213"/>
    <x v="246"/>
    <x v="127"/>
    <x v="107"/>
    <x v="208"/>
    <x v="194"/>
    <x v="231"/>
    <x v="203"/>
    <x v="247"/>
    <n v="157"/>
    <n v="151.6"/>
    <n v="156.30000000000001"/>
    <n v="153.4"/>
    <n v="161.6"/>
    <n v="146.4"/>
    <n v="153.9"/>
    <n v="162.9"/>
    <n v="156.6"/>
    <n v="155.19999999999999"/>
    <n v="160.69999999999999"/>
    <n v="163.15"/>
    <n v="154.96666666666667"/>
    <n v="158.4"/>
    <n v="148.69999999999999"/>
    <n v="155.79999999999998"/>
    <n v="781.01666666666665"/>
  </r>
  <r>
    <x v="1"/>
    <x v="7"/>
    <x v="11"/>
    <x v="197"/>
    <x v="225"/>
    <x v="215"/>
    <x v="202"/>
    <x v="180"/>
    <x v="166"/>
    <x v="247"/>
    <x v="224"/>
    <x v="140"/>
    <x v="209"/>
    <x v="195"/>
    <x v="232"/>
    <x v="201"/>
    <x v="248"/>
    <n v="151.9"/>
    <n v="136.69999999999999"/>
    <n v="149.6"/>
    <n v="145.5"/>
    <n v="152.9"/>
    <n v="135.5"/>
    <n v="144.30000000000001"/>
    <n v="156.9"/>
    <n v="157.9"/>
    <n v="146.9"/>
    <n v="156.9"/>
    <n v="165.4"/>
    <n v="146.06666666666669"/>
    <n v="158.4"/>
    <n v="137.9"/>
    <n v="148.83333333333334"/>
    <n v="756.6"/>
  </r>
  <r>
    <x v="2"/>
    <x v="7"/>
    <x v="11"/>
    <x v="190"/>
    <x v="223"/>
    <x v="216"/>
    <x v="203"/>
    <x v="181"/>
    <x v="214"/>
    <x v="248"/>
    <x v="225"/>
    <x v="180"/>
    <x v="210"/>
    <x v="196"/>
    <x v="226"/>
    <x v="204"/>
    <x v="249"/>
    <n v="155"/>
    <n v="145.4"/>
    <n v="153.6"/>
    <n v="149.69999999999999"/>
    <n v="158.30000000000001"/>
    <n v="140.69999999999999"/>
    <n v="148.5"/>
    <n v="159.4"/>
    <n v="157.1"/>
    <n v="151.19999999999999"/>
    <n v="158.9"/>
    <n v="163.89285714285714"/>
    <n v="151.33333333333334"/>
    <n v="158.4"/>
    <n v="144.6"/>
    <n v="152.28333333333333"/>
    <n v="770.50952380952378"/>
  </r>
  <r>
    <x v="0"/>
    <x v="8"/>
    <x v="0"/>
    <x v="198"/>
    <x v="226"/>
    <x v="214"/>
    <x v="201"/>
    <x v="182"/>
    <x v="207"/>
    <x v="249"/>
    <x v="127"/>
    <x v="101"/>
    <x v="211"/>
    <x v="197"/>
    <x v="233"/>
    <x v="197"/>
    <x v="250"/>
    <n v="157.5"/>
    <n v="152.4"/>
    <n v="156.80000000000001"/>
    <n v="153.9"/>
    <n v="162.5"/>
    <n v="147.5"/>
    <n v="155.1"/>
    <n v="163.5"/>
    <n v="156.19999999999999"/>
    <n v="155.9"/>
    <n v="158.5"/>
    <n v="160.73571428571427"/>
    <n v="155.56666666666666"/>
    <n v="157.69999999999999"/>
    <n v="150.9"/>
    <n v="156.45000000000002"/>
    <n v="781.35238095238094"/>
  </r>
  <r>
    <x v="1"/>
    <x v="8"/>
    <x v="0"/>
    <x v="199"/>
    <x v="227"/>
    <x v="217"/>
    <x v="204"/>
    <x v="183"/>
    <x v="215"/>
    <x v="250"/>
    <x v="89"/>
    <x v="177"/>
    <x v="210"/>
    <x v="198"/>
    <x v="234"/>
    <x v="200"/>
    <x v="251"/>
    <n v="152.5"/>
    <n v="137.30000000000001"/>
    <n v="150.19999999999999"/>
    <n v="145.69999999999999"/>
    <n v="154.1"/>
    <n v="136.9"/>
    <n v="145.4"/>
    <n v="156.1"/>
    <n v="157.69999999999999"/>
    <n v="147.6"/>
    <n v="156"/>
    <n v="163.48571428571429"/>
    <n v="146.66666666666666"/>
    <n v="157.69999999999999"/>
    <n v="142.9"/>
    <n v="149.31666666666663"/>
    <n v="760.06904761904752"/>
  </r>
  <r>
    <x v="2"/>
    <x v="8"/>
    <x v="0"/>
    <x v="165"/>
    <x v="228"/>
    <x v="216"/>
    <x v="203"/>
    <x v="184"/>
    <x v="216"/>
    <x v="251"/>
    <x v="226"/>
    <x v="97"/>
    <x v="212"/>
    <x v="199"/>
    <x v="235"/>
    <x v="205"/>
    <x v="252"/>
    <n v="155.5"/>
    <n v="146.1"/>
    <n v="154.19999999999999"/>
    <n v="150"/>
    <n v="159.30000000000001"/>
    <n v="141.9"/>
    <n v="149.6"/>
    <n v="159.19999999999999"/>
    <n v="156.80000000000001"/>
    <n v="151.9"/>
    <n v="157.30000000000001"/>
    <n v="161.64285714285714"/>
    <n v="151.93333333333334"/>
    <n v="157.69999999999999"/>
    <n v="147.9"/>
    <n v="152.79999999999998"/>
    <n v="771.97619047619048"/>
  </r>
  <r>
    <x v="0"/>
    <x v="8"/>
    <x v="1"/>
    <x v="164"/>
    <x v="229"/>
    <x v="218"/>
    <x v="204"/>
    <x v="185"/>
    <x v="139"/>
    <x v="252"/>
    <x v="227"/>
    <x v="146"/>
    <x v="213"/>
    <x v="200"/>
    <x v="236"/>
    <x v="206"/>
    <x v="252"/>
    <n v="159.1"/>
    <n v="153.9"/>
    <n v="158.4"/>
    <n v="154.80000000000001"/>
    <n v="164.3"/>
    <n v="150.19999999999999"/>
    <n v="157"/>
    <n v="163.6"/>
    <n v="155.19999999999999"/>
    <n v="157.19999999999999"/>
    <n v="156.69999999999999"/>
    <n v="157.98571428571429"/>
    <n v="157.13333333333333"/>
    <n v="159.80000000000001"/>
    <n v="154.4"/>
    <n v="157.51666666666665"/>
    <n v="786.83571428571429"/>
  </r>
  <r>
    <x v="1"/>
    <x v="8"/>
    <x v="1"/>
    <x v="184"/>
    <x v="230"/>
    <x v="219"/>
    <x v="205"/>
    <x v="186"/>
    <x v="217"/>
    <x v="253"/>
    <x v="228"/>
    <x v="182"/>
    <x v="214"/>
    <x v="196"/>
    <x v="237"/>
    <x v="207"/>
    <x v="253"/>
    <n v="154.19999999999999"/>
    <n v="138.19999999999999"/>
    <n v="151.80000000000001"/>
    <n v="146.5"/>
    <n v="156.30000000000001"/>
    <n v="140.5"/>
    <n v="147.30000000000001"/>
    <n v="156.6"/>
    <n v="156.69999999999999"/>
    <n v="149.30000000000001"/>
    <n v="156.5"/>
    <n v="161.37857142857143"/>
    <n v="148.06666666666666"/>
    <n v="159.80000000000001"/>
    <n v="149.1"/>
    <n v="150.65"/>
    <n v="768.99523809523805"/>
  </r>
  <r>
    <x v="2"/>
    <x v="8"/>
    <x v="1"/>
    <x v="168"/>
    <x v="231"/>
    <x v="220"/>
    <x v="206"/>
    <x v="187"/>
    <x v="218"/>
    <x v="254"/>
    <x v="229"/>
    <x v="155"/>
    <x v="215"/>
    <x v="201"/>
    <x v="238"/>
    <x v="208"/>
    <x v="254"/>
    <n v="157.19999999999999"/>
    <n v="147.4"/>
    <n v="155.80000000000001"/>
    <n v="150.9"/>
    <n v="161.30000000000001"/>
    <n v="145.1"/>
    <n v="151.5"/>
    <n v="159.5"/>
    <n v="155.80000000000001"/>
    <n v="153.4"/>
    <n v="156.6"/>
    <n v="159.11428571428573"/>
    <n v="153.46666666666667"/>
    <n v="159.80000000000001"/>
    <n v="152.4"/>
    <n v="154.01666666666668"/>
    <n v="778.79761904761904"/>
  </r>
  <r>
    <x v="0"/>
    <x v="8"/>
    <x v="2"/>
    <x v="163"/>
    <x v="232"/>
    <x v="221"/>
    <x v="207"/>
    <x v="188"/>
    <x v="211"/>
    <x v="67"/>
    <x v="230"/>
    <x v="166"/>
    <x v="212"/>
    <x v="202"/>
    <x v="239"/>
    <x v="209"/>
    <x v="255"/>
    <n v="159.6"/>
    <n v="154.4"/>
    <n v="158.9"/>
    <n v="154.80000000000001"/>
    <n v="164.6"/>
    <n v="151.30000000000001"/>
    <n v="157.80000000000001"/>
    <n v="163.80000000000001"/>
    <n v="153.1"/>
    <n v="157.30000000000001"/>
    <n v="156.69999999999999"/>
    <n v="157.98571428571429"/>
    <n v="157.63333333333333"/>
    <n v="159.9"/>
    <n v="156"/>
    <n v="157.56666666666666"/>
    <n v="789.08571428571418"/>
  </r>
  <r>
    <x v="1"/>
    <x v="8"/>
    <x v="2"/>
    <x v="192"/>
    <x v="233"/>
    <x v="222"/>
    <x v="190"/>
    <x v="189"/>
    <x v="219"/>
    <x v="255"/>
    <x v="231"/>
    <x v="151"/>
    <x v="216"/>
    <x v="203"/>
    <x v="240"/>
    <x v="210"/>
    <x v="256"/>
    <n v="155.1"/>
    <n v="138.69999999999999"/>
    <n v="152.6"/>
    <n v="147.19999999999999"/>
    <n v="156.9"/>
    <n v="141.69999999999999"/>
    <n v="148.6"/>
    <n v="157.6"/>
    <n v="154.9"/>
    <n v="150"/>
    <n v="156.9"/>
    <n v="161.28571428571425"/>
    <n v="148.79999999999998"/>
    <n v="159.9"/>
    <n v="154.80000000000001"/>
    <n v="151.15"/>
    <n v="775.9357142857142"/>
  </r>
  <r>
    <x v="2"/>
    <x v="8"/>
    <x v="2"/>
    <x v="162"/>
    <x v="234"/>
    <x v="223"/>
    <x v="208"/>
    <x v="190"/>
    <x v="220"/>
    <x v="123"/>
    <x v="228"/>
    <x v="172"/>
    <x v="208"/>
    <x v="204"/>
    <x v="241"/>
    <x v="211"/>
    <x v="257"/>
    <n v="157.80000000000001"/>
    <n v="147.9"/>
    <n v="156.4"/>
    <n v="151.19999999999999"/>
    <n v="161.69999999999999"/>
    <n v="146.19999999999999"/>
    <n v="152.6"/>
    <n v="160.19999999999999"/>
    <n v="153.80000000000001"/>
    <n v="153.80000000000001"/>
    <n v="156.80000000000001"/>
    <n v="159.10714285714286"/>
    <n v="154.03333333333333"/>
    <n v="159.9"/>
    <n v="155.5"/>
    <n v="154.2833333333333"/>
    <n v="782.82380952380947"/>
  </r>
  <r>
    <x v="0"/>
    <x v="8"/>
    <x v="3"/>
    <x v="157"/>
    <x v="222"/>
    <x v="224"/>
    <x v="209"/>
    <x v="191"/>
    <x v="221"/>
    <x v="172"/>
    <x v="231"/>
    <x v="185"/>
    <x v="217"/>
    <x v="205"/>
    <x v="242"/>
    <x v="212"/>
    <x v="258"/>
    <n v="160.69999999999999"/>
    <n v="155.1"/>
    <n v="159.9"/>
    <n v="155.5"/>
    <n v="165.3"/>
    <n v="151.69999999999999"/>
    <n v="158.6"/>
    <n v="164.1"/>
    <n v="154.6"/>
    <n v="158"/>
    <n v="157.6"/>
    <n v="159.73571428571429"/>
    <n v="158.56666666666663"/>
    <n v="161.4"/>
    <n v="156"/>
    <n v="158.30000000000001"/>
    <n v="794.00238095238092"/>
  </r>
  <r>
    <x v="1"/>
    <x v="8"/>
    <x v="3"/>
    <x v="184"/>
    <x v="235"/>
    <x v="225"/>
    <x v="210"/>
    <x v="192"/>
    <x v="222"/>
    <x v="201"/>
    <x v="95"/>
    <x v="108"/>
    <x v="218"/>
    <x v="206"/>
    <x v="243"/>
    <x v="213"/>
    <x v="259"/>
    <n v="155.9"/>
    <n v="139.30000000000001"/>
    <n v="153.4"/>
    <n v="147.6"/>
    <n v="157.5"/>
    <n v="142.1"/>
    <n v="149.1"/>
    <n v="157.6"/>
    <n v="156.6"/>
    <n v="150.5"/>
    <n v="158"/>
    <n v="163.14285714285714"/>
    <n v="149.53333333333333"/>
    <n v="161.4"/>
    <n v="154.9"/>
    <n v="151.75000000000003"/>
    <n v="780.72619047619048"/>
  </r>
  <r>
    <x v="2"/>
    <x v="8"/>
    <x v="3"/>
    <x v="168"/>
    <x v="236"/>
    <x v="226"/>
    <x v="211"/>
    <x v="193"/>
    <x v="223"/>
    <x v="103"/>
    <x v="125"/>
    <x v="99"/>
    <x v="219"/>
    <x v="207"/>
    <x v="244"/>
    <x v="196"/>
    <x v="245"/>
    <n v="158.80000000000001"/>
    <n v="148.5"/>
    <n v="157.30000000000001"/>
    <n v="151.80000000000001"/>
    <n v="162.30000000000001"/>
    <n v="146.6"/>
    <n v="153.19999999999999"/>
    <n v="160.30000000000001"/>
    <n v="155.4"/>
    <n v="154.4"/>
    <n v="157.80000000000001"/>
    <n v="160.92142857142858"/>
    <n v="154.86666666666667"/>
    <n v="161.4"/>
    <n v="155.6"/>
    <n v="154.93333333333334"/>
    <n v="787.72142857142853"/>
  </r>
  <r>
    <x v="0"/>
    <x v="8"/>
    <x v="4"/>
    <x v="174"/>
    <x v="237"/>
    <x v="227"/>
    <x v="212"/>
    <x v="194"/>
    <x v="224"/>
    <x v="256"/>
    <x v="232"/>
    <x v="151"/>
    <x v="220"/>
    <x v="208"/>
    <x v="245"/>
    <x v="214"/>
    <x v="260"/>
    <n v="165.3"/>
    <n v="160.6"/>
    <n v="164.5"/>
    <n v="158.80000000000001"/>
    <n v="169.1"/>
    <n v="153.19999999999999"/>
    <n v="160"/>
    <n v="167.6"/>
    <n v="159.30000000000001"/>
    <n v="161.1"/>
    <n v="161.1"/>
    <n v="163.20714285714283"/>
    <n v="163.46666666666667"/>
    <n v="161.6"/>
    <n v="161.69999999999999"/>
    <n v="161.33333333333334"/>
    <n v="811.30714285714282"/>
  </r>
  <r>
    <x v="1"/>
    <x v="8"/>
    <x v="4"/>
    <x v="200"/>
    <x v="238"/>
    <x v="228"/>
    <x v="213"/>
    <x v="195"/>
    <x v="225"/>
    <x v="257"/>
    <x v="233"/>
    <x v="186"/>
    <x v="221"/>
    <x v="209"/>
    <x v="246"/>
    <x v="215"/>
    <x v="261"/>
    <n v="156.5"/>
    <n v="140.19999999999999"/>
    <n v="154.1"/>
    <n v="150.1"/>
    <n v="160.4"/>
    <n v="145"/>
    <n v="152.6"/>
    <n v="156.6"/>
    <n v="157.5"/>
    <n v="152.30000000000001"/>
    <n v="159.5"/>
    <n v="165.92142857142858"/>
    <n v="150.26666666666665"/>
    <n v="161.6"/>
    <n v="155.5"/>
    <n v="153.70000000000002"/>
    <n v="786.9880952380953"/>
  </r>
  <r>
    <x v="2"/>
    <x v="8"/>
    <x v="4"/>
    <x v="201"/>
    <x v="239"/>
    <x v="229"/>
    <x v="214"/>
    <x v="196"/>
    <x v="226"/>
    <x v="258"/>
    <x v="81"/>
    <x v="108"/>
    <x v="222"/>
    <x v="210"/>
    <x v="247"/>
    <x v="216"/>
    <x v="262"/>
    <n v="161.80000000000001"/>
    <n v="152.1"/>
    <n v="160.4"/>
    <n v="154.69999999999999"/>
    <n v="165.8"/>
    <n v="148.9"/>
    <n v="155.80000000000001"/>
    <n v="161.19999999999999"/>
    <n v="158.6"/>
    <n v="156.80000000000001"/>
    <n v="160.4"/>
    <n v="164.11428571428573"/>
    <n v="158.1"/>
    <n v="161.6"/>
    <n v="159.4"/>
    <n v="157.50000000000003"/>
    <n v="800.71428571428567"/>
  </r>
  <r>
    <x v="0"/>
    <x v="8"/>
    <x v="5"/>
    <x v="167"/>
    <x v="240"/>
    <x v="230"/>
    <x v="214"/>
    <x v="197"/>
    <x v="227"/>
    <x v="259"/>
    <x v="234"/>
    <x v="97"/>
    <x v="223"/>
    <x v="211"/>
    <x v="248"/>
    <x v="217"/>
    <x v="263"/>
    <n v="165.3"/>
    <n v="159.9"/>
    <n v="164.6"/>
    <n v="159.19999999999999"/>
    <n v="169.7"/>
    <n v="154.19999999999999"/>
    <n v="160.4"/>
    <n v="166.8"/>
    <n v="159.4"/>
    <n v="161.5"/>
    <n v="162.1"/>
    <n v="165.12142857142857"/>
    <n v="163.26666666666668"/>
    <n v="160.5"/>
    <n v="162.1"/>
    <n v="161.61666666666665"/>
    <n v="812.60476190476197"/>
  </r>
  <r>
    <x v="1"/>
    <x v="8"/>
    <x v="5"/>
    <x v="202"/>
    <x v="241"/>
    <x v="231"/>
    <x v="213"/>
    <x v="198"/>
    <x v="228"/>
    <x v="260"/>
    <x v="235"/>
    <x v="142"/>
    <x v="224"/>
    <x v="212"/>
    <x v="249"/>
    <x v="218"/>
    <x v="264"/>
    <n v="157.30000000000001"/>
    <n v="140.5"/>
    <n v="154.80000000000001"/>
    <n v="149.80000000000001"/>
    <n v="160.80000000000001"/>
    <n v="147.5"/>
    <n v="150.69999999999999"/>
    <n v="158.1"/>
    <n v="158"/>
    <n v="153.4"/>
    <n v="160.4"/>
    <n v="167.84285714285713"/>
    <n v="150.86666666666667"/>
    <n v="160.5"/>
    <n v="156.1"/>
    <n v="154.15"/>
    <n v="789.45952380952383"/>
  </r>
  <r>
    <x v="2"/>
    <x v="8"/>
    <x v="5"/>
    <x v="203"/>
    <x v="242"/>
    <x v="232"/>
    <x v="215"/>
    <x v="199"/>
    <x v="229"/>
    <x v="261"/>
    <x v="104"/>
    <x v="100"/>
    <x v="225"/>
    <x v="200"/>
    <x v="250"/>
    <x v="219"/>
    <x v="265"/>
    <n v="162.19999999999999"/>
    <n v="151.80000000000001"/>
    <n v="160.69999999999999"/>
    <n v="154.80000000000001"/>
    <n v="166.3"/>
    <n v="150.69999999999999"/>
    <n v="154.9"/>
    <n v="161.69999999999999"/>
    <n v="158.80000000000001"/>
    <n v="157.6"/>
    <n v="161.30000000000001"/>
    <n v="166.05"/>
    <n v="158.23333333333332"/>
    <n v="160.5"/>
    <n v="159.80000000000001"/>
    <n v="157.86666666666667"/>
    <n v="802.44999999999993"/>
  </r>
  <r>
    <x v="0"/>
    <x v="8"/>
    <x v="6"/>
    <x v="174"/>
    <x v="243"/>
    <x v="233"/>
    <x v="216"/>
    <x v="200"/>
    <x v="230"/>
    <x v="262"/>
    <x v="236"/>
    <x v="187"/>
    <x v="220"/>
    <x v="213"/>
    <x v="251"/>
    <x v="220"/>
    <x v="266"/>
    <n v="166"/>
    <n v="161.1"/>
    <n v="165.3"/>
    <n v="160.30000000000001"/>
    <n v="170.4"/>
    <n v="157.1"/>
    <n v="160.69999999999999"/>
    <n v="167.2"/>
    <n v="160.4"/>
    <n v="162.80000000000001"/>
    <n v="163.19999999999999"/>
    <n v="165.8642857142857"/>
    <n v="164.13333333333335"/>
    <n v="161.5"/>
    <n v="162.5"/>
    <n v="162.68333333333334"/>
    <n v="816.68095238095248"/>
  </r>
  <r>
    <x v="1"/>
    <x v="8"/>
    <x v="6"/>
    <x v="204"/>
    <x v="244"/>
    <x v="234"/>
    <x v="217"/>
    <x v="201"/>
    <x v="231"/>
    <x v="263"/>
    <x v="237"/>
    <x v="184"/>
    <x v="224"/>
    <x v="194"/>
    <x v="252"/>
    <x v="221"/>
    <x v="267"/>
    <n v="157.9"/>
    <n v="141.9"/>
    <n v="155.5"/>
    <n v="150.69999999999999"/>
    <n v="161.5"/>
    <n v="149.5"/>
    <n v="151.19999999999999"/>
    <n v="160.30000000000001"/>
    <n v="159.6"/>
    <n v="155"/>
    <n v="161.80000000000001"/>
    <n v="169.09285714285716"/>
    <n v="151.76666666666668"/>
    <n v="161.5"/>
    <n v="157.69999999999999"/>
    <n v="155.46666666666667"/>
    <n v="795.52619047619055"/>
  </r>
  <r>
    <x v="2"/>
    <x v="8"/>
    <x v="6"/>
    <x v="205"/>
    <x v="245"/>
    <x v="235"/>
    <x v="218"/>
    <x v="202"/>
    <x v="232"/>
    <x v="264"/>
    <x v="238"/>
    <x v="188"/>
    <x v="226"/>
    <x v="214"/>
    <x v="253"/>
    <x v="222"/>
    <x v="268"/>
    <n v="162.80000000000001"/>
    <n v="153.1"/>
    <n v="161.4"/>
    <n v="155.80000000000001"/>
    <n v="167"/>
    <n v="153.1"/>
    <n v="155.30000000000001"/>
    <n v="163.19999999999999"/>
    <n v="160.1"/>
    <n v="159"/>
    <n v="162.5"/>
    <n v="167.01428571428571"/>
    <n v="159.1"/>
    <n v="161.5"/>
    <n v="160.69999999999999"/>
    <n v="159.08333333333334"/>
    <n v="807.39761904761906"/>
  </r>
  <r>
    <x v="0"/>
    <x v="8"/>
    <x v="7"/>
    <x v="165"/>
    <x v="246"/>
    <x v="236"/>
    <x v="218"/>
    <x v="203"/>
    <x v="209"/>
    <x v="265"/>
    <x v="95"/>
    <x v="143"/>
    <x v="227"/>
    <x v="215"/>
    <x v="254"/>
    <x v="223"/>
    <x v="248"/>
    <n v="167"/>
    <n v="162.6"/>
    <n v="166.3"/>
    <n v="160.9"/>
    <n v="171.1"/>
    <n v="157.69999999999999"/>
    <n v="161.1"/>
    <n v="167.5"/>
    <n v="160.30000000000001"/>
    <n v="163.30000000000001"/>
    <n v="163.6"/>
    <n v="165.78571428571428"/>
    <n v="165.3"/>
    <n v="162.1"/>
    <n v="163.1"/>
    <n v="163.1"/>
    <n v="819.38571428571436"/>
  </r>
  <r>
    <x v="1"/>
    <x v="8"/>
    <x v="7"/>
    <x v="206"/>
    <x v="247"/>
    <x v="237"/>
    <x v="219"/>
    <x v="204"/>
    <x v="233"/>
    <x v="266"/>
    <x v="239"/>
    <x v="189"/>
    <x v="228"/>
    <x v="216"/>
    <x v="255"/>
    <x v="224"/>
    <x v="269"/>
    <n v="159.80000000000001"/>
    <n v="143.6"/>
    <n v="157.30000000000001"/>
    <n v="153.19999999999999"/>
    <n v="162.80000000000001"/>
    <n v="150.4"/>
    <n v="153.69999999999999"/>
    <n v="160.4"/>
    <n v="159.6"/>
    <n v="156"/>
    <n v="162.30000000000001"/>
    <n v="168.17142857142858"/>
    <n v="153.56666666666666"/>
    <n v="162.1"/>
    <n v="160.69999999999999"/>
    <n v="156.68333333333331"/>
    <n v="801.22142857142842"/>
  </r>
  <r>
    <x v="2"/>
    <x v="8"/>
    <x v="7"/>
    <x v="207"/>
    <x v="248"/>
    <x v="238"/>
    <x v="220"/>
    <x v="205"/>
    <x v="234"/>
    <x v="94"/>
    <x v="240"/>
    <x v="190"/>
    <x v="229"/>
    <x v="217"/>
    <x v="256"/>
    <x v="222"/>
    <x v="270"/>
    <n v="164.5"/>
    <n v="155.30000000000001"/>
    <n v="163.19999999999999"/>
    <n v="157.5"/>
    <n v="168.4"/>
    <n v="154"/>
    <n v="157.6"/>
    <n v="163.80000000000001"/>
    <n v="160"/>
    <n v="160"/>
    <n v="163.19999999999999"/>
    <n v="166.72142857142856"/>
    <n v="161"/>
    <n v="162.1"/>
    <n v="162.6"/>
    <n v="160.21666666666667"/>
    <n v="812.63809523809527"/>
  </r>
  <r>
    <x v="0"/>
    <x v="8"/>
    <x v="8"/>
    <x v="193"/>
    <x v="249"/>
    <x v="239"/>
    <x v="221"/>
    <x v="206"/>
    <x v="235"/>
    <x v="113"/>
    <x v="241"/>
    <x v="191"/>
    <x v="230"/>
    <x v="218"/>
    <x v="257"/>
    <x v="225"/>
    <x v="271"/>
    <n v="167.7"/>
    <n v="163.6"/>
    <n v="167.1"/>
    <n v="161.30000000000001"/>
    <n v="171.9"/>
    <n v="157.80000000000001"/>
    <n v="162.69999999999999"/>
    <n v="168.5"/>
    <n v="160.19999999999999"/>
    <n v="163.80000000000001"/>
    <n v="164"/>
    <n v="166.00714285714284"/>
    <n v="166.13333333333333"/>
    <n v="162.1"/>
    <n v="163.69999999999999"/>
    <n v="163.73333333333335"/>
    <n v="821.6738095238095"/>
  </r>
  <r>
    <x v="1"/>
    <x v="8"/>
    <x v="8"/>
    <x v="206"/>
    <x v="247"/>
    <x v="237"/>
    <x v="222"/>
    <x v="204"/>
    <x v="236"/>
    <x v="26"/>
    <x v="239"/>
    <x v="189"/>
    <x v="228"/>
    <x v="216"/>
    <x v="255"/>
    <x v="224"/>
    <x v="269"/>
    <n v="159.80000000000001"/>
    <n v="143.6"/>
    <n v="157.4"/>
    <n v="153.30000000000001"/>
    <n v="162.80000000000001"/>
    <n v="150.5"/>
    <n v="153.9"/>
    <n v="160.30000000000001"/>
    <n v="159.6"/>
    <n v="156"/>
    <n v="162.30000000000001"/>
    <n v="168.17142857142858"/>
    <n v="153.6"/>
    <n v="162.1"/>
    <n v="160.80000000000001"/>
    <n v="156.73333333333332"/>
    <n v="801.40476190476193"/>
  </r>
  <r>
    <x v="2"/>
    <x v="8"/>
    <x v="8"/>
    <x v="207"/>
    <x v="248"/>
    <x v="238"/>
    <x v="220"/>
    <x v="205"/>
    <x v="237"/>
    <x v="267"/>
    <x v="240"/>
    <x v="190"/>
    <x v="229"/>
    <x v="217"/>
    <x v="256"/>
    <x v="222"/>
    <x v="270"/>
    <n v="164.6"/>
    <n v="155.30000000000001"/>
    <n v="163.30000000000001"/>
    <n v="157.5"/>
    <n v="168.4"/>
    <n v="154"/>
    <n v="157.69999999999999"/>
    <n v="163.69999999999999"/>
    <n v="160"/>
    <n v="160"/>
    <n v="163.19999999999999"/>
    <n v="166.72142857142856"/>
    <n v="161.06666666666666"/>
    <n v="162.1"/>
    <n v="162.6"/>
    <n v="160.21666666666667"/>
    <n v="812.70476190476199"/>
  </r>
  <r>
    <x v="0"/>
    <x v="8"/>
    <x v="9"/>
    <x v="208"/>
    <x v="235"/>
    <x v="240"/>
    <x v="220"/>
    <x v="207"/>
    <x v="215"/>
    <x v="268"/>
    <x v="242"/>
    <x v="192"/>
    <x v="231"/>
    <x v="219"/>
    <x v="258"/>
    <x v="226"/>
    <x v="268"/>
    <n v="168.9"/>
    <n v="164.8"/>
    <n v="168.3"/>
    <n v="162"/>
    <n v="172.5"/>
    <n v="159.5"/>
    <n v="163.19999999999999"/>
    <n v="169"/>
    <n v="161.1"/>
    <n v="164.7"/>
    <n v="166.3"/>
    <n v="168.2428571428571"/>
    <n v="167.33333333333334"/>
    <n v="163.6"/>
    <n v="165.5"/>
    <n v="164.55"/>
    <n v="829.22619047619037"/>
  </r>
  <r>
    <x v="1"/>
    <x v="8"/>
    <x v="9"/>
    <x v="209"/>
    <x v="250"/>
    <x v="228"/>
    <x v="219"/>
    <x v="208"/>
    <x v="238"/>
    <x v="269"/>
    <x v="85"/>
    <x v="133"/>
    <x v="232"/>
    <x v="220"/>
    <x v="259"/>
    <x v="227"/>
    <x v="272"/>
    <n v="160.80000000000001"/>
    <n v="144.4"/>
    <n v="158.30000000000001"/>
    <n v="154.30000000000001"/>
    <n v="163.5"/>
    <n v="152.19999999999999"/>
    <n v="155.1"/>
    <n v="160.30000000000001"/>
    <n v="160.30000000000001"/>
    <n v="157"/>
    <n v="164.6"/>
    <n v="171.10000000000005"/>
    <n v="154.50000000000003"/>
    <n v="163.6"/>
    <n v="162.19999999999999"/>
    <n v="157.61666666666667"/>
    <n v="809.01666666666677"/>
  </r>
  <r>
    <x v="2"/>
    <x v="8"/>
    <x v="9"/>
    <x v="210"/>
    <x v="251"/>
    <x v="241"/>
    <x v="223"/>
    <x v="209"/>
    <x v="209"/>
    <x v="270"/>
    <x v="242"/>
    <x v="136"/>
    <x v="233"/>
    <x v="221"/>
    <x v="260"/>
    <x v="228"/>
    <x v="273"/>
    <n v="165.7"/>
    <n v="156.30000000000001"/>
    <n v="164.3"/>
    <n v="158.4"/>
    <n v="169.1"/>
    <n v="155.69999999999999"/>
    <n v="158.6"/>
    <n v="163.9"/>
    <n v="160.80000000000001"/>
    <n v="161"/>
    <n v="165.5"/>
    <n v="169.15714285714284"/>
    <n v="162.1"/>
    <n v="163.6"/>
    <n v="164.2"/>
    <n v="161.08333333333334"/>
    <n v="820.14047619047631"/>
  </r>
  <r>
    <x v="0"/>
    <x v="8"/>
    <x v="10"/>
    <x v="187"/>
    <x v="252"/>
    <x v="242"/>
    <x v="222"/>
    <x v="210"/>
    <x v="164"/>
    <x v="271"/>
    <x v="81"/>
    <x v="127"/>
    <x v="234"/>
    <x v="222"/>
    <x v="261"/>
    <x v="229"/>
    <x v="274"/>
    <n v="170.4"/>
    <n v="166"/>
    <n v="169.8"/>
    <n v="162.9"/>
    <n v="173.4"/>
    <n v="158.9"/>
    <n v="163.80000000000001"/>
    <n v="169.3"/>
    <n v="162.4"/>
    <n v="165.2"/>
    <n v="167.6"/>
    <n v="169.52857142857144"/>
    <n v="168.73333333333332"/>
    <n v="164.2"/>
    <n v="165.3"/>
    <n v="165.11666666666665"/>
    <n v="832.87857142857149"/>
  </r>
  <r>
    <x v="1"/>
    <x v="8"/>
    <x v="10"/>
    <x v="211"/>
    <x v="253"/>
    <x v="243"/>
    <x v="224"/>
    <x v="211"/>
    <x v="239"/>
    <x v="272"/>
    <x v="232"/>
    <x v="193"/>
    <x v="235"/>
    <x v="197"/>
    <x v="262"/>
    <x v="230"/>
    <x v="272"/>
    <n v="162.30000000000001"/>
    <n v="145.30000000000001"/>
    <n v="159.69999999999999"/>
    <n v="155.19999999999999"/>
    <n v="164.2"/>
    <n v="151.19999999999999"/>
    <n v="156.69999999999999"/>
    <n v="160.80000000000001"/>
    <n v="161.80000000000001"/>
    <n v="157.30000000000001"/>
    <n v="165.6"/>
    <n v="172.4928571428571"/>
    <n v="155.76666666666668"/>
    <n v="164.2"/>
    <n v="161.6"/>
    <n v="158.31666666666663"/>
    <n v="812.37619047619035"/>
  </r>
  <r>
    <x v="2"/>
    <x v="8"/>
    <x v="10"/>
    <x v="181"/>
    <x v="254"/>
    <x v="228"/>
    <x v="225"/>
    <x v="212"/>
    <x v="240"/>
    <x v="273"/>
    <x v="85"/>
    <x v="129"/>
    <x v="236"/>
    <x v="223"/>
    <x v="263"/>
    <x v="231"/>
    <x v="275"/>
    <n v="167.2"/>
    <n v="157.4"/>
    <n v="165.8"/>
    <n v="159.30000000000001"/>
    <n v="169.9"/>
    <n v="154.80000000000001"/>
    <n v="159.80000000000001"/>
    <n v="164.3"/>
    <n v="162.19999999999999"/>
    <n v="161.4"/>
    <n v="166.7"/>
    <n v="170.5"/>
    <n v="163.46666666666667"/>
    <n v="164.2"/>
    <n v="163.9"/>
    <n v="161.7166666666667"/>
    <n v="823.78333333333342"/>
  </r>
  <r>
    <x v="0"/>
    <x v="8"/>
    <x v="11"/>
    <x v="210"/>
    <x v="210"/>
    <x v="236"/>
    <x v="226"/>
    <x v="213"/>
    <x v="241"/>
    <x v="274"/>
    <x v="239"/>
    <x v="194"/>
    <x v="237"/>
    <x v="224"/>
    <x v="255"/>
    <x v="232"/>
    <x v="265"/>
    <n v="171.8"/>
    <n v="167.3"/>
    <n v="171.2"/>
    <n v="163.9"/>
    <n v="174"/>
    <n v="160.1"/>
    <n v="164.5"/>
    <n v="169.7"/>
    <n v="162.80000000000001"/>
    <n v="166"/>
    <n v="167"/>
    <n v="168.5"/>
    <n v="170.1"/>
    <n v="163.4"/>
    <n v="165.6"/>
    <n v="165.83333333333334"/>
    <n v="833.43333333333339"/>
  </r>
  <r>
    <x v="1"/>
    <x v="8"/>
    <x v="11"/>
    <x v="185"/>
    <x v="255"/>
    <x v="244"/>
    <x v="227"/>
    <x v="214"/>
    <x v="242"/>
    <x v="275"/>
    <x v="243"/>
    <x v="136"/>
    <x v="222"/>
    <x v="204"/>
    <x v="264"/>
    <x v="233"/>
    <x v="276"/>
    <n v="163.30000000000001"/>
    <n v="146.69999999999999"/>
    <n v="160.69999999999999"/>
    <n v="156"/>
    <n v="165.1"/>
    <n v="151.80000000000001"/>
    <n v="157.6"/>
    <n v="160.6"/>
    <n v="162.4"/>
    <n v="157.80000000000001"/>
    <n v="165.2"/>
    <n v="171.65000000000003"/>
    <n v="156.9"/>
    <n v="163.4"/>
    <n v="161.69999999999999"/>
    <n v="158.91666666666666"/>
    <n v="812.56666666666672"/>
  </r>
  <r>
    <x v="2"/>
    <x v="8"/>
    <x v="11"/>
    <x v="177"/>
    <x v="256"/>
    <x v="245"/>
    <x v="228"/>
    <x v="215"/>
    <x v="243"/>
    <x v="276"/>
    <x v="244"/>
    <x v="119"/>
    <x v="238"/>
    <x v="225"/>
    <x v="265"/>
    <x v="234"/>
    <x v="277"/>
    <n v="168.5"/>
    <n v="158.69999999999999"/>
    <n v="167"/>
    <n v="160.19999999999999"/>
    <n v="170.6"/>
    <n v="155.69999999999999"/>
    <n v="160.6"/>
    <n v="164.4"/>
    <n v="162.6"/>
    <n v="162"/>
    <n v="166.2"/>
    <n v="169.52142857142857"/>
    <n v="164.73333333333332"/>
    <n v="163.4"/>
    <n v="164.1"/>
    <n v="162.35"/>
    <n v="824.10476190476197"/>
  </r>
  <r>
    <x v="0"/>
    <x v="9"/>
    <x v="0"/>
    <x v="212"/>
    <x v="257"/>
    <x v="246"/>
    <x v="229"/>
    <x v="216"/>
    <x v="210"/>
    <x v="180"/>
    <x v="238"/>
    <x v="191"/>
    <x v="239"/>
    <x v="226"/>
    <x v="266"/>
    <x v="235"/>
    <x v="278"/>
    <n v="173.2"/>
    <n v="169.3"/>
    <n v="172.7"/>
    <n v="164.9"/>
    <n v="174.7"/>
    <n v="160.80000000000001"/>
    <n v="164.9"/>
    <n v="169.9"/>
    <n v="163.19999999999999"/>
    <n v="166.6"/>
    <n v="166.4"/>
    <n v="167.40714285714284"/>
    <n v="171.73333333333335"/>
    <n v="164.5"/>
    <n v="165.8"/>
    <n v="166.4"/>
    <n v="835.84047619047612"/>
  </r>
  <r>
    <x v="1"/>
    <x v="9"/>
    <x v="0"/>
    <x v="213"/>
    <x v="249"/>
    <x v="247"/>
    <x v="230"/>
    <x v="217"/>
    <x v="240"/>
    <x v="277"/>
    <x v="92"/>
    <x v="195"/>
    <x v="227"/>
    <x v="227"/>
    <x v="267"/>
    <x v="236"/>
    <x v="279"/>
    <n v="164.7"/>
    <n v="148.5"/>
    <n v="162.19999999999999"/>
    <n v="156.80000000000001"/>
    <n v="166.1"/>
    <n v="152.69999999999999"/>
    <n v="158.4"/>
    <n v="161"/>
    <n v="162.80000000000001"/>
    <n v="158.6"/>
    <n v="165"/>
    <n v="170.22142857142856"/>
    <n v="158.46666666666667"/>
    <n v="164.5"/>
    <n v="161.6"/>
    <n v="159.63333333333333"/>
    <n v="814.42142857142858"/>
  </r>
  <r>
    <x v="2"/>
    <x v="9"/>
    <x v="0"/>
    <x v="214"/>
    <x v="258"/>
    <x v="248"/>
    <x v="229"/>
    <x v="218"/>
    <x v="220"/>
    <x v="24"/>
    <x v="241"/>
    <x v="124"/>
    <x v="240"/>
    <x v="228"/>
    <x v="268"/>
    <x v="237"/>
    <x v="280"/>
    <n v="169.9"/>
    <n v="160.69999999999999"/>
    <n v="168.5"/>
    <n v="161.1"/>
    <n v="171.4"/>
    <n v="156.5"/>
    <n v="161.19999999999999"/>
    <n v="164.7"/>
    <n v="163"/>
    <n v="162.69999999999999"/>
    <n v="165.7"/>
    <n v="168.31428571428569"/>
    <n v="166.36666666666667"/>
    <n v="164.5"/>
    <n v="164.2"/>
    <n v="162.98333333333335"/>
    <n v="826.36428571428564"/>
  </r>
  <r>
    <x v="0"/>
    <x v="9"/>
    <x v="1"/>
    <x v="200"/>
    <x v="259"/>
    <x v="249"/>
    <x v="231"/>
    <x v="216"/>
    <x v="244"/>
    <x v="97"/>
    <x v="241"/>
    <x v="181"/>
    <x v="241"/>
    <x v="229"/>
    <x v="269"/>
    <x v="238"/>
    <x v="281"/>
    <n v="174.1"/>
    <n v="171"/>
    <n v="173.7"/>
    <n v="165.7"/>
    <n v="175.3"/>
    <n v="161.19999999999999"/>
    <n v="165.5"/>
    <n v="170.3"/>
    <n v="164.5"/>
    <n v="167.3"/>
    <n v="166.7"/>
    <n v="167.27857142857144"/>
    <n v="172.93333333333331"/>
    <n v="165.5"/>
    <n v="167.4"/>
    <n v="167.08333333333334"/>
    <n v="840.1952380952381"/>
  </r>
  <r>
    <x v="1"/>
    <x v="9"/>
    <x v="1"/>
    <x v="215"/>
    <x v="260"/>
    <x v="250"/>
    <x v="232"/>
    <x v="219"/>
    <x v="156"/>
    <x v="278"/>
    <x v="245"/>
    <x v="194"/>
    <x v="242"/>
    <x v="230"/>
    <x v="270"/>
    <x v="239"/>
    <x v="269"/>
    <n v="165.7"/>
    <n v="150.4"/>
    <n v="163.4"/>
    <n v="157.4"/>
    <n v="167.2"/>
    <n v="153.1"/>
    <n v="159.5"/>
    <n v="162"/>
    <n v="164.2"/>
    <n v="159.4"/>
    <n v="165.5"/>
    <n v="170"/>
    <n v="159.83333333333334"/>
    <n v="165.5"/>
    <n v="163"/>
    <n v="160.56666666666669"/>
    <n v="818.90000000000009"/>
  </r>
  <r>
    <x v="2"/>
    <x v="9"/>
    <x v="1"/>
    <x v="216"/>
    <x v="261"/>
    <x v="251"/>
    <x v="231"/>
    <x v="220"/>
    <x v="220"/>
    <x v="279"/>
    <x v="246"/>
    <x v="121"/>
    <x v="243"/>
    <x v="231"/>
    <x v="271"/>
    <x v="218"/>
    <x v="282"/>
    <n v="170.8"/>
    <n v="162.4"/>
    <n v="169.6"/>
    <n v="161.80000000000001"/>
    <n v="172.2"/>
    <n v="156.9"/>
    <n v="162.1"/>
    <n v="165.4"/>
    <n v="164.4"/>
    <n v="163.5"/>
    <n v="166.1"/>
    <n v="168.14285714285717"/>
    <n v="167.60000000000002"/>
    <n v="165.5"/>
    <n v="165.7"/>
    <n v="163.79999999999998"/>
    <n v="830.74285714285713"/>
  </r>
  <r>
    <x v="0"/>
    <x v="9"/>
    <x v="2"/>
    <x v="217"/>
    <x v="262"/>
    <x v="252"/>
    <x v="233"/>
    <x v="221"/>
    <x v="245"/>
    <x v="280"/>
    <x v="243"/>
    <x v="181"/>
    <x v="244"/>
    <x v="232"/>
    <x v="272"/>
    <x v="240"/>
    <x v="283"/>
    <n v="175.4"/>
    <n v="173.2"/>
    <n v="175.1"/>
    <n v="166.5"/>
    <n v="176"/>
    <n v="162"/>
    <n v="166.6"/>
    <n v="170.6"/>
    <n v="167.4"/>
    <n v="168.3"/>
    <n v="168.7"/>
    <n v="169.38571428571433"/>
    <n v="174.56666666666669"/>
    <n v="165.3"/>
    <n v="168.9"/>
    <n v="168.18333333333334"/>
    <n v="846.3357142857144"/>
  </r>
  <r>
    <x v="1"/>
    <x v="9"/>
    <x v="2"/>
    <x v="218"/>
    <x v="263"/>
    <x v="253"/>
    <x v="234"/>
    <x v="222"/>
    <x v="246"/>
    <x v="214"/>
    <x v="247"/>
    <x v="113"/>
    <x v="245"/>
    <x v="233"/>
    <x v="273"/>
    <x v="227"/>
    <x v="284"/>
    <n v="167.1"/>
    <n v="152.6"/>
    <n v="164.9"/>
    <n v="158.6"/>
    <n v="168.2"/>
    <n v="154.19999999999999"/>
    <n v="160.80000000000001"/>
    <n v="162.69999999999999"/>
    <n v="166.8"/>
    <n v="160.6"/>
    <n v="166.5"/>
    <n v="170.98571428571429"/>
    <n v="161.53333333333333"/>
    <n v="165.3"/>
    <n v="164.5"/>
    <n v="161.88333333333333"/>
    <n v="824.20238095238096"/>
  </r>
  <r>
    <x v="2"/>
    <x v="9"/>
    <x v="2"/>
    <x v="219"/>
    <x v="264"/>
    <x v="254"/>
    <x v="235"/>
    <x v="223"/>
    <x v="247"/>
    <x v="281"/>
    <x v="241"/>
    <x v="138"/>
    <x v="246"/>
    <x v="234"/>
    <x v="274"/>
    <x v="241"/>
    <x v="285"/>
    <n v="172.1"/>
    <n v="164.6"/>
    <n v="171.1"/>
    <n v="162.80000000000001"/>
    <n v="173"/>
    <n v="157.9"/>
    <n v="163.30000000000001"/>
    <n v="166"/>
    <n v="167.2"/>
    <n v="164.6"/>
    <n v="167.7"/>
    <n v="169.85"/>
    <n v="169.26666666666665"/>
    <n v="165.3"/>
    <n v="167.2"/>
    <n v="165.03333333333333"/>
    <n v="836.65"/>
  </r>
  <r>
    <x v="0"/>
    <x v="9"/>
    <x v="3"/>
    <x v="176"/>
    <x v="265"/>
    <x v="255"/>
    <x v="236"/>
    <x v="224"/>
    <x v="248"/>
    <x v="89"/>
    <x v="232"/>
    <x v="196"/>
    <x v="247"/>
    <x v="235"/>
    <x v="275"/>
    <x v="242"/>
    <x v="282"/>
    <n v="177.5"/>
    <n v="175.1"/>
    <n v="177.1"/>
    <n v="167.7"/>
    <n v="177"/>
    <n v="166.2"/>
    <n v="167.2"/>
    <n v="170.9"/>
    <n v="169"/>
    <n v="170.2"/>
    <n v="170.8"/>
    <n v="171.3857142857143"/>
    <n v="176.56666666666669"/>
    <n v="167"/>
    <n v="173.3"/>
    <n v="169.66666666666666"/>
    <n v="857.91904761904755"/>
  </r>
  <r>
    <x v="1"/>
    <x v="9"/>
    <x v="3"/>
    <x v="220"/>
    <x v="263"/>
    <x v="226"/>
    <x v="237"/>
    <x v="225"/>
    <x v="249"/>
    <x v="282"/>
    <x v="238"/>
    <x v="126"/>
    <x v="248"/>
    <x v="236"/>
    <x v="276"/>
    <x v="243"/>
    <x v="286"/>
    <n v="168.4"/>
    <n v="154.5"/>
    <n v="166.3"/>
    <n v="159.80000000000001"/>
    <n v="169"/>
    <n v="159.30000000000001"/>
    <n v="162.19999999999999"/>
    <n v="164"/>
    <n v="168.4"/>
    <n v="163.1"/>
    <n v="169.2"/>
    <n v="173.39285714285714"/>
    <n v="163.06666666666666"/>
    <n v="167"/>
    <n v="170.5"/>
    <n v="163.78333333333333"/>
    <n v="837.74285714285713"/>
  </r>
  <r>
    <x v="2"/>
    <x v="9"/>
    <x v="3"/>
    <x v="221"/>
    <x v="266"/>
    <x v="255"/>
    <x v="238"/>
    <x v="226"/>
    <x v="250"/>
    <x v="283"/>
    <x v="237"/>
    <x v="197"/>
    <x v="249"/>
    <x v="213"/>
    <x v="277"/>
    <x v="244"/>
    <x v="287"/>
    <n v="173.9"/>
    <n v="166.5"/>
    <n v="172.8"/>
    <n v="164"/>
    <n v="174"/>
    <n v="162.6"/>
    <n v="164.4"/>
    <n v="166.9"/>
    <n v="168.8"/>
    <n v="166.8"/>
    <n v="170.1"/>
    <n v="172.01428571428573"/>
    <n v="171.06666666666669"/>
    <n v="167"/>
    <n v="172.2"/>
    <n v="166.78333333333333"/>
    <n v="849.06428571428569"/>
  </r>
  <r>
    <x v="0"/>
    <x v="9"/>
    <x v="4"/>
    <x v="221"/>
    <x v="267"/>
    <x v="210"/>
    <x v="239"/>
    <x v="227"/>
    <x v="251"/>
    <x v="96"/>
    <x v="248"/>
    <x v="121"/>
    <x v="250"/>
    <x v="237"/>
    <x v="278"/>
    <x v="244"/>
    <x v="275"/>
    <n v="179.3"/>
    <n v="177.2"/>
    <n v="179"/>
    <n v="168.9"/>
    <n v="177.7"/>
    <n v="167.1"/>
    <n v="167.6"/>
    <n v="171.8"/>
    <n v="168.5"/>
    <n v="170.9"/>
    <n v="172.5"/>
    <n v="172.83571428571432"/>
    <n v="178.5"/>
    <n v="167.5"/>
    <n v="175.3"/>
    <n v="170.26666666666668"/>
    <n v="864.40238095238101"/>
  </r>
  <r>
    <x v="1"/>
    <x v="9"/>
    <x v="4"/>
    <x v="222"/>
    <x v="268"/>
    <x v="256"/>
    <x v="240"/>
    <x v="228"/>
    <x v="252"/>
    <x v="284"/>
    <x v="240"/>
    <x v="128"/>
    <x v="251"/>
    <x v="238"/>
    <x v="279"/>
    <x v="245"/>
    <x v="284"/>
    <n v="170"/>
    <n v="155.9"/>
    <n v="167.8"/>
    <n v="161.1"/>
    <n v="170.1"/>
    <n v="159.4"/>
    <n v="163.19999999999999"/>
    <n v="165.2"/>
    <n v="168.2"/>
    <n v="163.80000000000001"/>
    <n v="170.8"/>
    <n v="175.69285714285715"/>
    <n v="164.56666666666666"/>
    <n v="167.5"/>
    <n v="173.5"/>
    <n v="164.53333333333333"/>
    <n v="845.79285714285709"/>
  </r>
  <r>
    <x v="2"/>
    <x v="9"/>
    <x v="4"/>
    <x v="223"/>
    <x v="269"/>
    <x v="257"/>
    <x v="241"/>
    <x v="229"/>
    <x v="253"/>
    <x v="285"/>
    <x v="237"/>
    <x v="190"/>
    <x v="252"/>
    <x v="239"/>
    <x v="280"/>
    <x v="246"/>
    <x v="288"/>
    <n v="175.6"/>
    <n v="168.4"/>
    <n v="174.6"/>
    <n v="165.2"/>
    <n v="174.8"/>
    <n v="163"/>
    <n v="165.1"/>
    <n v="167.9"/>
    <n v="168.4"/>
    <n v="167.5"/>
    <n v="171.7"/>
    <n v="173.78571428571431"/>
    <n v="172.86666666666667"/>
    <n v="167.5"/>
    <n v="174.6"/>
    <n v="167.4"/>
    <n v="856.15238095238101"/>
  </r>
  <r>
    <x v="0"/>
    <x v="9"/>
    <x v="5"/>
    <x v="224"/>
    <x v="270"/>
    <x v="258"/>
    <x v="240"/>
    <x v="230"/>
    <x v="254"/>
    <x v="286"/>
    <x v="249"/>
    <x v="198"/>
    <x v="253"/>
    <x v="240"/>
    <x v="281"/>
    <x v="247"/>
    <x v="275"/>
    <n v="180.7"/>
    <n v="178.7"/>
    <n v="180.4"/>
    <n v="170.3"/>
    <n v="178.2"/>
    <n v="165.5"/>
    <n v="168"/>
    <n v="172.6"/>
    <n v="169.5"/>
    <n v="171"/>
    <n v="173.6"/>
    <n v="174.37142857142859"/>
    <n v="179.93333333333331"/>
    <n v="166.8"/>
    <n v="176.7"/>
    <n v="170.68333333333331"/>
    <n v="868.4880952380953"/>
  </r>
  <r>
    <x v="1"/>
    <x v="9"/>
    <x v="5"/>
    <x v="225"/>
    <x v="271"/>
    <x v="238"/>
    <x v="242"/>
    <x v="231"/>
    <x v="255"/>
    <x v="287"/>
    <x v="236"/>
    <x v="130"/>
    <x v="254"/>
    <x v="241"/>
    <x v="282"/>
    <x v="248"/>
    <x v="289"/>
    <n v="171.6"/>
    <n v="157.4"/>
    <n v="169.4"/>
    <n v="162.1"/>
    <n v="170.9"/>
    <n v="157.19999999999999"/>
    <n v="164.1"/>
    <n v="166.5"/>
    <n v="169.2"/>
    <n v="163.80000000000001"/>
    <n v="171.4"/>
    <n v="177.55714285714288"/>
    <n v="166.13333333333333"/>
    <n v="166.8"/>
    <n v="174.9"/>
    <n v="165"/>
    <n v="850.39047619047619"/>
  </r>
  <r>
    <x v="2"/>
    <x v="9"/>
    <x v="5"/>
    <x v="226"/>
    <x v="272"/>
    <x v="259"/>
    <x v="243"/>
    <x v="232"/>
    <x v="248"/>
    <x v="288"/>
    <x v="100"/>
    <x v="199"/>
    <x v="255"/>
    <x v="242"/>
    <x v="283"/>
    <x v="249"/>
    <x v="290"/>
    <n v="177.1"/>
    <n v="169.9"/>
    <n v="176"/>
    <n v="166.4"/>
    <n v="175.4"/>
    <n v="161.1"/>
    <n v="165.8"/>
    <n v="169"/>
    <n v="169.4"/>
    <n v="167.5"/>
    <n v="172.6"/>
    <n v="175.44285714285715"/>
    <n v="174.33333333333334"/>
    <n v="166.8"/>
    <n v="176"/>
    <n v="167.85"/>
    <n v="860.42619047619053"/>
  </r>
  <r>
    <x v="0"/>
    <x v="9"/>
    <x v="6"/>
    <x v="227"/>
    <x v="273"/>
    <x v="260"/>
    <x v="244"/>
    <x v="233"/>
    <x v="256"/>
    <x v="58"/>
    <x v="244"/>
    <x v="200"/>
    <x v="256"/>
    <x v="243"/>
    <x v="284"/>
    <x v="250"/>
    <x v="291"/>
    <n v="182"/>
    <n v="180.3"/>
    <n v="181.7"/>
    <n v="171.3"/>
    <n v="178.8"/>
    <n v="166.3"/>
    <n v="168.6"/>
    <n v="174.7"/>
    <n v="169.7"/>
    <n v="171.8"/>
    <n v="174.3"/>
    <n v="174.69285714285712"/>
    <n v="181.33333333333334"/>
    <n v="167.8"/>
    <n v="179.6"/>
    <n v="171.56666666666669"/>
    <n v="874.99285714285725"/>
  </r>
  <r>
    <x v="1"/>
    <x v="9"/>
    <x v="6"/>
    <x v="228"/>
    <x v="274"/>
    <x v="261"/>
    <x v="245"/>
    <x v="234"/>
    <x v="257"/>
    <x v="289"/>
    <x v="238"/>
    <x v="125"/>
    <x v="257"/>
    <x v="244"/>
    <x v="285"/>
    <x v="251"/>
    <x v="292"/>
    <n v="172.7"/>
    <n v="158.69999999999999"/>
    <n v="170.6"/>
    <n v="163.1"/>
    <n v="171.7"/>
    <n v="157.4"/>
    <n v="164.6"/>
    <n v="169.1"/>
    <n v="169.8"/>
    <n v="164.7"/>
    <n v="172.3"/>
    <n v="177.87142857142857"/>
    <n v="167.33333333333334"/>
    <n v="167.8"/>
    <n v="179.5"/>
    <n v="165.95000000000002"/>
    <n v="858.45476190476188"/>
  </r>
  <r>
    <x v="2"/>
    <x v="9"/>
    <x v="6"/>
    <x v="229"/>
    <x v="275"/>
    <x v="262"/>
    <x v="246"/>
    <x v="213"/>
    <x v="258"/>
    <x v="290"/>
    <x v="100"/>
    <x v="124"/>
    <x v="258"/>
    <x v="245"/>
    <x v="286"/>
    <x v="252"/>
    <x v="293"/>
    <n v="178.3"/>
    <n v="171.3"/>
    <n v="177.3"/>
    <n v="167.4"/>
    <n v="176.1"/>
    <n v="161.6"/>
    <n v="166.3"/>
    <n v="171.4"/>
    <n v="169.7"/>
    <n v="168.4"/>
    <n v="173.4"/>
    <n v="175.77857142857144"/>
    <n v="175.63333333333335"/>
    <n v="167.8"/>
    <n v="179.6"/>
    <n v="168.75"/>
    <n v="867.56190476190488"/>
  </r>
  <r>
    <x v="0"/>
    <x v="9"/>
    <x v="7"/>
    <x v="230"/>
    <x v="276"/>
    <x v="263"/>
    <x v="247"/>
    <x v="235"/>
    <x v="259"/>
    <x v="291"/>
    <x v="250"/>
    <x v="201"/>
    <x v="259"/>
    <x v="246"/>
    <x v="287"/>
    <x v="253"/>
    <x v="285"/>
    <n v="183.2"/>
    <n v="181.7"/>
    <n v="183"/>
    <n v="172.3"/>
    <n v="179.4"/>
    <n v="166.6"/>
    <n v="169.3"/>
    <n v="175.7"/>
    <n v="171.1"/>
    <n v="172.6"/>
    <n v="175.3"/>
    <n v="174.96428571428569"/>
    <n v="182.63333333333333"/>
    <n v="169"/>
    <n v="179.1"/>
    <n v="172.4"/>
    <n v="878.09761904761899"/>
  </r>
  <r>
    <x v="1"/>
    <x v="9"/>
    <x v="7"/>
    <x v="231"/>
    <x v="244"/>
    <x v="264"/>
    <x v="248"/>
    <x v="236"/>
    <x v="260"/>
    <x v="292"/>
    <x v="251"/>
    <x v="202"/>
    <x v="260"/>
    <x v="247"/>
    <x v="288"/>
    <x v="254"/>
    <x v="294"/>
    <n v="173.7"/>
    <n v="160"/>
    <n v="171.6"/>
    <n v="164.2"/>
    <n v="172.6"/>
    <n v="157.69999999999999"/>
    <n v="165.1"/>
    <n v="169.9"/>
    <n v="171.4"/>
    <n v="165.4"/>
    <n v="173.1"/>
    <n v="178.02857142857141"/>
    <n v="168.43333333333331"/>
    <n v="169"/>
    <n v="178.4"/>
    <n v="166.81666666666663"/>
    <n v="860.67857142857133"/>
  </r>
  <r>
    <x v="2"/>
    <x v="9"/>
    <x v="7"/>
    <x v="232"/>
    <x v="277"/>
    <x v="265"/>
    <x v="249"/>
    <x v="237"/>
    <x v="261"/>
    <x v="239"/>
    <x v="252"/>
    <x v="122"/>
    <x v="261"/>
    <x v="219"/>
    <x v="282"/>
    <x v="255"/>
    <x v="295"/>
    <n v="179.5"/>
    <n v="172.7"/>
    <n v="178.5"/>
    <n v="168.5"/>
    <n v="176.8"/>
    <n v="161.9"/>
    <n v="166.9"/>
    <n v="172.3"/>
    <n v="171.2"/>
    <n v="169.1"/>
    <n v="174.3"/>
    <n v="176.01428571428573"/>
    <n v="176.9"/>
    <n v="169"/>
    <n v="178.8"/>
    <n v="169.60000000000002"/>
    <n v="870.3142857142858"/>
  </r>
  <r>
    <x v="0"/>
    <x v="9"/>
    <x v="8"/>
    <x v="233"/>
    <x v="278"/>
    <x v="266"/>
    <x v="250"/>
    <x v="238"/>
    <x v="262"/>
    <x v="293"/>
    <x v="253"/>
    <x v="116"/>
    <x v="262"/>
    <x v="248"/>
    <x v="289"/>
    <x v="256"/>
    <x v="296"/>
    <n v="184.7"/>
    <n v="183.3"/>
    <n v="184.5"/>
    <n v="173.6"/>
    <n v="180.2"/>
    <n v="166.9"/>
    <n v="170"/>
    <n v="176.2"/>
    <n v="170.8"/>
    <n v="173.1"/>
    <n v="176.4"/>
    <n v="175.87857142857143"/>
    <n v="184.16666666666666"/>
    <n v="169.5"/>
    <n v="179.7"/>
    <n v="172.94999999999996"/>
    <n v="882.1952380952381"/>
  </r>
  <r>
    <x v="1"/>
    <x v="9"/>
    <x v="8"/>
    <x v="234"/>
    <x v="279"/>
    <x v="267"/>
    <x v="251"/>
    <x v="239"/>
    <x v="263"/>
    <x v="294"/>
    <x v="107"/>
    <x v="193"/>
    <x v="261"/>
    <x v="249"/>
    <x v="290"/>
    <x v="257"/>
    <x v="297"/>
    <n v="175"/>
    <n v="161.69999999999999"/>
    <n v="173"/>
    <n v="165"/>
    <n v="173.8"/>
    <n v="158.19999999999999"/>
    <n v="165.8"/>
    <n v="170.9"/>
    <n v="171.1"/>
    <n v="166.1"/>
    <n v="174.1"/>
    <n v="179.00714285714284"/>
    <n v="169.9"/>
    <n v="169.5"/>
    <n v="179.2"/>
    <n v="167.46666666666667"/>
    <n v="865.07380952380959"/>
  </r>
  <r>
    <x v="2"/>
    <x v="9"/>
    <x v="8"/>
    <x v="235"/>
    <x v="280"/>
    <x v="268"/>
    <x v="252"/>
    <x v="200"/>
    <x v="264"/>
    <x v="295"/>
    <x v="254"/>
    <x v="192"/>
    <x v="263"/>
    <x v="250"/>
    <x v="291"/>
    <x v="258"/>
    <x v="298"/>
    <n v="180.9"/>
    <n v="174.3"/>
    <n v="179.9"/>
    <n v="169.5"/>
    <n v="177.8"/>
    <n v="162.30000000000001"/>
    <n v="167.6"/>
    <n v="173.1"/>
    <n v="170.9"/>
    <n v="169.7"/>
    <n v="175.3"/>
    <n v="176.91428571428574"/>
    <n v="178.36666666666667"/>
    <n v="169.5"/>
    <n v="179.5"/>
    <n v="170.20000000000002"/>
    <n v="874.48095238095243"/>
  </r>
  <r>
    <x v="0"/>
    <x v="9"/>
    <x v="9"/>
    <x v="236"/>
    <x v="281"/>
    <x v="229"/>
    <x v="253"/>
    <x v="240"/>
    <x v="265"/>
    <x v="296"/>
    <x v="255"/>
    <x v="203"/>
    <x v="264"/>
    <x v="251"/>
    <x v="292"/>
    <x v="259"/>
    <x v="299"/>
    <n v="186.1"/>
    <n v="184.4"/>
    <n v="185.9"/>
    <n v="174.4"/>
    <n v="181.2"/>
    <n v="167.4"/>
    <n v="170.6"/>
    <n v="176.5"/>
    <n v="172"/>
    <n v="173.9"/>
    <n v="177.9"/>
    <n v="177.1"/>
    <n v="185.46666666666667"/>
    <n v="171.2"/>
    <n v="180.8"/>
    <n v="173.68333333333331"/>
    <n v="888.24999999999989"/>
  </r>
  <r>
    <x v="1"/>
    <x v="9"/>
    <x v="9"/>
    <x v="237"/>
    <x v="282"/>
    <x v="269"/>
    <x v="254"/>
    <x v="241"/>
    <x v="264"/>
    <x v="297"/>
    <x v="256"/>
    <x v="204"/>
    <x v="265"/>
    <x v="252"/>
    <x v="293"/>
    <x v="260"/>
    <x v="300"/>
    <n v="175.5"/>
    <n v="162.6"/>
    <n v="173.6"/>
    <n v="166"/>
    <n v="174.7"/>
    <n v="158.80000000000001"/>
    <n v="166.3"/>
    <n v="171.2"/>
    <n v="172.3"/>
    <n v="166.8"/>
    <n v="175.3"/>
    <n v="180.17142857142858"/>
    <n v="170.56666666666669"/>
    <n v="171.2"/>
    <n v="180"/>
    <n v="168.21666666666667"/>
    <n v="870.15476190476193"/>
  </r>
  <r>
    <x v="2"/>
    <x v="9"/>
    <x v="9"/>
    <x v="238"/>
    <x v="244"/>
    <x v="267"/>
    <x v="253"/>
    <x v="242"/>
    <x v="266"/>
    <x v="298"/>
    <x v="257"/>
    <x v="136"/>
    <x v="266"/>
    <x v="253"/>
    <x v="294"/>
    <x v="261"/>
    <x v="301"/>
    <n v="181.9"/>
    <n v="175.3"/>
    <n v="181"/>
    <n v="170.4"/>
    <n v="178.7"/>
    <n v="162.9"/>
    <n v="168.2"/>
    <n v="173.4"/>
    <n v="172.1"/>
    <n v="170.5"/>
    <n v="176.7"/>
    <n v="178.11428571428573"/>
    <n v="179.4"/>
    <n v="171.2"/>
    <n v="180.5"/>
    <n v="170.95000000000002"/>
    <n v="880.16428571428582"/>
  </r>
  <r>
    <x v="0"/>
    <x v="9"/>
    <x v="10"/>
    <x v="239"/>
    <x v="283"/>
    <x v="270"/>
    <x v="255"/>
    <x v="243"/>
    <x v="267"/>
    <x v="299"/>
    <x v="118"/>
    <x v="125"/>
    <x v="267"/>
    <x v="254"/>
    <x v="295"/>
    <x v="262"/>
    <x v="267"/>
    <n v="187.2"/>
    <n v="185.2"/>
    <n v="186.9"/>
    <n v="175.5"/>
    <n v="182.3"/>
    <n v="167.5"/>
    <n v="170.8"/>
    <n v="176.9"/>
    <n v="173.4"/>
    <n v="174.6"/>
    <n v="177.8"/>
    <n v="177.37142857142857"/>
    <n v="186.43333333333331"/>
    <n v="171.8"/>
    <n v="181.9"/>
    <n v="174.39999999999998"/>
    <n v="891.90476190476193"/>
  </r>
  <r>
    <x v="1"/>
    <x v="9"/>
    <x v="10"/>
    <x v="240"/>
    <x v="284"/>
    <x v="271"/>
    <x v="255"/>
    <x v="222"/>
    <x v="268"/>
    <x v="300"/>
    <x v="258"/>
    <x v="204"/>
    <x v="268"/>
    <x v="255"/>
    <x v="296"/>
    <x v="263"/>
    <x v="302"/>
    <n v="176.7"/>
    <n v="163.5"/>
    <n v="174.7"/>
    <n v="166.9"/>
    <n v="175.8"/>
    <n v="158.9"/>
    <n v="166.7"/>
    <n v="171.5"/>
    <n v="173.8"/>
    <n v="167.4"/>
    <n v="174.1"/>
    <n v="179.64285714285714"/>
    <n v="171.63333333333333"/>
    <n v="171.8"/>
    <n v="180.3"/>
    <n v="168.93333333333331"/>
    <n v="872.30952380952374"/>
  </r>
  <r>
    <x v="2"/>
    <x v="9"/>
    <x v="10"/>
    <x v="241"/>
    <x v="285"/>
    <x v="272"/>
    <x v="255"/>
    <x v="244"/>
    <x v="269"/>
    <x v="30"/>
    <x v="259"/>
    <x v="127"/>
    <x v="269"/>
    <x v="256"/>
    <x v="297"/>
    <x v="264"/>
    <x v="303"/>
    <n v="183.1"/>
    <n v="176.2"/>
    <n v="182.1"/>
    <n v="171.4"/>
    <n v="179.8"/>
    <n v="163"/>
    <n v="168.5"/>
    <n v="173.7"/>
    <n v="173.6"/>
    <n v="171.1"/>
    <n v="176.5"/>
    <n v="178.12142857142859"/>
    <n v="180.46666666666667"/>
    <n v="171.8"/>
    <n v="181.3"/>
    <n v="171.66666666666666"/>
    <n v="883.35476190476186"/>
  </r>
  <r>
    <x v="0"/>
    <x v="9"/>
    <x v="11"/>
    <x v="242"/>
    <x v="286"/>
    <x v="273"/>
    <x v="256"/>
    <x v="245"/>
    <x v="237"/>
    <x v="301"/>
    <x v="259"/>
    <x v="128"/>
    <x v="270"/>
    <x v="257"/>
    <x v="285"/>
    <x v="265"/>
    <x v="298"/>
    <n v="188.1"/>
    <n v="185.9"/>
    <n v="187.8"/>
    <n v="176.4"/>
    <n v="183.5"/>
    <n v="167.8"/>
    <n v="171.2"/>
    <n v="177.3"/>
    <n v="175.7"/>
    <n v="175.5"/>
    <n v="177.1"/>
    <n v="176.64285714285714"/>
    <n v="187.26666666666665"/>
    <n v="170.7"/>
    <n v="182.8"/>
    <n v="175.31666666666669"/>
    <n v="892.72619047619048"/>
  </r>
  <r>
    <x v="1"/>
    <x v="9"/>
    <x v="11"/>
    <x v="243"/>
    <x v="287"/>
    <x v="274"/>
    <x v="257"/>
    <x v="246"/>
    <x v="270"/>
    <x v="302"/>
    <x v="260"/>
    <x v="193"/>
    <x v="271"/>
    <x v="258"/>
    <x v="298"/>
    <x v="266"/>
    <x v="304"/>
    <n v="177.7"/>
    <n v="164.5"/>
    <n v="175.7"/>
    <n v="167.3"/>
    <n v="177.2"/>
    <n v="159.4"/>
    <n v="167.1"/>
    <n v="171.8"/>
    <n v="176"/>
    <n v="168.2"/>
    <n v="174.1"/>
    <n v="178.34999999999997"/>
    <n v="172.63333333333333"/>
    <n v="170.7"/>
    <n v="180.6"/>
    <n v="169.79999999999998"/>
    <n v="872.08333333333326"/>
  </r>
  <r>
    <x v="2"/>
    <x v="9"/>
    <x v="11"/>
    <x v="244"/>
    <x v="288"/>
    <x v="275"/>
    <x v="258"/>
    <x v="247"/>
    <x v="271"/>
    <x v="303"/>
    <x v="261"/>
    <x v="132"/>
    <x v="272"/>
    <x v="259"/>
    <x v="299"/>
    <x v="267"/>
    <x v="305"/>
    <n v="184"/>
    <n v="177"/>
    <n v="183"/>
    <n v="172.1"/>
    <n v="181.1"/>
    <n v="163.4"/>
    <n v="168.9"/>
    <n v="174.1"/>
    <n v="175.8"/>
    <n v="172"/>
    <n v="175.7"/>
    <n v="177.19285714285715"/>
    <n v="181.33333333333334"/>
    <n v="170.7"/>
    <n v="182"/>
    <n v="172.56666666666669"/>
    <n v="883.7928571428572"/>
  </r>
  <r>
    <x v="0"/>
    <x v="10"/>
    <x v="0"/>
    <x v="245"/>
    <x v="289"/>
    <x v="276"/>
    <x v="259"/>
    <x v="216"/>
    <x v="272"/>
    <x v="304"/>
    <x v="94"/>
    <x v="113"/>
    <x v="273"/>
    <x v="260"/>
    <x v="300"/>
    <x v="252"/>
    <x v="303"/>
    <n v="189"/>
    <n v="186.3"/>
    <n v="188.6"/>
    <n v="177.2"/>
    <n v="184.7"/>
    <n v="168.2"/>
    <n v="171.8"/>
    <n v="177.8"/>
    <n v="178.4"/>
    <n v="176.5"/>
    <n v="177.8"/>
    <n v="177.15000000000003"/>
    <n v="187.96666666666667"/>
    <n v="172.1"/>
    <n v="183.2"/>
    <n v="176.35"/>
    <n v="896.76666666666677"/>
  </r>
  <r>
    <x v="1"/>
    <x v="10"/>
    <x v="0"/>
    <x v="246"/>
    <x v="290"/>
    <x v="277"/>
    <x v="260"/>
    <x v="248"/>
    <x v="273"/>
    <x v="305"/>
    <x v="88"/>
    <x v="205"/>
    <x v="274"/>
    <x v="223"/>
    <x v="301"/>
    <x v="268"/>
    <x v="306"/>
    <n v="178.7"/>
    <n v="165.3"/>
    <n v="176.6"/>
    <n v="168"/>
    <n v="178.5"/>
    <n v="159.5"/>
    <n v="167.8"/>
    <n v="171.8"/>
    <n v="178.8"/>
    <n v="168.9"/>
    <n v="174.9"/>
    <n v="179.41428571428574"/>
    <n v="173.53333333333333"/>
    <n v="172.1"/>
    <n v="180.1"/>
    <n v="170.73333333333332"/>
    <n v="875.88095238095241"/>
  </r>
  <r>
    <x v="2"/>
    <x v="10"/>
    <x v="0"/>
    <x v="247"/>
    <x v="264"/>
    <x v="278"/>
    <x v="261"/>
    <x v="249"/>
    <x v="242"/>
    <x v="265"/>
    <x v="262"/>
    <x v="203"/>
    <x v="275"/>
    <x v="261"/>
    <x v="302"/>
    <x v="269"/>
    <x v="261"/>
    <n v="184.9"/>
    <n v="177.6"/>
    <n v="183.8"/>
    <n v="172.9"/>
    <n v="182.3"/>
    <n v="163.6"/>
    <n v="169.5"/>
    <n v="174.3"/>
    <n v="178.6"/>
    <n v="172.8"/>
    <n v="176.5"/>
    <n v="177.92142857142855"/>
    <n v="182.1"/>
    <n v="172.1"/>
    <n v="182"/>
    <n v="173.53333333333333"/>
    <n v="887.65476190476181"/>
  </r>
  <r>
    <x v="0"/>
    <x v="10"/>
    <x v="1"/>
    <x v="248"/>
    <x v="260"/>
    <x v="279"/>
    <x v="262"/>
    <x v="250"/>
    <x v="274"/>
    <x v="306"/>
    <x v="116"/>
    <x v="198"/>
    <x v="276"/>
    <x v="262"/>
    <x v="303"/>
    <x v="270"/>
    <x v="289"/>
    <n v="190"/>
    <n v="187"/>
    <n v="189.6"/>
    <n v="178.6"/>
    <n v="186.6"/>
    <n v="169"/>
    <n v="172.8"/>
    <n v="178.5"/>
    <n v="180.7"/>
    <n v="177.9"/>
    <n v="178"/>
    <n v="176"/>
    <n v="188.86666666666667"/>
    <n v="173.5"/>
    <n v="181.6"/>
    <n v="177.70000000000002"/>
    <n v="897.66666666666674"/>
  </r>
  <r>
    <x v="1"/>
    <x v="10"/>
    <x v="1"/>
    <x v="249"/>
    <x v="291"/>
    <x v="280"/>
    <x v="263"/>
    <x v="198"/>
    <x v="275"/>
    <x v="307"/>
    <x v="113"/>
    <x v="136"/>
    <x v="267"/>
    <x v="263"/>
    <x v="304"/>
    <x v="271"/>
    <x v="307"/>
    <n v="180.3"/>
    <n v="167"/>
    <n v="178.2"/>
    <n v="169.2"/>
    <n v="180.8"/>
    <n v="159.80000000000001"/>
    <n v="168.4"/>
    <n v="172.5"/>
    <n v="181.4"/>
    <n v="170"/>
    <n v="176.3"/>
    <n v="178.9928571428571"/>
    <n v="175.16666666666666"/>
    <n v="173.5"/>
    <n v="182.8"/>
    <n v="172.01666666666668"/>
    <n v="882.47619047619037"/>
  </r>
  <r>
    <x v="2"/>
    <x v="10"/>
    <x v="1"/>
    <x v="250"/>
    <x v="292"/>
    <x v="262"/>
    <x v="264"/>
    <x v="239"/>
    <x v="276"/>
    <x v="308"/>
    <x v="258"/>
    <x v="124"/>
    <x v="277"/>
    <x v="264"/>
    <x v="305"/>
    <x v="272"/>
    <x v="308"/>
    <n v="186.2"/>
    <n v="178.7"/>
    <n v="185.1"/>
    <n v="174.2"/>
    <n v="184.4"/>
    <n v="164.2"/>
    <n v="170.3"/>
    <n v="175"/>
    <n v="181"/>
    <n v="174.1"/>
    <n v="177.2"/>
    <n v="177.04285714285714"/>
    <n v="183.33333333333334"/>
    <n v="173.5"/>
    <n v="182.1"/>
    <n v="174.85"/>
    <n v="890.8261904761905"/>
  </r>
  <r>
    <x v="0"/>
    <x v="10"/>
    <x v="2"/>
    <x v="251"/>
    <x v="260"/>
    <x v="279"/>
    <x v="262"/>
    <x v="251"/>
    <x v="274"/>
    <x v="306"/>
    <x v="259"/>
    <x v="198"/>
    <x v="276"/>
    <x v="262"/>
    <x v="303"/>
    <x v="270"/>
    <x v="309"/>
    <n v="190"/>
    <n v="187"/>
    <n v="189.6"/>
    <n v="178.6"/>
    <n v="186.6"/>
    <n v="169"/>
    <n v="172.8"/>
    <n v="178.5"/>
    <n v="180.7"/>
    <n v="177.9"/>
    <n v="178"/>
    <n v="176.01428571428573"/>
    <n v="188.86666666666667"/>
    <n v="173.5"/>
    <n v="181.4"/>
    <n v="177.70000000000002"/>
    <n v="897.48095238095243"/>
  </r>
  <r>
    <x v="1"/>
    <x v="10"/>
    <x v="2"/>
    <x v="249"/>
    <x v="291"/>
    <x v="280"/>
    <x v="263"/>
    <x v="198"/>
    <x v="275"/>
    <x v="309"/>
    <x v="113"/>
    <x v="136"/>
    <x v="267"/>
    <x v="263"/>
    <x v="304"/>
    <x v="273"/>
    <x v="307"/>
    <n v="180.2"/>
    <n v="167"/>
    <n v="178.2"/>
    <n v="169.2"/>
    <n v="180.8"/>
    <n v="159.80000000000001"/>
    <n v="168.4"/>
    <n v="172.5"/>
    <n v="181.5"/>
    <n v="170"/>
    <n v="176.3"/>
    <n v="179.00714285714284"/>
    <n v="175.13333333333333"/>
    <n v="173.5"/>
    <n v="182.6"/>
    <n v="172.03333333333333"/>
    <n v="882.27380952380952"/>
  </r>
  <r>
    <x v="2"/>
    <x v="10"/>
    <x v="2"/>
    <x v="250"/>
    <x v="292"/>
    <x v="262"/>
    <x v="264"/>
    <x v="252"/>
    <x v="276"/>
    <x v="262"/>
    <x v="263"/>
    <x v="124"/>
    <x v="277"/>
    <x v="264"/>
    <x v="305"/>
    <x v="272"/>
    <x v="308"/>
    <n v="186.1"/>
    <n v="178.7"/>
    <n v="185.1"/>
    <n v="174.2"/>
    <n v="184.4"/>
    <n v="164.2"/>
    <n v="170.3"/>
    <n v="175"/>
    <n v="181"/>
    <n v="174.1"/>
    <n v="177.2"/>
    <n v="177.04999999999998"/>
    <n v="183.29999999999998"/>
    <n v="173.5"/>
    <n v="181.9"/>
    <n v="174.85"/>
    <n v="890.59999999999991"/>
  </r>
  <r>
    <x v="0"/>
    <x v="10"/>
    <x v="3"/>
    <x v="246"/>
    <x v="286"/>
    <x v="252"/>
    <x v="265"/>
    <x v="253"/>
    <x v="277"/>
    <x v="310"/>
    <x v="264"/>
    <x v="189"/>
    <x v="278"/>
    <x v="265"/>
    <x v="306"/>
    <x v="256"/>
    <x v="308"/>
    <n v="190.7"/>
    <n v="187.3"/>
    <n v="190.2"/>
    <n v="179.1"/>
    <n v="187.2"/>
    <n v="169.4"/>
    <n v="173.2"/>
    <n v="179.4"/>
    <n v="183.8"/>
    <n v="178.9"/>
    <n v="178.8"/>
    <n v="176.69285714285712"/>
    <n v="189.4"/>
    <n v="175.2"/>
    <n v="181.5"/>
    <n v="178.68333333333331"/>
    <n v="901.47619047619048"/>
  </r>
  <r>
    <x v="1"/>
    <x v="10"/>
    <x v="3"/>
    <x v="252"/>
    <x v="279"/>
    <x v="281"/>
    <x v="266"/>
    <x v="254"/>
    <x v="278"/>
    <x v="311"/>
    <x v="265"/>
    <x v="193"/>
    <x v="279"/>
    <x v="211"/>
    <x v="307"/>
    <x v="274"/>
    <x v="310"/>
    <n v="181"/>
    <n v="167.7"/>
    <n v="178.9"/>
    <n v="169.6"/>
    <n v="181.5"/>
    <n v="160.1"/>
    <n v="168.8"/>
    <n v="174.2"/>
    <n v="184.4"/>
    <n v="170.9"/>
    <n v="177.4"/>
    <n v="180.08571428571432"/>
    <n v="175.86666666666667"/>
    <n v="175.2"/>
    <n v="182.1"/>
    <n v="173.10000000000002"/>
    <n v="886.35238095238105"/>
  </r>
  <r>
    <x v="2"/>
    <x v="10"/>
    <x v="3"/>
    <x v="247"/>
    <x v="293"/>
    <x v="258"/>
    <x v="267"/>
    <x v="255"/>
    <x v="279"/>
    <x v="261"/>
    <x v="266"/>
    <x v="195"/>
    <x v="280"/>
    <x v="266"/>
    <x v="308"/>
    <x v="275"/>
    <x v="302"/>
    <n v="186.9"/>
    <n v="179.2"/>
    <n v="185.7"/>
    <n v="174.6"/>
    <n v="185"/>
    <n v="164.5"/>
    <n v="170.7"/>
    <n v="176.4"/>
    <n v="184"/>
    <n v="175"/>
    <n v="178.1"/>
    <n v="177.87142857142859"/>
    <n v="183.93333333333331"/>
    <n v="175.2"/>
    <n v="181.7"/>
    <n v="175.86666666666665"/>
    <n v="894.57142857142856"/>
  </r>
  <r>
    <x v="0"/>
    <x v="10"/>
    <x v="4"/>
    <x v="253"/>
    <x v="294"/>
    <x v="282"/>
    <x v="268"/>
    <x v="256"/>
    <x v="280"/>
    <x v="312"/>
    <x v="122"/>
    <x v="136"/>
    <x v="281"/>
    <x v="267"/>
    <x v="309"/>
    <x v="276"/>
    <x v="311"/>
    <n v="191.2"/>
    <n v="187.9"/>
    <n v="190.8"/>
    <n v="179.8"/>
    <n v="187.8"/>
    <n v="169.7"/>
    <n v="173.8"/>
    <n v="180.3"/>
    <n v="184.9"/>
    <n v="179.5"/>
    <n v="179.8"/>
    <n v="177.90000000000006"/>
    <n v="189.9666666666667"/>
    <n v="175.6"/>
    <n v="182.5"/>
    <n v="179.38333333333333"/>
    <n v="905.35000000000014"/>
  </r>
  <r>
    <x v="1"/>
    <x v="10"/>
    <x v="4"/>
    <x v="249"/>
    <x v="272"/>
    <x v="283"/>
    <x v="269"/>
    <x v="257"/>
    <x v="281"/>
    <x v="313"/>
    <x v="102"/>
    <x v="206"/>
    <x v="282"/>
    <x v="268"/>
    <x v="310"/>
    <x v="277"/>
    <x v="312"/>
    <n v="181.3"/>
    <n v="168.1"/>
    <n v="179.3"/>
    <n v="170.1"/>
    <n v="182.2"/>
    <n v="160.4"/>
    <n v="169.2"/>
    <n v="174.8"/>
    <n v="185.6"/>
    <n v="171.6"/>
    <n v="178.2"/>
    <n v="181.37857142857141"/>
    <n v="176.23333333333335"/>
    <n v="175.6"/>
    <n v="183.4"/>
    <n v="173.71666666666661"/>
    <n v="890.32857142857131"/>
  </r>
  <r>
    <x v="2"/>
    <x v="10"/>
    <x v="4"/>
    <x v="254"/>
    <x v="295"/>
    <x v="284"/>
    <x v="270"/>
    <x v="258"/>
    <x v="282"/>
    <x v="162"/>
    <x v="115"/>
    <x v="205"/>
    <x v="283"/>
    <x v="269"/>
    <x v="311"/>
    <x v="278"/>
    <x v="313"/>
    <n v="187.3"/>
    <n v="179.7"/>
    <n v="186.2"/>
    <n v="175.2"/>
    <n v="185.7"/>
    <n v="164.8"/>
    <n v="171.2"/>
    <n v="177.1"/>
    <n v="185.2"/>
    <n v="175.7"/>
    <n v="179.1"/>
    <n v="179.1357142857143"/>
    <n v="184.4"/>
    <n v="175.6"/>
    <n v="182.8"/>
    <n v="176.53333333333333"/>
    <n v="898.4690476190476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D1BBD0-5261-4FF9-BD5B-09269F905402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A27:I40" firstHeaderRow="0" firstDataRow="1" firstDataCol="1" rowPageCount="1" colPageCount="1"/>
  <pivotFields count="34">
    <pivotField showAll="0"/>
    <pivotField axis="axisPage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" hier="-1"/>
  </pageFields>
  <dataFields count="8">
    <dataField name="Average of Vegetables" fld="9" subtotal="average" baseField="2" baseItem="7"/>
    <dataField name="Average of Prepared meals, snacks, sweets etc." fld="14" subtotal="average" baseField="2" baseItem="0"/>
    <dataField name="Average of Spices" fld="12" subtotal="average" baseField="2" baseItem="0"/>
    <dataField name="Average of Sugar and Confectionery" fld="11" subtotal="average" baseField="2" baseItem="0"/>
    <dataField name="Average of Pan, tobacco and intoxicants" fld="16" subtotal="average" baseField="2" baseItem="0"/>
    <dataField name="Average of Egg" fld="5" subtotal="average" baseField="2" baseItem="0"/>
    <dataField name="Average of Food and beverages" fld="15" subtotal="average" baseField="2" baseItem="7"/>
    <dataField name="Average of Meat and fish" fld="4" subtotal="average" baseField="2" baseItem="7"/>
  </dataFields>
  <chartFormats count="8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E2AC3-706D-489E-9309-53318DEC0C6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A3:B23" firstHeaderRow="1" firstDataRow="1" firstDataCol="1"/>
  <pivotFields count="34">
    <pivotField showAll="0"/>
    <pivotField axis="axisRow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numFmtId="164" showAll="0"/>
    <pivotField numFmtId="164" showAll="0"/>
  </pivotFields>
  <rowFields count="2">
    <field x="1"/>
    <field x="2"/>
  </rowFields>
  <rowItems count="20"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Average of Food" fld="28" subtotal="average" baseField="2" baseItem="1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D9B00-A368-49DB-80E0-B60C1CFACCD2}" name="PivotTable3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">
  <location ref="K1:L40" firstHeaderRow="1" firstDataRow="1" firstDataCol="1"/>
  <pivotFields count="34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numFmtId="164" showAll="0"/>
    <pivotField numFmtId="164" showAll="0"/>
  </pivotFields>
  <rowFields count="2">
    <field x="1"/>
    <field x="2"/>
  </rowFields>
  <rowItems count="39"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Avg of Food" fld="28" subtotal="average" baseField="1" baseItem="6" numFmtId="164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BEF9D-503C-48BF-A622-6B2CCB9DEDEE}" name="PivotTable4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4">
  <location ref="P1:Q40" firstHeaderRow="1" firstDataRow="1" firstDataCol="1"/>
  <pivotFields count="34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</pivotFields>
  <rowFields count="2">
    <field x="1"/>
    <field x="2"/>
  </rowFields>
  <rowItems count="39"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Avg of Education" fld="24" subtotal="average" baseField="1" baseItem="6" numFmtId="164"/>
  </dataFields>
  <formats count="1">
    <format dxfId="1">
      <pivotArea outline="0" collapsedLevelsAreSubtotals="1" fieldPosition="0"/>
    </format>
  </formats>
  <chartFormats count="1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5A879-003C-465F-AEAB-2A02FBBFD8BA}" name="PivotTable2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8">
  <location ref="F1:G40" firstHeaderRow="1" firstDataRow="1" firstDataCol="1"/>
  <pivotFields count="34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</pivotFields>
  <rowFields count="2">
    <field x="1"/>
    <field x="2"/>
  </rowFields>
  <rowItems count="39"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Avg of Personal care and effects" fld="25" subtotal="average" baseField="1" baseItem="6" numFmtId="164"/>
  </dataFields>
  <formats count="1">
    <format dxfId="2">
      <pivotArea outline="0" collapsedLevelsAreSubtotals="1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FCEA8-0E0E-44A9-B880-125C9DF45C9E}" name="PivotTable1" cacheId="1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1:B40" firstHeaderRow="1" firstDataRow="1" firstDataCol="1"/>
  <pivotFields count="34">
    <pivotField showAll="0"/>
    <pivotField axis="axisRow" showAll="0">
      <items count="12">
        <item h="1" x="0"/>
        <item h="1" x="1"/>
        <item h="1" x="2"/>
        <item h="1" x="3"/>
        <item h="1" x="4"/>
        <item h="1" x="5"/>
        <item x="6"/>
        <item x="7"/>
        <item x="8"/>
        <item h="1" x="9"/>
        <item h="1"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numFmtId="164" showAll="0"/>
  </pivotFields>
  <rowFields count="2">
    <field x="1"/>
    <field x="2"/>
  </rowFields>
  <rowItems count="39">
    <i>
      <x v="6"/>
    </i>
    <i r="1"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Avg of Health" fld="21" subtotal="average" baseField="1" baseItem="6" numFmtId="164"/>
  </dataFields>
  <formats count="1">
    <format dxfId="3">
      <pivotArea outline="0" collapsedLevelsAreSubtotals="1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2A971-E1CF-4FF0-A0E2-C8E53640BF91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M5:Q19" firstHeaderRow="1" firstDataRow="2" firstDataCol="1"/>
  <pivotFields count="30">
    <pivotField showAll="0"/>
    <pivotField axis="axisCol" numFmtId="1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>
      <items count="277">
        <item x="1"/>
        <item x="0"/>
        <item x="3"/>
        <item x="4"/>
        <item x="5"/>
        <item x="2"/>
        <item x="7"/>
        <item x="6"/>
        <item x="9"/>
        <item x="10"/>
        <item x="8"/>
        <item x="12"/>
        <item x="13"/>
        <item x="11"/>
        <item x="15"/>
        <item x="16"/>
        <item x="18"/>
        <item x="14"/>
        <item x="19"/>
        <item x="17"/>
        <item x="25"/>
        <item x="27"/>
        <item x="21"/>
        <item x="23"/>
        <item x="30"/>
        <item x="20"/>
        <item x="37"/>
        <item x="22"/>
        <item x="41"/>
        <item x="28"/>
        <item x="46"/>
        <item x="31"/>
        <item x="33"/>
        <item x="35"/>
        <item x="24"/>
        <item x="26"/>
        <item x="29"/>
        <item x="32"/>
        <item x="34"/>
        <item x="39"/>
        <item x="42"/>
        <item x="44"/>
        <item x="36"/>
        <item x="86"/>
        <item x="47"/>
        <item x="84"/>
        <item x="61"/>
        <item x="89"/>
        <item x="64"/>
        <item x="99"/>
        <item x="38"/>
        <item x="40"/>
        <item x="49"/>
        <item x="51"/>
        <item x="43"/>
        <item x="76"/>
        <item x="102"/>
        <item x="45"/>
        <item x="53"/>
        <item x="79"/>
        <item x="48"/>
        <item x="50"/>
        <item x="55"/>
        <item x="105"/>
        <item x="108"/>
        <item x="57"/>
        <item x="52"/>
        <item x="59"/>
        <item x="122"/>
        <item x="117"/>
        <item x="62"/>
        <item x="120"/>
        <item x="65"/>
        <item x="54"/>
        <item x="67"/>
        <item x="70"/>
        <item x="56"/>
        <item x="72"/>
        <item x="58"/>
        <item x="114"/>
        <item x="74"/>
        <item x="60"/>
        <item x="77"/>
        <item x="87"/>
        <item x="85"/>
        <item x="63"/>
        <item x="80"/>
        <item x="66"/>
        <item x="82"/>
        <item x="91"/>
        <item x="93"/>
        <item x="95"/>
        <item x="69"/>
        <item x="68"/>
        <item x="97"/>
        <item x="100"/>
        <item x="71"/>
        <item x="137"/>
        <item x="139"/>
        <item x="103"/>
        <item x="168"/>
        <item x="73"/>
        <item x="75"/>
        <item x="78"/>
        <item x="134"/>
        <item x="142"/>
        <item x="106"/>
        <item x="109"/>
        <item x="83"/>
        <item x="159"/>
        <item x="131"/>
        <item x="88"/>
        <item x="81"/>
        <item x="111"/>
        <item x="90"/>
        <item x="144"/>
        <item x="92"/>
        <item x="157"/>
        <item x="118"/>
        <item x="171"/>
        <item x="94"/>
        <item x="115"/>
        <item x="96"/>
        <item x="98"/>
        <item x="101"/>
        <item x="165"/>
        <item x="124"/>
        <item x="149"/>
        <item x="104"/>
        <item x="107"/>
        <item x="126"/>
        <item x="154"/>
        <item x="110"/>
        <item x="151"/>
        <item x="175"/>
        <item x="112"/>
        <item x="116"/>
        <item x="113"/>
        <item x="178"/>
        <item x="119"/>
        <item x="121"/>
        <item x="135"/>
        <item x="129"/>
        <item x="133"/>
        <item x="140"/>
        <item x="186"/>
        <item x="196"/>
        <item x="200"/>
        <item x="123"/>
        <item x="203"/>
        <item x="125"/>
        <item x="194"/>
        <item x="189"/>
        <item x="160"/>
        <item x="169"/>
        <item x="181"/>
        <item x="170"/>
        <item x="167"/>
        <item x="158"/>
        <item x="145"/>
        <item x="163"/>
        <item x="172"/>
        <item x="147"/>
        <item x="127"/>
        <item x="166"/>
        <item x="184"/>
        <item x="192"/>
        <item x="130"/>
        <item x="132"/>
        <item x="128"/>
        <item x="155"/>
        <item x="197"/>
        <item x="195"/>
        <item x="198"/>
        <item x="201"/>
        <item x="176"/>
        <item x="136"/>
        <item x="187"/>
        <item x="138"/>
        <item x="190"/>
        <item x="179"/>
        <item x="191"/>
        <item x="141"/>
        <item x="152"/>
        <item x="193"/>
        <item x="156"/>
        <item x="161"/>
        <item x="143"/>
        <item x="162"/>
        <item x="182"/>
        <item x="199"/>
        <item x="146"/>
        <item x="164"/>
        <item x="205"/>
        <item x="188"/>
        <item x="173"/>
        <item x="202"/>
        <item x="185"/>
        <item x="148"/>
        <item x="207"/>
        <item x="150"/>
        <item x="174"/>
        <item x="153"/>
        <item x="177"/>
        <item x="204"/>
        <item x="180"/>
        <item x="208"/>
        <item x="183"/>
        <item x="206"/>
        <item x="210"/>
        <item x="212"/>
        <item x="211"/>
        <item x="213"/>
        <item x="209"/>
        <item x="217"/>
        <item x="220"/>
        <item x="215"/>
        <item x="218"/>
        <item x="221"/>
        <item x="225"/>
        <item x="230"/>
        <item x="214"/>
        <item x="216"/>
        <item x="227"/>
        <item x="219"/>
        <item x="223"/>
        <item x="236"/>
        <item x="222"/>
        <item x="224"/>
        <item x="231"/>
        <item x="233"/>
        <item x="228"/>
        <item x="239"/>
        <item x="229"/>
        <item x="226"/>
        <item x="232"/>
        <item x="237"/>
        <item x="234"/>
        <item x="240"/>
        <item x="235"/>
        <item x="238"/>
        <item x="242"/>
        <item x="243"/>
        <item x="241"/>
        <item x="245"/>
        <item x="246"/>
        <item x="248"/>
        <item x="244"/>
        <item x="249"/>
        <item x="247"/>
        <item x="253"/>
        <item x="254"/>
        <item x="252"/>
        <item x="256"/>
        <item x="251"/>
        <item x="250"/>
        <item x="255"/>
        <item x="258"/>
        <item x="267"/>
        <item x="261"/>
        <item x="259"/>
        <item x="264"/>
        <item x="257"/>
        <item x="262"/>
        <item x="270"/>
        <item x="272"/>
        <item x="268"/>
        <item x="273"/>
        <item x="260"/>
        <item x="265"/>
        <item x="269"/>
        <item x="274"/>
        <item x="271"/>
        <item x="263"/>
        <item x="266"/>
        <item x="275"/>
        <item t="default"/>
      </items>
    </pivotField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 v="8"/>
    </i>
    <i>
      <x v="9"/>
    </i>
    <i>
      <x v="10"/>
    </i>
    <i t="grand">
      <x/>
    </i>
  </colItems>
  <dataFields count="1">
    <dataField name="Average of Transport and communication" fld="24" subtotal="average" baseField="2" baseItem="0" numFmtId="16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24CAA5-A86D-404F-B983-2704D6E475C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2">
  <location ref="F5:J19" firstHeaderRow="1" firstDataRow="2" firstDataCol="1"/>
  <pivotFields count="30">
    <pivotField showAll="0"/>
    <pivotField axis="axisCol" numFmtId="1" multipleItemSelectionAllowed="1" showAll="0">
      <items count="12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>
      <items count="277">
        <item x="1"/>
        <item x="0"/>
        <item x="3"/>
        <item x="4"/>
        <item x="5"/>
        <item x="2"/>
        <item x="7"/>
        <item x="6"/>
        <item x="9"/>
        <item x="10"/>
        <item x="8"/>
        <item x="12"/>
        <item x="13"/>
        <item x="11"/>
        <item x="15"/>
        <item x="16"/>
        <item x="18"/>
        <item x="14"/>
        <item x="19"/>
        <item x="17"/>
        <item x="25"/>
        <item x="27"/>
        <item x="21"/>
        <item x="23"/>
        <item x="30"/>
        <item x="20"/>
        <item x="37"/>
        <item x="22"/>
        <item x="41"/>
        <item x="28"/>
        <item x="46"/>
        <item x="31"/>
        <item x="33"/>
        <item x="35"/>
        <item x="24"/>
        <item x="26"/>
        <item x="29"/>
        <item x="32"/>
        <item x="34"/>
        <item x="39"/>
        <item x="42"/>
        <item x="44"/>
        <item x="36"/>
        <item x="86"/>
        <item x="47"/>
        <item x="84"/>
        <item x="61"/>
        <item x="89"/>
        <item x="64"/>
        <item x="99"/>
        <item x="38"/>
        <item x="40"/>
        <item x="49"/>
        <item x="51"/>
        <item x="43"/>
        <item x="76"/>
        <item x="102"/>
        <item x="45"/>
        <item x="53"/>
        <item x="79"/>
        <item x="48"/>
        <item x="50"/>
        <item x="55"/>
        <item x="105"/>
        <item x="108"/>
        <item x="57"/>
        <item x="52"/>
        <item x="59"/>
        <item x="122"/>
        <item x="117"/>
        <item x="62"/>
        <item x="120"/>
        <item x="65"/>
        <item x="54"/>
        <item x="67"/>
        <item x="70"/>
        <item x="56"/>
        <item x="72"/>
        <item x="58"/>
        <item x="114"/>
        <item x="74"/>
        <item x="60"/>
        <item x="77"/>
        <item x="87"/>
        <item x="85"/>
        <item x="63"/>
        <item x="80"/>
        <item x="66"/>
        <item x="82"/>
        <item x="91"/>
        <item x="93"/>
        <item x="95"/>
        <item x="69"/>
        <item x="68"/>
        <item x="97"/>
        <item x="100"/>
        <item x="71"/>
        <item x="137"/>
        <item x="139"/>
        <item x="103"/>
        <item x="168"/>
        <item x="73"/>
        <item x="75"/>
        <item x="78"/>
        <item x="134"/>
        <item x="142"/>
        <item x="106"/>
        <item x="109"/>
        <item x="83"/>
        <item x="159"/>
        <item x="131"/>
        <item x="88"/>
        <item x="81"/>
        <item x="111"/>
        <item x="90"/>
        <item x="144"/>
        <item x="92"/>
        <item x="157"/>
        <item x="118"/>
        <item x="171"/>
        <item x="94"/>
        <item x="115"/>
        <item x="96"/>
        <item x="98"/>
        <item x="101"/>
        <item x="165"/>
        <item x="124"/>
        <item x="149"/>
        <item x="104"/>
        <item x="107"/>
        <item x="126"/>
        <item x="154"/>
        <item x="110"/>
        <item x="151"/>
        <item x="175"/>
        <item x="112"/>
        <item x="116"/>
        <item x="113"/>
        <item x="178"/>
        <item x="119"/>
        <item x="121"/>
        <item x="135"/>
        <item x="129"/>
        <item x="133"/>
        <item x="140"/>
        <item x="186"/>
        <item x="196"/>
        <item x="200"/>
        <item x="123"/>
        <item x="203"/>
        <item x="125"/>
        <item x="194"/>
        <item x="189"/>
        <item x="160"/>
        <item x="169"/>
        <item x="181"/>
        <item x="170"/>
        <item x="167"/>
        <item x="158"/>
        <item x="145"/>
        <item x="163"/>
        <item x="172"/>
        <item x="147"/>
        <item x="127"/>
        <item x="166"/>
        <item x="184"/>
        <item x="192"/>
        <item x="130"/>
        <item x="132"/>
        <item x="128"/>
        <item x="155"/>
        <item x="197"/>
        <item x="195"/>
        <item x="198"/>
        <item x="201"/>
        <item x="176"/>
        <item x="136"/>
        <item x="187"/>
        <item x="138"/>
        <item x="190"/>
        <item x="179"/>
        <item x="191"/>
        <item x="141"/>
        <item x="152"/>
        <item x="193"/>
        <item x="156"/>
        <item x="161"/>
        <item x="143"/>
        <item x="162"/>
        <item x="182"/>
        <item x="199"/>
        <item x="146"/>
        <item x="164"/>
        <item x="205"/>
        <item x="188"/>
        <item x="173"/>
        <item x="202"/>
        <item x="185"/>
        <item x="148"/>
        <item x="207"/>
        <item x="150"/>
        <item x="174"/>
        <item x="153"/>
        <item x="177"/>
        <item x="204"/>
        <item x="180"/>
        <item x="208"/>
        <item x="183"/>
        <item x="206"/>
        <item x="210"/>
        <item x="212"/>
        <item x="211"/>
        <item x="213"/>
        <item x="209"/>
        <item x="217"/>
        <item x="220"/>
        <item x="215"/>
        <item x="218"/>
        <item x="221"/>
        <item x="225"/>
        <item x="230"/>
        <item x="214"/>
        <item x="216"/>
        <item x="227"/>
        <item x="219"/>
        <item x="223"/>
        <item x="236"/>
        <item x="222"/>
        <item x="224"/>
        <item x="231"/>
        <item x="233"/>
        <item x="228"/>
        <item x="239"/>
        <item x="229"/>
        <item x="226"/>
        <item x="232"/>
        <item x="237"/>
        <item x="234"/>
        <item x="240"/>
        <item x="235"/>
        <item x="238"/>
        <item x="242"/>
        <item x="243"/>
        <item x="241"/>
        <item x="245"/>
        <item x="246"/>
        <item x="248"/>
        <item x="244"/>
        <item x="249"/>
        <item x="247"/>
        <item x="253"/>
        <item x="254"/>
        <item x="252"/>
        <item x="256"/>
        <item x="251"/>
        <item x="250"/>
        <item x="255"/>
        <item x="258"/>
        <item x="267"/>
        <item x="261"/>
        <item x="259"/>
        <item x="264"/>
        <item x="257"/>
        <item x="262"/>
        <item x="270"/>
        <item x="272"/>
        <item x="268"/>
        <item x="273"/>
        <item x="260"/>
        <item x="265"/>
        <item x="269"/>
        <item x="274"/>
        <item x="271"/>
        <item x="263"/>
        <item x="266"/>
        <item x="275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4">
    <i>
      <x v="8"/>
    </i>
    <i>
      <x v="9"/>
    </i>
    <i>
      <x v="10"/>
    </i>
    <i t="grand">
      <x/>
    </i>
  </colItems>
  <dataFields count="1">
    <dataField name="Average of Fuel and light" fld="21" subtotal="average" baseField="2" baseItem="0" numFmtId="164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31DF5B-4434-40DA-9C95-9244471A9CCA}" name="Table1" displayName="Table1" ref="A1:AD373" totalsRowShown="0" headerRowDxfId="34">
  <autoFilter ref="A1:AD373" xr:uid="{5731DF5B-4434-40DA-9C95-9244471A9CCA}"/>
  <tableColumns count="30">
    <tableColumn id="1" xr3:uid="{BF5DAB34-6619-40FD-864F-F4C62AC9383C}" name="Sector" dataDxfId="33"/>
    <tableColumn id="2" xr3:uid="{E2032C4A-EED0-4E39-A55A-E3F29CF1E57C}" name="Year" dataDxfId="32"/>
    <tableColumn id="3" xr3:uid="{D653CFF5-B836-4594-AD58-49BF93230A2B}" name="Month" dataDxfId="31"/>
    <tableColumn id="4" xr3:uid="{06013449-C433-41C2-A6EA-EEB083F8E0EF}" name="Cereals and products" dataDxfId="30"/>
    <tableColumn id="5" xr3:uid="{50B685C7-7354-4A13-8FAE-0899E0A92FAB}" name="Meat and fish" dataDxfId="29"/>
    <tableColumn id="6" xr3:uid="{29E6D693-3D9C-4F9E-93F1-D5F175753600}" name="Egg" dataDxfId="28"/>
    <tableColumn id="7" xr3:uid="{78903284-15EE-4B41-8A9F-86622F1DC48B}" name="Milk and products" dataDxfId="27"/>
    <tableColumn id="8" xr3:uid="{CD3B089B-6542-4146-BDEA-1E5AF35155F8}" name="Oils and fats" dataDxfId="26"/>
    <tableColumn id="9" xr3:uid="{13CDBF04-D7F1-4B66-867D-D74A81547D89}" name="Fruits" dataDxfId="25"/>
    <tableColumn id="10" xr3:uid="{D6629171-895D-4A37-91FC-38CBD544F3E4}" name="Vegetables" dataDxfId="24"/>
    <tableColumn id="11" xr3:uid="{931CF4EC-5348-4434-8DC9-7DEF4211993D}" name="Pulses and products" dataDxfId="23"/>
    <tableColumn id="12" xr3:uid="{951B4BAD-7DA6-4AE7-B294-4D332BA3C1ED}" name="Sugar and Confectionery" dataDxfId="22"/>
    <tableColumn id="13" xr3:uid="{E7EB47CA-9BB5-4495-BE73-43671830AF68}" name="Spices" dataDxfId="21"/>
    <tableColumn id="14" xr3:uid="{699D2D2D-02C4-41E0-981F-01D0B076ED21}" name="Non-alcoholic beverages" dataDxfId="20"/>
    <tableColumn id="15" xr3:uid="{5F6F5094-94D6-4A3B-BF6B-AF2FBD46DE19}" name="Prepared meals, snacks, sweets etc." dataDxfId="19"/>
    <tableColumn id="16" xr3:uid="{741F7D39-F6BA-4E23-99C5-4F7666B41C9A}" name="Food and beverages" dataDxfId="18"/>
    <tableColumn id="17" xr3:uid="{7669C5F2-DD24-4E85-B213-6049A2B1D208}" name="Pan, tobacco and intoxicants" dataDxfId="17"/>
    <tableColumn id="18" xr3:uid="{8680E05C-C251-4D66-BFC1-4934693131AF}" name="Clothing" dataDxfId="16"/>
    <tableColumn id="19" xr3:uid="{49896481-209A-4E58-8265-E83AA5EC472C}" name="Footwear" dataDxfId="15"/>
    <tableColumn id="20" xr3:uid="{332D243D-03AD-4AE4-8F4F-CEA08304ABC6}" name="Clothing and footwear" dataDxfId="14"/>
    <tableColumn id="21" xr3:uid="{6FBA9B75-8E51-47F2-A5E2-EA29BE5D4569}" name="Housing" dataDxfId="13"/>
    <tableColumn id="22" xr3:uid="{845D2EFE-9194-428F-B41C-15FCAB875D38}" name="Fuel and light" dataDxfId="12"/>
    <tableColumn id="23" xr3:uid="{F4E6E071-DEDF-4EE5-833D-F0C72028618B}" name="Household goods and services" dataDxfId="11"/>
    <tableColumn id="24" xr3:uid="{37C619B0-C197-4ECD-A674-ADED2AB15D24}" name="Health" dataDxfId="10"/>
    <tableColumn id="25" xr3:uid="{12663403-1022-4C1F-9F95-961A5DBACFA4}" name="Transport and communication" dataDxfId="9"/>
    <tableColumn id="26" xr3:uid="{2091A17E-A90A-4C49-8285-98771D0109EA}" name="Recreation and amusement" dataDxfId="8"/>
    <tableColumn id="27" xr3:uid="{29447891-99C9-49B1-9D79-BC3A2F8662A6}" name="Education" dataDxfId="7"/>
    <tableColumn id="28" xr3:uid="{113F43B5-3889-4D0C-92CD-0E871066344F}" name="Personal care and effects" dataDxfId="6"/>
    <tableColumn id="29" xr3:uid="{F995CD65-2ABC-45C4-AB65-BE44C58027BC}" name="Miscellaneous" dataDxfId="5"/>
    <tableColumn id="30" xr3:uid="{5F9EAA8E-F25E-4E3D-8BC0-15C34478265E}" name="General index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6.bin"/><Relationship Id="rId4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3B5FD-8C6D-4506-9413-CE6882442A8F}">
  <dimension ref="A1:AD373"/>
  <sheetViews>
    <sheetView topLeftCell="H1" zoomScaleNormal="100" workbookViewId="0">
      <selection activeCell="U1" sqref="U1"/>
    </sheetView>
  </sheetViews>
  <sheetFormatPr defaultRowHeight="14.4" x14ac:dyDescent="0.3"/>
  <sheetData>
    <row r="1" spans="1:30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3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3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3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3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3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3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3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3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autoFilter ref="A1:AD1" xr:uid="{BD63B5FD-8C6D-4506-9413-CE6882442A8F}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4F15-BA4C-46B4-941D-EC244B3A4BCA}">
  <dimension ref="A1:AU378"/>
  <sheetViews>
    <sheetView zoomScaleNormal="100" workbookViewId="0">
      <pane xSplit="1" topLeftCell="P1" activePane="topRight" state="frozen"/>
      <selection pane="topRight" activeCell="S1" sqref="S1"/>
    </sheetView>
  </sheetViews>
  <sheetFormatPr defaultRowHeight="14.4" x14ac:dyDescent="0.3"/>
  <cols>
    <col min="3" max="3" width="10" bestFit="1" customWidth="1"/>
    <col min="4" max="4" width="18.21875" bestFit="1" customWidth="1"/>
    <col min="5" max="5" width="18.21875" customWidth="1"/>
    <col min="6" max="6" width="12.109375" bestFit="1" customWidth="1"/>
    <col min="7" max="7" width="12.109375" customWidth="1"/>
    <col min="9" max="9" width="15.5546875" bestFit="1" customWidth="1"/>
    <col min="33" max="33" width="28" bestFit="1" customWidth="1"/>
  </cols>
  <sheetData>
    <row r="1" spans="1:46" x14ac:dyDescent="0.3">
      <c r="A1" t="s">
        <v>49</v>
      </c>
      <c r="B1">
        <f>AVERAGE(B7:B378)</f>
        <v>2017.7096774193549</v>
      </c>
      <c r="C1" t="e">
        <f t="shared" ref="C1:D1" si="0">AVERAGE(C7:C378)</f>
        <v>#DIV/0!</v>
      </c>
      <c r="D1">
        <f t="shared" si="0"/>
        <v>136.68590785907853</v>
      </c>
      <c r="F1">
        <f>AVERAGE(F7:F378)</f>
        <v>156.26475409836061</v>
      </c>
      <c r="H1">
        <f t="shared" ref="H1:Q1" si="1">AVERAGE(H7:H378)</f>
        <v>140.87737455197131</v>
      </c>
      <c r="I1">
        <f t="shared" si="1"/>
        <v>140.4271505376345</v>
      </c>
      <c r="J1">
        <f t="shared" si="1"/>
        <v>132.14215949820783</v>
      </c>
      <c r="K1">
        <f t="shared" si="1"/>
        <v>140.88767921146945</v>
      </c>
      <c r="L1">
        <f t="shared" si="1"/>
        <v>155.83987455197129</v>
      </c>
      <c r="M1">
        <f t="shared" si="1"/>
        <v>141.47961469534053</v>
      </c>
      <c r="N1">
        <f t="shared" si="1"/>
        <v>110.96061827956979</v>
      </c>
      <c r="O1">
        <f t="shared" si="1"/>
        <v>144.62011648745528</v>
      </c>
      <c r="P1">
        <f t="shared" si="1"/>
        <v>134.12316308243723</v>
      </c>
      <c r="Q1">
        <f t="shared" si="1"/>
        <v>149.08715846994548</v>
      </c>
      <c r="S1">
        <f>AVERAGE(S7:S378)</f>
        <v>142.59417562724019</v>
      </c>
      <c r="T1">
        <f>AVERAGE(T7:T378)</f>
        <v>155.38579234972681</v>
      </c>
      <c r="V1">
        <f>AVERAGE(V7:V378)</f>
        <v>142.66366120218566</v>
      </c>
      <c r="X1">
        <f>AVERAGE(X7:X378)</f>
        <v>135.97732240437156</v>
      </c>
      <c r="Z1">
        <f>AVERAGE(Z7:Z378)</f>
        <v>141.67431693989073</v>
      </c>
      <c r="AB1">
        <f>AVERAGE(AB7:AB378)</f>
        <v>139.25609756097555</v>
      </c>
      <c r="AE1">
        <f>AVERAGE(AE7:AE378)</f>
        <v>136.51002710027097</v>
      </c>
      <c r="AG1">
        <f>AVERAGE(AG7:AG378)</f>
        <v>136.68688524590166</v>
      </c>
      <c r="AI1">
        <f>AVERAGE(AI7:AI378)</f>
        <v>138.51680216802174</v>
      </c>
      <c r="AJ1">
        <f>AVERAGE(AJ7:AJ378)</f>
        <v>127.17049180327859</v>
      </c>
      <c r="AL1">
        <f>AVERAGE(AL7:AL378)</f>
        <v>133.89180327868851</v>
      </c>
      <c r="AN1">
        <f>AVERAGE(AN7:AN378)</f>
        <v>141.13114754098362</v>
      </c>
      <c r="AP1">
        <f>AVERAGE(AP7:AP378)</f>
        <v>133.35</v>
      </c>
      <c r="AR1">
        <f>AVERAGE(AR7:AR378)</f>
        <v>134.23579234972684</v>
      </c>
      <c r="AT1">
        <f>AVERAGE(AT7:AT378)</f>
        <v>139.56448087431698</v>
      </c>
    </row>
    <row r="2" spans="1:46" x14ac:dyDescent="0.3">
      <c r="A2" t="s">
        <v>50</v>
      </c>
      <c r="B2">
        <f>MEDIAN(B7:B378)</f>
        <v>2018</v>
      </c>
      <c r="C2" t="e">
        <f t="shared" ref="C2:D2" si="2">MEDIAN(C7:C378)</f>
        <v>#NUM!</v>
      </c>
      <c r="D2">
        <f t="shared" si="2"/>
        <v>135.9</v>
      </c>
      <c r="F2">
        <f>MEDIAN(F7:F378)</f>
        <v>144.19999999999999</v>
      </c>
      <c r="H2">
        <f t="shared" ref="H2:Q2" si="3">MEDIAN(H7:H378)</f>
        <v>135.75</v>
      </c>
      <c r="I2">
        <f t="shared" si="3"/>
        <v>141.14999999999998</v>
      </c>
      <c r="J2">
        <f t="shared" si="3"/>
        <v>120.6</v>
      </c>
      <c r="K2">
        <f t="shared" si="3"/>
        <v>141.5</v>
      </c>
      <c r="L2">
        <f t="shared" si="3"/>
        <v>153.6</v>
      </c>
      <c r="M2">
        <f t="shared" si="3"/>
        <v>139.64999999999998</v>
      </c>
      <c r="N2">
        <f t="shared" si="3"/>
        <v>113.4</v>
      </c>
      <c r="O2">
        <f t="shared" si="3"/>
        <v>139.6</v>
      </c>
      <c r="P2">
        <f t="shared" si="3"/>
        <v>129.05000000000001</v>
      </c>
      <c r="Q2">
        <f t="shared" si="3"/>
        <v>149.35000000000002</v>
      </c>
      <c r="S2">
        <f>MEDIAN(S7:S378)</f>
        <v>138.64999999999998</v>
      </c>
      <c r="T2">
        <f>MEDIAN(T7:T378)</f>
        <v>155.6</v>
      </c>
      <c r="V2">
        <f>MEDIAN(V7:V378)</f>
        <v>142.85</v>
      </c>
      <c r="X2">
        <f>MEDIAN(X7:X378)</f>
        <v>133.1</v>
      </c>
      <c r="Z2">
        <f>MEDIAN(Z7:Z378)</f>
        <v>141.5</v>
      </c>
      <c r="AB2">
        <f>MEDIAN(AB7:AB378)</f>
        <v>141.30000000000001</v>
      </c>
      <c r="AE2">
        <f>MEDIAN(AE7:AE378)</f>
        <v>132.19999999999999</v>
      </c>
      <c r="AG2">
        <f>MEDIAN(AG7:AG378)</f>
        <v>135</v>
      </c>
      <c r="AI2">
        <f>MEDIAN(AI7:AI378)</f>
        <v>133.6</v>
      </c>
      <c r="AJ2">
        <f>MEDIAN(AJ7:AJ378)</f>
        <v>119.69999999999999</v>
      </c>
      <c r="AL2">
        <f>MEDIAN(AL7:AL378)</f>
        <v>129.85000000000002</v>
      </c>
      <c r="AN2">
        <f>MEDIAN(AN7:AN378)</f>
        <v>139.94999999999999</v>
      </c>
      <c r="AP2">
        <f>MEDIAN(AP7:AP378)</f>
        <v>127.65</v>
      </c>
      <c r="AR2">
        <f>MEDIAN(AR7:AR378)</f>
        <v>129.64999999999998</v>
      </c>
      <c r="AT2">
        <f>MEDIAN(AT7:AT378)</f>
        <v>137.14999999999998</v>
      </c>
    </row>
    <row r="3" spans="1:46" x14ac:dyDescent="0.3">
      <c r="A3" t="s">
        <v>51</v>
      </c>
      <c r="B3">
        <f>MODE(B7:B378)</f>
        <v>2013</v>
      </c>
      <c r="C3" t="e">
        <f t="shared" ref="C3:D3" si="4">MODE(C7:C378)</f>
        <v>#N/A</v>
      </c>
      <c r="D3">
        <f t="shared" si="4"/>
        <v>124</v>
      </c>
      <c r="F3">
        <f>MODE(F7:F378)</f>
        <v>143.69999999999999</v>
      </c>
      <c r="H3">
        <f t="shared" ref="H3:Q3" si="5">MODE(H7:H378)</f>
        <v>117.8</v>
      </c>
      <c r="I3">
        <f t="shared" si="5"/>
        <v>153.30000000000001</v>
      </c>
      <c r="J3">
        <f t="shared" si="5"/>
        <v>118.1</v>
      </c>
      <c r="K3">
        <f t="shared" si="5"/>
        <v>147.19999999999999</v>
      </c>
      <c r="L3">
        <f t="shared" si="5"/>
        <v>129.19999999999999</v>
      </c>
      <c r="M3">
        <f t="shared" si="5"/>
        <v>164</v>
      </c>
      <c r="N3">
        <f t="shared" si="5"/>
        <v>121.9</v>
      </c>
      <c r="O3">
        <f t="shared" si="5"/>
        <v>135.6</v>
      </c>
      <c r="P3">
        <f t="shared" si="5"/>
        <v>112.1</v>
      </c>
      <c r="Q3">
        <f t="shared" si="5"/>
        <v>161.80000000000001</v>
      </c>
      <c r="S3">
        <f>MODE(S7:S378)</f>
        <v>131.80000000000001</v>
      </c>
      <c r="T3">
        <f>MODE(T7:T378)</f>
        <v>196.5</v>
      </c>
      <c r="V3">
        <f>MODE(V7:V378)</f>
        <v>115.8</v>
      </c>
      <c r="X3">
        <f>MODE(X7:X378)</f>
        <v>146.1</v>
      </c>
      <c r="Z3">
        <f>MODE(Z7:Z378)</f>
        <v>129</v>
      </c>
      <c r="AB3">
        <f>MODE(AB7:AB378)</f>
        <v>100.4</v>
      </c>
      <c r="AE3">
        <f>MODE(AE7:AE378)</f>
        <v>113.4</v>
      </c>
      <c r="AG3">
        <f>MODE(AG7:AG378)</f>
        <v>146.4</v>
      </c>
      <c r="AI3">
        <f>MODE(AI7:AI378)</f>
        <v>109.7</v>
      </c>
      <c r="AJ3">
        <f>MODE(AJ7:AJ378)</f>
        <v>109.3</v>
      </c>
      <c r="AL3">
        <f>MODE(AL7:AL378)</f>
        <v>104</v>
      </c>
      <c r="AN3">
        <f>MODE(AN7:AN378)</f>
        <v>155.5</v>
      </c>
      <c r="AP3">
        <f>MODE(AP7:AP378)</f>
        <v>104.3</v>
      </c>
      <c r="AR3">
        <f>MODE(AR7:AR378)</f>
        <v>113.7</v>
      </c>
      <c r="AT3">
        <f>MODE(AT7:AT378)</f>
        <v>114.2</v>
      </c>
    </row>
    <row r="6" spans="1:46" x14ac:dyDescent="0.3">
      <c r="A6" t="s">
        <v>0</v>
      </c>
      <c r="B6" t="s">
        <v>1</v>
      </c>
      <c r="C6" t="s">
        <v>2</v>
      </c>
      <c r="D6" t="s">
        <v>3</v>
      </c>
      <c r="F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S6" t="s">
        <v>15</v>
      </c>
      <c r="T6" t="s">
        <v>16</v>
      </c>
      <c r="V6" t="s">
        <v>17</v>
      </c>
      <c r="X6" t="s">
        <v>18</v>
      </c>
      <c r="Z6" t="s">
        <v>19</v>
      </c>
      <c r="AB6" t="s">
        <v>20</v>
      </c>
      <c r="AE6" t="s">
        <v>21</v>
      </c>
      <c r="AG6" t="s">
        <v>22</v>
      </c>
      <c r="AI6" t="s">
        <v>23</v>
      </c>
      <c r="AJ6" t="s">
        <v>24</v>
      </c>
      <c r="AL6" t="s">
        <v>25</v>
      </c>
      <c r="AN6" t="s">
        <v>26</v>
      </c>
      <c r="AP6" t="s">
        <v>27</v>
      </c>
      <c r="AR6" t="s">
        <v>28</v>
      </c>
      <c r="AT6" t="s">
        <v>29</v>
      </c>
    </row>
    <row r="7" spans="1:46" x14ac:dyDescent="0.3">
      <c r="A7" t="s">
        <v>30</v>
      </c>
      <c r="B7">
        <v>2013</v>
      </c>
      <c r="C7" t="s">
        <v>31</v>
      </c>
      <c r="D7">
        <v>107.5</v>
      </c>
      <c r="F7">
        <v>106.3</v>
      </c>
      <c r="H7">
        <v>108.1</v>
      </c>
      <c r="I7">
        <v>104.9</v>
      </c>
      <c r="J7">
        <v>106.1</v>
      </c>
      <c r="K7">
        <v>103.9</v>
      </c>
      <c r="L7">
        <v>101.9</v>
      </c>
      <c r="M7">
        <v>106.1</v>
      </c>
      <c r="N7">
        <v>106.8</v>
      </c>
      <c r="O7">
        <v>103.1</v>
      </c>
      <c r="P7">
        <v>104.8</v>
      </c>
      <c r="Q7">
        <v>106.7</v>
      </c>
      <c r="S7">
        <v>105.5</v>
      </c>
      <c r="T7">
        <v>105.1</v>
      </c>
      <c r="V7">
        <v>106.5</v>
      </c>
      <c r="X7">
        <v>105.8</v>
      </c>
      <c r="Z7">
        <v>106.4</v>
      </c>
      <c r="AB7" t="s">
        <v>32</v>
      </c>
      <c r="AC7">
        <f>AB8</f>
        <v>100.3</v>
      </c>
      <c r="AE7">
        <v>105.5</v>
      </c>
      <c r="AG7">
        <v>104.8</v>
      </c>
      <c r="AI7">
        <v>104</v>
      </c>
      <c r="AJ7">
        <v>103.3</v>
      </c>
      <c r="AL7">
        <v>103.4</v>
      </c>
      <c r="AN7">
        <v>103.8</v>
      </c>
      <c r="AP7">
        <v>104.7</v>
      </c>
      <c r="AR7">
        <v>104</v>
      </c>
      <c r="AT7">
        <v>105.1</v>
      </c>
    </row>
    <row r="8" spans="1:46" x14ac:dyDescent="0.3">
      <c r="A8" t="s">
        <v>33</v>
      </c>
      <c r="B8">
        <v>2013</v>
      </c>
      <c r="C8" t="s">
        <v>31</v>
      </c>
      <c r="D8">
        <v>110.5</v>
      </c>
      <c r="F8">
        <v>109.1</v>
      </c>
      <c r="H8">
        <v>113</v>
      </c>
      <c r="I8">
        <v>103.6</v>
      </c>
      <c r="J8">
        <v>103.4</v>
      </c>
      <c r="K8">
        <v>102.3</v>
      </c>
      <c r="L8">
        <v>102.9</v>
      </c>
      <c r="M8">
        <v>105.8</v>
      </c>
      <c r="N8">
        <v>105.1</v>
      </c>
      <c r="O8">
        <v>101.8</v>
      </c>
      <c r="P8">
        <v>105.1</v>
      </c>
      <c r="Q8">
        <v>107.9</v>
      </c>
      <c r="S8">
        <v>105.9</v>
      </c>
      <c r="T8">
        <v>105.2</v>
      </c>
      <c r="V8">
        <v>105.9</v>
      </c>
      <c r="X8">
        <v>105</v>
      </c>
      <c r="Z8">
        <v>105.8</v>
      </c>
      <c r="AB8">
        <v>100.3</v>
      </c>
      <c r="AC8">
        <f>AB8</f>
        <v>100.3</v>
      </c>
      <c r="AE8">
        <v>105.4</v>
      </c>
      <c r="AG8">
        <v>104.8</v>
      </c>
      <c r="AI8">
        <v>104.1</v>
      </c>
      <c r="AJ8">
        <v>103.2</v>
      </c>
      <c r="AL8">
        <v>102.9</v>
      </c>
      <c r="AN8">
        <v>103.5</v>
      </c>
      <c r="AP8">
        <v>104.3</v>
      </c>
      <c r="AR8">
        <v>103.7</v>
      </c>
      <c r="AT8">
        <v>104</v>
      </c>
    </row>
    <row r="9" spans="1:46" x14ac:dyDescent="0.3">
      <c r="A9" t="s">
        <v>34</v>
      </c>
      <c r="B9">
        <v>2013</v>
      </c>
      <c r="C9" t="s">
        <v>31</v>
      </c>
      <c r="D9">
        <v>108.4</v>
      </c>
      <c r="F9">
        <v>107.3</v>
      </c>
      <c r="H9">
        <v>110</v>
      </c>
      <c r="I9">
        <v>104.4</v>
      </c>
      <c r="J9">
        <v>105.1</v>
      </c>
      <c r="K9">
        <v>103.2</v>
      </c>
      <c r="L9">
        <v>102.2</v>
      </c>
      <c r="M9">
        <v>106</v>
      </c>
      <c r="N9">
        <v>106.2</v>
      </c>
      <c r="O9">
        <v>102.7</v>
      </c>
      <c r="P9">
        <v>104.9</v>
      </c>
      <c r="Q9">
        <v>107.3</v>
      </c>
      <c r="S9">
        <v>105.6</v>
      </c>
      <c r="T9">
        <v>105.1</v>
      </c>
      <c r="V9">
        <v>106.3</v>
      </c>
      <c r="X9">
        <v>105.5</v>
      </c>
      <c r="Z9">
        <v>106.2</v>
      </c>
      <c r="AB9">
        <v>100.3</v>
      </c>
      <c r="AC9">
        <f>AB9</f>
        <v>100.3</v>
      </c>
      <c r="AE9">
        <v>105.5</v>
      </c>
      <c r="AG9">
        <v>104.8</v>
      </c>
      <c r="AI9">
        <v>104</v>
      </c>
      <c r="AJ9">
        <v>103.2</v>
      </c>
      <c r="AL9">
        <v>103.1</v>
      </c>
      <c r="AN9">
        <v>103.6</v>
      </c>
      <c r="AP9">
        <v>104.5</v>
      </c>
      <c r="AR9">
        <v>103.9</v>
      </c>
      <c r="AT9">
        <v>104.6</v>
      </c>
    </row>
    <row r="10" spans="1:46" x14ac:dyDescent="0.3">
      <c r="A10" t="s">
        <v>30</v>
      </c>
      <c r="B10">
        <v>2013</v>
      </c>
      <c r="C10" t="s">
        <v>35</v>
      </c>
      <c r="D10">
        <v>109.2</v>
      </c>
      <c r="F10">
        <v>108.7</v>
      </c>
      <c r="H10">
        <v>110.2</v>
      </c>
      <c r="I10">
        <v>105.4</v>
      </c>
      <c r="J10">
        <v>106.7</v>
      </c>
      <c r="K10">
        <v>104</v>
      </c>
      <c r="L10">
        <v>102.4</v>
      </c>
      <c r="M10">
        <v>105.9</v>
      </c>
      <c r="N10">
        <v>105.7</v>
      </c>
      <c r="O10">
        <v>103.1</v>
      </c>
      <c r="P10">
        <v>105.1</v>
      </c>
      <c r="Q10">
        <v>107.7</v>
      </c>
      <c r="S10">
        <v>106.3</v>
      </c>
      <c r="T10">
        <v>105.6</v>
      </c>
      <c r="V10">
        <v>107.1</v>
      </c>
      <c r="X10">
        <v>106.3</v>
      </c>
      <c r="Z10">
        <v>107</v>
      </c>
      <c r="AB10" t="s">
        <v>32</v>
      </c>
      <c r="AC10">
        <f t="shared" ref="AC10" si="6">AB11</f>
        <v>100.4</v>
      </c>
      <c r="AE10">
        <v>106.2</v>
      </c>
      <c r="AG10">
        <v>105.2</v>
      </c>
      <c r="AI10">
        <v>104.4</v>
      </c>
      <c r="AJ10">
        <v>103.9</v>
      </c>
      <c r="AL10">
        <v>104</v>
      </c>
      <c r="AN10">
        <v>104.1</v>
      </c>
      <c r="AP10">
        <v>104.6</v>
      </c>
      <c r="AR10">
        <v>104.4</v>
      </c>
      <c r="AT10">
        <v>105.8</v>
      </c>
    </row>
    <row r="11" spans="1:46" x14ac:dyDescent="0.3">
      <c r="A11" t="s">
        <v>33</v>
      </c>
      <c r="B11">
        <v>2013</v>
      </c>
      <c r="C11" t="s">
        <v>35</v>
      </c>
      <c r="D11">
        <v>112.9</v>
      </c>
      <c r="F11">
        <v>112.9</v>
      </c>
      <c r="H11">
        <v>116.9</v>
      </c>
      <c r="I11">
        <v>104</v>
      </c>
      <c r="J11">
        <v>103.5</v>
      </c>
      <c r="K11">
        <v>103.1</v>
      </c>
      <c r="L11">
        <v>104.9</v>
      </c>
      <c r="M11">
        <v>104.1</v>
      </c>
      <c r="N11">
        <v>103.8</v>
      </c>
      <c r="O11">
        <v>102.3</v>
      </c>
      <c r="P11">
        <v>106</v>
      </c>
      <c r="Q11">
        <v>109</v>
      </c>
      <c r="S11">
        <v>107.2</v>
      </c>
      <c r="T11">
        <v>106</v>
      </c>
      <c r="V11">
        <v>106.6</v>
      </c>
      <c r="X11">
        <v>105.5</v>
      </c>
      <c r="Z11">
        <v>106.4</v>
      </c>
      <c r="AB11">
        <v>100.4</v>
      </c>
      <c r="AC11">
        <f t="shared" ref="AC11:AC12" si="7">AB11</f>
        <v>100.4</v>
      </c>
      <c r="AE11">
        <v>105.7</v>
      </c>
      <c r="AG11">
        <v>105.2</v>
      </c>
      <c r="AI11">
        <v>104.7</v>
      </c>
      <c r="AJ11">
        <v>104.4</v>
      </c>
      <c r="AL11">
        <v>103.3</v>
      </c>
      <c r="AN11">
        <v>103.7</v>
      </c>
      <c r="AP11">
        <v>104.3</v>
      </c>
      <c r="AR11">
        <v>104.3</v>
      </c>
      <c r="AT11">
        <v>104.7</v>
      </c>
    </row>
    <row r="12" spans="1:46" x14ac:dyDescent="0.3">
      <c r="A12" t="s">
        <v>34</v>
      </c>
      <c r="B12">
        <v>2013</v>
      </c>
      <c r="C12" t="s">
        <v>35</v>
      </c>
      <c r="D12">
        <v>110.4</v>
      </c>
      <c r="F12">
        <v>110.2</v>
      </c>
      <c r="H12">
        <v>112.8</v>
      </c>
      <c r="I12">
        <v>104.9</v>
      </c>
      <c r="J12">
        <v>105.5</v>
      </c>
      <c r="K12">
        <v>103.6</v>
      </c>
      <c r="L12">
        <v>103.2</v>
      </c>
      <c r="M12">
        <v>105.3</v>
      </c>
      <c r="N12">
        <v>105.1</v>
      </c>
      <c r="O12">
        <v>102.8</v>
      </c>
      <c r="P12">
        <v>105.5</v>
      </c>
      <c r="Q12">
        <v>108.3</v>
      </c>
      <c r="S12">
        <v>106.6</v>
      </c>
      <c r="T12">
        <v>105.7</v>
      </c>
      <c r="V12">
        <v>106.9</v>
      </c>
      <c r="X12">
        <v>106</v>
      </c>
      <c r="Z12">
        <v>106.8</v>
      </c>
      <c r="AB12">
        <v>100.4</v>
      </c>
      <c r="AC12">
        <f t="shared" si="7"/>
        <v>100.4</v>
      </c>
      <c r="AE12">
        <v>106</v>
      </c>
      <c r="AG12">
        <v>105.2</v>
      </c>
      <c r="AI12">
        <v>104.5</v>
      </c>
      <c r="AJ12">
        <v>104.2</v>
      </c>
      <c r="AL12">
        <v>103.6</v>
      </c>
      <c r="AN12">
        <v>103.9</v>
      </c>
      <c r="AP12">
        <v>104.5</v>
      </c>
      <c r="AR12">
        <v>104.4</v>
      </c>
      <c r="AT12">
        <v>105.3</v>
      </c>
    </row>
    <row r="13" spans="1:46" x14ac:dyDescent="0.3">
      <c r="A13" t="s">
        <v>30</v>
      </c>
      <c r="B13">
        <v>2013</v>
      </c>
      <c r="C13" t="s">
        <v>36</v>
      </c>
      <c r="D13">
        <v>110.2</v>
      </c>
      <c r="F13">
        <v>108.8</v>
      </c>
      <c r="H13">
        <v>109.9</v>
      </c>
      <c r="I13">
        <v>105.6</v>
      </c>
      <c r="J13">
        <v>106.2</v>
      </c>
      <c r="K13">
        <v>105.7</v>
      </c>
      <c r="L13">
        <v>101.4</v>
      </c>
      <c r="M13">
        <v>105.7</v>
      </c>
      <c r="N13">
        <v>105</v>
      </c>
      <c r="O13">
        <v>103.3</v>
      </c>
      <c r="P13">
        <v>105.6</v>
      </c>
      <c r="Q13">
        <v>108.2</v>
      </c>
      <c r="S13">
        <v>106.6</v>
      </c>
      <c r="T13">
        <v>106.5</v>
      </c>
      <c r="V13">
        <v>107.6</v>
      </c>
      <c r="X13">
        <v>106.8</v>
      </c>
      <c r="Z13">
        <v>107.5</v>
      </c>
      <c r="AB13" t="s">
        <v>32</v>
      </c>
      <c r="AC13">
        <f t="shared" ref="AC13" si="8">AB14</f>
        <v>100.4</v>
      </c>
      <c r="AE13">
        <v>106.1</v>
      </c>
      <c r="AG13">
        <v>105.6</v>
      </c>
      <c r="AI13">
        <v>104.7</v>
      </c>
      <c r="AJ13">
        <v>104.6</v>
      </c>
      <c r="AL13">
        <v>104</v>
      </c>
      <c r="AN13">
        <v>104.3</v>
      </c>
      <c r="AP13">
        <v>104.3</v>
      </c>
      <c r="AR13">
        <v>104.6</v>
      </c>
      <c r="AT13">
        <v>106</v>
      </c>
    </row>
    <row r="14" spans="1:46" x14ac:dyDescent="0.3">
      <c r="A14" t="s">
        <v>33</v>
      </c>
      <c r="B14">
        <v>2013</v>
      </c>
      <c r="C14" t="s">
        <v>36</v>
      </c>
      <c r="D14">
        <v>113.9</v>
      </c>
      <c r="F14">
        <v>111.4</v>
      </c>
      <c r="H14">
        <v>113.2</v>
      </c>
      <c r="I14">
        <v>104.3</v>
      </c>
      <c r="J14">
        <v>102.7</v>
      </c>
      <c r="K14">
        <v>104.9</v>
      </c>
      <c r="L14">
        <v>103.8</v>
      </c>
      <c r="M14">
        <v>103.5</v>
      </c>
      <c r="N14">
        <v>102.6</v>
      </c>
      <c r="O14">
        <v>102.4</v>
      </c>
      <c r="P14">
        <v>107</v>
      </c>
      <c r="Q14">
        <v>109.8</v>
      </c>
      <c r="S14">
        <v>107.3</v>
      </c>
      <c r="T14">
        <v>106.8</v>
      </c>
      <c r="V14">
        <v>107.2</v>
      </c>
      <c r="X14">
        <v>106</v>
      </c>
      <c r="Z14">
        <v>107</v>
      </c>
      <c r="AB14">
        <v>100.4</v>
      </c>
      <c r="AC14">
        <f t="shared" ref="AC14:AC15" si="9">AB14</f>
        <v>100.4</v>
      </c>
      <c r="AE14">
        <v>106</v>
      </c>
      <c r="AG14">
        <v>105.7</v>
      </c>
      <c r="AI14">
        <v>105.2</v>
      </c>
      <c r="AJ14">
        <v>105.5</v>
      </c>
      <c r="AL14">
        <v>103.5</v>
      </c>
      <c r="AN14">
        <v>103.8</v>
      </c>
      <c r="AP14">
        <v>104.2</v>
      </c>
      <c r="AR14">
        <v>104.9</v>
      </c>
      <c r="AT14">
        <v>105</v>
      </c>
    </row>
    <row r="15" spans="1:46" x14ac:dyDescent="0.3">
      <c r="A15" t="s">
        <v>34</v>
      </c>
      <c r="B15">
        <v>2013</v>
      </c>
      <c r="C15" t="s">
        <v>36</v>
      </c>
      <c r="D15">
        <v>111.4</v>
      </c>
      <c r="F15">
        <v>109.7</v>
      </c>
      <c r="H15">
        <v>111.2</v>
      </c>
      <c r="I15">
        <v>105.1</v>
      </c>
      <c r="J15">
        <v>104.9</v>
      </c>
      <c r="K15">
        <v>105.3</v>
      </c>
      <c r="L15">
        <v>102.2</v>
      </c>
      <c r="M15">
        <v>105</v>
      </c>
      <c r="N15">
        <v>104.2</v>
      </c>
      <c r="O15">
        <v>103</v>
      </c>
      <c r="P15">
        <v>106.2</v>
      </c>
      <c r="Q15">
        <v>108.9</v>
      </c>
      <c r="S15">
        <v>106.9</v>
      </c>
      <c r="T15">
        <v>106.6</v>
      </c>
      <c r="V15">
        <v>107.4</v>
      </c>
      <c r="X15">
        <v>106.5</v>
      </c>
      <c r="Z15">
        <v>107.3</v>
      </c>
      <c r="AB15">
        <v>100.4</v>
      </c>
      <c r="AC15">
        <f t="shared" si="9"/>
        <v>100.4</v>
      </c>
      <c r="AE15">
        <v>106.1</v>
      </c>
      <c r="AG15">
        <v>105.6</v>
      </c>
      <c r="AI15">
        <v>104.9</v>
      </c>
      <c r="AJ15">
        <v>105.1</v>
      </c>
      <c r="AL15">
        <v>103.7</v>
      </c>
      <c r="AN15">
        <v>104</v>
      </c>
      <c r="AP15">
        <v>104.3</v>
      </c>
      <c r="AR15">
        <v>104.7</v>
      </c>
      <c r="AT15">
        <v>105.5</v>
      </c>
    </row>
    <row r="16" spans="1:46" x14ac:dyDescent="0.3">
      <c r="A16" t="s">
        <v>30</v>
      </c>
      <c r="B16">
        <v>2013</v>
      </c>
      <c r="C16" t="s">
        <v>37</v>
      </c>
      <c r="D16">
        <v>110.2</v>
      </c>
      <c r="F16">
        <v>109.5</v>
      </c>
      <c r="H16">
        <v>106.9</v>
      </c>
      <c r="I16">
        <v>106.3</v>
      </c>
      <c r="J16">
        <v>105.7</v>
      </c>
      <c r="K16">
        <v>108.3</v>
      </c>
      <c r="L16">
        <v>103.4</v>
      </c>
      <c r="M16">
        <v>105.7</v>
      </c>
      <c r="N16">
        <v>104.2</v>
      </c>
      <c r="O16">
        <v>103.2</v>
      </c>
      <c r="P16">
        <v>106.5</v>
      </c>
      <c r="Q16">
        <v>108.8</v>
      </c>
      <c r="S16">
        <v>107.1</v>
      </c>
      <c r="T16">
        <v>107.1</v>
      </c>
      <c r="V16">
        <v>108.1</v>
      </c>
      <c r="X16">
        <v>107.4</v>
      </c>
      <c r="Z16">
        <v>108</v>
      </c>
      <c r="AB16" t="s">
        <v>32</v>
      </c>
      <c r="AC16">
        <f t="shared" ref="AC16" si="10">AB17</f>
        <v>100.5</v>
      </c>
      <c r="AE16">
        <v>106.5</v>
      </c>
      <c r="AG16">
        <v>106.1</v>
      </c>
      <c r="AI16">
        <v>105.1</v>
      </c>
      <c r="AJ16">
        <v>104.4</v>
      </c>
      <c r="AL16">
        <v>104.5</v>
      </c>
      <c r="AN16">
        <v>104.8</v>
      </c>
      <c r="AP16">
        <v>102.7</v>
      </c>
      <c r="AR16">
        <v>104.6</v>
      </c>
      <c r="AT16">
        <v>106.4</v>
      </c>
    </row>
    <row r="17" spans="1:46" x14ac:dyDescent="0.3">
      <c r="A17" t="s">
        <v>33</v>
      </c>
      <c r="B17">
        <v>2013</v>
      </c>
      <c r="C17" t="s">
        <v>37</v>
      </c>
      <c r="D17">
        <v>114.6</v>
      </c>
      <c r="F17">
        <v>113.4</v>
      </c>
      <c r="H17">
        <v>106</v>
      </c>
      <c r="I17">
        <v>104.7</v>
      </c>
      <c r="J17">
        <v>102.1</v>
      </c>
      <c r="K17">
        <v>109.5</v>
      </c>
      <c r="L17">
        <v>109.7</v>
      </c>
      <c r="M17">
        <v>104.6</v>
      </c>
      <c r="N17">
        <v>102</v>
      </c>
      <c r="O17">
        <v>103.5</v>
      </c>
      <c r="P17">
        <v>108.2</v>
      </c>
      <c r="Q17">
        <v>110.6</v>
      </c>
      <c r="S17">
        <v>108.8</v>
      </c>
      <c r="T17">
        <v>108.5</v>
      </c>
      <c r="V17">
        <v>107.9</v>
      </c>
      <c r="X17">
        <v>106.4</v>
      </c>
      <c r="Z17">
        <v>107.7</v>
      </c>
      <c r="AB17">
        <v>100.5</v>
      </c>
      <c r="AC17">
        <f t="shared" ref="AC17:AC18" si="11">AB17</f>
        <v>100.5</v>
      </c>
      <c r="AE17">
        <v>106.4</v>
      </c>
      <c r="AG17">
        <v>106.5</v>
      </c>
      <c r="AI17">
        <v>105.7</v>
      </c>
      <c r="AJ17">
        <v>105</v>
      </c>
      <c r="AL17">
        <v>104</v>
      </c>
      <c r="AN17">
        <v>105.2</v>
      </c>
      <c r="AP17">
        <v>103.2</v>
      </c>
      <c r="AR17">
        <v>105.1</v>
      </c>
      <c r="AT17">
        <v>105.7</v>
      </c>
    </row>
    <row r="18" spans="1:46" x14ac:dyDescent="0.3">
      <c r="A18" t="s">
        <v>34</v>
      </c>
      <c r="B18">
        <v>2013</v>
      </c>
      <c r="C18" t="s">
        <v>37</v>
      </c>
      <c r="D18">
        <v>111.6</v>
      </c>
      <c r="F18">
        <v>110.9</v>
      </c>
      <c r="H18">
        <v>106.6</v>
      </c>
      <c r="I18">
        <v>105.7</v>
      </c>
      <c r="J18">
        <v>104.4</v>
      </c>
      <c r="K18">
        <v>108.9</v>
      </c>
      <c r="L18">
        <v>105.5</v>
      </c>
      <c r="M18">
        <v>105.3</v>
      </c>
      <c r="N18">
        <v>103.5</v>
      </c>
      <c r="O18">
        <v>103.3</v>
      </c>
      <c r="P18">
        <v>107.2</v>
      </c>
      <c r="Q18">
        <v>109.6</v>
      </c>
      <c r="S18">
        <v>107.7</v>
      </c>
      <c r="T18">
        <v>107.5</v>
      </c>
      <c r="V18">
        <v>108</v>
      </c>
      <c r="X18">
        <v>107</v>
      </c>
      <c r="Z18">
        <v>107.9</v>
      </c>
      <c r="AB18">
        <v>100.5</v>
      </c>
      <c r="AC18">
        <f t="shared" si="11"/>
        <v>100.5</v>
      </c>
      <c r="AE18">
        <v>106.5</v>
      </c>
      <c r="AG18">
        <v>106.3</v>
      </c>
      <c r="AI18">
        <v>105.3</v>
      </c>
      <c r="AJ18">
        <v>104.7</v>
      </c>
      <c r="AL18">
        <v>104.2</v>
      </c>
      <c r="AN18">
        <v>105</v>
      </c>
      <c r="AP18">
        <v>102.9</v>
      </c>
      <c r="AR18">
        <v>104.8</v>
      </c>
      <c r="AT18">
        <v>106.1</v>
      </c>
    </row>
    <row r="19" spans="1:46" x14ac:dyDescent="0.3">
      <c r="A19" t="s">
        <v>30</v>
      </c>
      <c r="B19">
        <v>2013</v>
      </c>
      <c r="C19" t="s">
        <v>38</v>
      </c>
      <c r="D19">
        <v>110.9</v>
      </c>
      <c r="F19">
        <v>109.8</v>
      </c>
      <c r="H19">
        <v>105.9</v>
      </c>
      <c r="I19">
        <v>107.5</v>
      </c>
      <c r="J19">
        <v>105.3</v>
      </c>
      <c r="K19">
        <v>108.1</v>
      </c>
      <c r="L19">
        <v>107.3</v>
      </c>
      <c r="M19">
        <v>106.1</v>
      </c>
      <c r="N19">
        <v>103.7</v>
      </c>
      <c r="O19">
        <v>104</v>
      </c>
      <c r="P19">
        <v>107.4</v>
      </c>
      <c r="Q19">
        <v>109.9</v>
      </c>
      <c r="S19">
        <v>108.1</v>
      </c>
      <c r="T19">
        <v>108.1</v>
      </c>
      <c r="V19">
        <v>108.8</v>
      </c>
      <c r="X19">
        <v>107.9</v>
      </c>
      <c r="Z19">
        <v>108.6</v>
      </c>
      <c r="AB19" t="s">
        <v>32</v>
      </c>
      <c r="AC19">
        <f t="shared" ref="AC19" si="12">AB20</f>
        <v>100.5</v>
      </c>
      <c r="AE19">
        <v>107.5</v>
      </c>
      <c r="AG19">
        <v>106.8</v>
      </c>
      <c r="AI19">
        <v>105.7</v>
      </c>
      <c r="AJ19">
        <v>104.1</v>
      </c>
      <c r="AL19">
        <v>105</v>
      </c>
      <c r="AN19">
        <v>105.5</v>
      </c>
      <c r="AP19">
        <v>102.1</v>
      </c>
      <c r="AR19">
        <v>104.8</v>
      </c>
      <c r="AT19">
        <v>107.2</v>
      </c>
    </row>
    <row r="20" spans="1:46" x14ac:dyDescent="0.3">
      <c r="A20" t="s">
        <v>33</v>
      </c>
      <c r="B20">
        <v>2013</v>
      </c>
      <c r="C20" t="s">
        <v>38</v>
      </c>
      <c r="D20">
        <v>115.4</v>
      </c>
      <c r="F20">
        <v>114.2</v>
      </c>
      <c r="H20">
        <v>102.7</v>
      </c>
      <c r="I20">
        <v>105.5</v>
      </c>
      <c r="J20">
        <v>101.5</v>
      </c>
      <c r="K20">
        <v>110.6</v>
      </c>
      <c r="L20">
        <v>123.7</v>
      </c>
      <c r="M20">
        <v>105.2</v>
      </c>
      <c r="N20">
        <v>101.9</v>
      </c>
      <c r="O20">
        <v>105</v>
      </c>
      <c r="P20">
        <v>109.1</v>
      </c>
      <c r="Q20">
        <v>111.3</v>
      </c>
      <c r="S20">
        <v>111.1</v>
      </c>
      <c r="T20">
        <v>109.8</v>
      </c>
      <c r="V20">
        <v>108.5</v>
      </c>
      <c r="X20">
        <v>106.7</v>
      </c>
      <c r="Z20">
        <v>108.3</v>
      </c>
      <c r="AB20">
        <v>100.5</v>
      </c>
      <c r="AC20">
        <f t="shared" ref="AC20:AC21" si="13">AB20</f>
        <v>100.5</v>
      </c>
      <c r="AE20">
        <v>107.2</v>
      </c>
      <c r="AG20">
        <v>107.1</v>
      </c>
      <c r="AI20">
        <v>106.2</v>
      </c>
      <c r="AJ20">
        <v>103.9</v>
      </c>
      <c r="AL20">
        <v>104.6</v>
      </c>
      <c r="AN20">
        <v>105.7</v>
      </c>
      <c r="AP20">
        <v>102.6</v>
      </c>
      <c r="AR20">
        <v>104.9</v>
      </c>
      <c r="AT20">
        <v>106.6</v>
      </c>
    </row>
    <row r="21" spans="1:46" x14ac:dyDescent="0.3">
      <c r="A21" t="s">
        <v>34</v>
      </c>
      <c r="B21">
        <v>2013</v>
      </c>
      <c r="C21" t="s">
        <v>38</v>
      </c>
      <c r="D21">
        <v>112.3</v>
      </c>
      <c r="F21">
        <v>111.3</v>
      </c>
      <c r="H21">
        <v>104.7</v>
      </c>
      <c r="I21">
        <v>106.8</v>
      </c>
      <c r="J21">
        <v>103.9</v>
      </c>
      <c r="K21">
        <v>109.3</v>
      </c>
      <c r="L21">
        <v>112.9</v>
      </c>
      <c r="M21">
        <v>105.8</v>
      </c>
      <c r="N21">
        <v>103.1</v>
      </c>
      <c r="O21">
        <v>104.3</v>
      </c>
      <c r="P21">
        <v>108.1</v>
      </c>
      <c r="Q21">
        <v>110.5</v>
      </c>
      <c r="S21">
        <v>109.2</v>
      </c>
      <c r="T21">
        <v>108.6</v>
      </c>
      <c r="V21">
        <v>108.7</v>
      </c>
      <c r="X21">
        <v>107.4</v>
      </c>
      <c r="Z21">
        <v>108.5</v>
      </c>
      <c r="AB21">
        <v>100.5</v>
      </c>
      <c r="AC21">
        <f t="shared" si="13"/>
        <v>100.5</v>
      </c>
      <c r="AE21">
        <v>107.4</v>
      </c>
      <c r="AG21">
        <v>106.9</v>
      </c>
      <c r="AI21">
        <v>105.9</v>
      </c>
      <c r="AJ21">
        <v>104</v>
      </c>
      <c r="AL21">
        <v>104.8</v>
      </c>
      <c r="AN21">
        <v>105.6</v>
      </c>
      <c r="AP21">
        <v>102.3</v>
      </c>
      <c r="AR21">
        <v>104.8</v>
      </c>
      <c r="AT21">
        <v>106.9</v>
      </c>
    </row>
    <row r="22" spans="1:46" x14ac:dyDescent="0.3">
      <c r="A22" t="s">
        <v>30</v>
      </c>
      <c r="B22">
        <v>2013</v>
      </c>
      <c r="C22" t="s">
        <v>39</v>
      </c>
      <c r="D22">
        <v>112.3</v>
      </c>
      <c r="F22">
        <v>112.1</v>
      </c>
      <c r="H22">
        <v>108.1</v>
      </c>
      <c r="I22">
        <v>108.3</v>
      </c>
      <c r="J22">
        <v>105.9</v>
      </c>
      <c r="K22">
        <v>109.2</v>
      </c>
      <c r="L22">
        <v>118</v>
      </c>
      <c r="M22">
        <v>106.8</v>
      </c>
      <c r="N22">
        <v>104.1</v>
      </c>
      <c r="O22">
        <v>105.4</v>
      </c>
      <c r="P22">
        <v>108.2</v>
      </c>
      <c r="Q22">
        <v>111</v>
      </c>
      <c r="S22">
        <v>110.6</v>
      </c>
      <c r="T22">
        <v>109</v>
      </c>
      <c r="V22">
        <v>109.7</v>
      </c>
      <c r="X22">
        <v>108.8</v>
      </c>
      <c r="Z22">
        <v>109.5</v>
      </c>
      <c r="AB22" t="s">
        <v>32</v>
      </c>
      <c r="AC22">
        <f t="shared" ref="AC22" si="14">AB23</f>
        <v>106.6</v>
      </c>
      <c r="AE22">
        <v>108.5</v>
      </c>
      <c r="AG22">
        <v>107.5</v>
      </c>
      <c r="AI22">
        <v>106.3</v>
      </c>
      <c r="AJ22">
        <v>105</v>
      </c>
      <c r="AL22">
        <v>105.6</v>
      </c>
      <c r="AN22">
        <v>106.5</v>
      </c>
      <c r="AP22">
        <v>102.5</v>
      </c>
      <c r="AR22">
        <v>105.5</v>
      </c>
      <c r="AT22">
        <v>108.9</v>
      </c>
    </row>
    <row r="23" spans="1:46" x14ac:dyDescent="0.3">
      <c r="A23" t="s">
        <v>33</v>
      </c>
      <c r="B23">
        <v>2013</v>
      </c>
      <c r="C23" t="s">
        <v>39</v>
      </c>
      <c r="D23">
        <v>117</v>
      </c>
      <c r="F23">
        <v>120.1</v>
      </c>
      <c r="H23">
        <v>112.5</v>
      </c>
      <c r="I23">
        <v>107.3</v>
      </c>
      <c r="J23">
        <v>101.3</v>
      </c>
      <c r="K23">
        <v>112.4</v>
      </c>
      <c r="L23">
        <v>143.6</v>
      </c>
      <c r="M23">
        <v>105.4</v>
      </c>
      <c r="N23">
        <v>101.4</v>
      </c>
      <c r="O23">
        <v>106.4</v>
      </c>
      <c r="P23">
        <v>110</v>
      </c>
      <c r="Q23">
        <v>112.2</v>
      </c>
      <c r="S23">
        <v>115</v>
      </c>
      <c r="T23">
        <v>110.9</v>
      </c>
      <c r="V23">
        <v>109.2</v>
      </c>
      <c r="X23">
        <v>107.2</v>
      </c>
      <c r="Z23">
        <v>108.9</v>
      </c>
      <c r="AB23">
        <v>106.6</v>
      </c>
      <c r="AC23">
        <f t="shared" ref="AC23:AC24" si="15">AB23</f>
        <v>106.6</v>
      </c>
      <c r="AE23">
        <v>108</v>
      </c>
      <c r="AG23">
        <v>107.7</v>
      </c>
      <c r="AI23">
        <v>106.5</v>
      </c>
      <c r="AJ23">
        <v>105.2</v>
      </c>
      <c r="AL23">
        <v>105.2</v>
      </c>
      <c r="AN23">
        <v>108.1</v>
      </c>
      <c r="AP23">
        <v>103.3</v>
      </c>
      <c r="AR23">
        <v>106.1</v>
      </c>
      <c r="AT23">
        <v>109.7</v>
      </c>
    </row>
    <row r="24" spans="1:46" x14ac:dyDescent="0.3">
      <c r="A24" t="s">
        <v>34</v>
      </c>
      <c r="B24">
        <v>2013</v>
      </c>
      <c r="C24" t="s">
        <v>39</v>
      </c>
      <c r="D24">
        <v>113.8</v>
      </c>
      <c r="F24">
        <v>114.9</v>
      </c>
      <c r="H24">
        <v>109.8</v>
      </c>
      <c r="I24">
        <v>107.9</v>
      </c>
      <c r="J24">
        <v>104.2</v>
      </c>
      <c r="K24">
        <v>110.7</v>
      </c>
      <c r="L24">
        <v>126.7</v>
      </c>
      <c r="M24">
        <v>106.3</v>
      </c>
      <c r="N24">
        <v>103.2</v>
      </c>
      <c r="O24">
        <v>105.7</v>
      </c>
      <c r="P24">
        <v>109</v>
      </c>
      <c r="Q24">
        <v>111.6</v>
      </c>
      <c r="S24">
        <v>112.2</v>
      </c>
      <c r="T24">
        <v>109.5</v>
      </c>
      <c r="V24">
        <v>109.5</v>
      </c>
      <c r="X24">
        <v>108.1</v>
      </c>
      <c r="Z24">
        <v>109.3</v>
      </c>
      <c r="AB24">
        <v>106.6</v>
      </c>
      <c r="AC24">
        <f t="shared" si="15"/>
        <v>106.6</v>
      </c>
      <c r="AE24">
        <v>108.3</v>
      </c>
      <c r="AG24">
        <v>107.6</v>
      </c>
      <c r="AI24">
        <v>106.4</v>
      </c>
      <c r="AJ24">
        <v>105.1</v>
      </c>
      <c r="AL24">
        <v>105.4</v>
      </c>
      <c r="AN24">
        <v>107.4</v>
      </c>
      <c r="AP24">
        <v>102.8</v>
      </c>
      <c r="AR24">
        <v>105.8</v>
      </c>
      <c r="AT24">
        <v>109.3</v>
      </c>
    </row>
    <row r="25" spans="1:46" x14ac:dyDescent="0.3">
      <c r="A25" t="s">
        <v>30</v>
      </c>
      <c r="B25">
        <v>2013</v>
      </c>
      <c r="C25" t="s">
        <v>40</v>
      </c>
      <c r="D25">
        <v>113.4</v>
      </c>
      <c r="F25">
        <v>114.9</v>
      </c>
      <c r="H25">
        <v>110.5</v>
      </c>
      <c r="I25">
        <v>109.3</v>
      </c>
      <c r="J25">
        <v>106.2</v>
      </c>
      <c r="K25">
        <v>110.3</v>
      </c>
      <c r="L25">
        <v>129.19999999999999</v>
      </c>
      <c r="M25">
        <v>107.1</v>
      </c>
      <c r="N25">
        <v>104.3</v>
      </c>
      <c r="O25">
        <v>106.4</v>
      </c>
      <c r="P25">
        <v>109.1</v>
      </c>
      <c r="Q25">
        <v>112.1</v>
      </c>
      <c r="S25">
        <v>113.1</v>
      </c>
      <c r="T25">
        <v>109.8</v>
      </c>
      <c r="V25">
        <v>110.5</v>
      </c>
      <c r="X25">
        <v>109.5</v>
      </c>
      <c r="Z25">
        <v>110.3</v>
      </c>
      <c r="AB25" t="s">
        <v>32</v>
      </c>
      <c r="AC25">
        <f t="shared" ref="AC25" si="16">AB26</f>
        <v>107.7</v>
      </c>
      <c r="AE25">
        <v>109.5</v>
      </c>
      <c r="AG25">
        <v>108.3</v>
      </c>
      <c r="AI25">
        <v>106.9</v>
      </c>
      <c r="AJ25">
        <v>106.8</v>
      </c>
      <c r="AL25">
        <v>106.4</v>
      </c>
      <c r="AN25">
        <v>107.8</v>
      </c>
      <c r="AP25">
        <v>102.5</v>
      </c>
      <c r="AR25">
        <v>106.5</v>
      </c>
      <c r="AT25">
        <v>110.7</v>
      </c>
    </row>
    <row r="26" spans="1:46" x14ac:dyDescent="0.3">
      <c r="A26" t="s">
        <v>33</v>
      </c>
      <c r="B26">
        <v>2013</v>
      </c>
      <c r="C26" t="s">
        <v>40</v>
      </c>
      <c r="D26">
        <v>117.8</v>
      </c>
      <c r="F26">
        <v>119.2</v>
      </c>
      <c r="H26">
        <v>114</v>
      </c>
      <c r="I26">
        <v>108.3</v>
      </c>
      <c r="J26">
        <v>101.1</v>
      </c>
      <c r="K26">
        <v>113.2</v>
      </c>
      <c r="L26">
        <v>160.9</v>
      </c>
      <c r="M26">
        <v>105.1</v>
      </c>
      <c r="N26">
        <v>101.3</v>
      </c>
      <c r="O26">
        <v>107.5</v>
      </c>
      <c r="P26">
        <v>110.4</v>
      </c>
      <c r="Q26">
        <v>113.1</v>
      </c>
      <c r="S26">
        <v>117.5</v>
      </c>
      <c r="T26">
        <v>111.7</v>
      </c>
      <c r="V26">
        <v>109.8</v>
      </c>
      <c r="X26">
        <v>107.8</v>
      </c>
      <c r="Z26">
        <v>109.5</v>
      </c>
      <c r="AB26">
        <v>107.7</v>
      </c>
      <c r="AC26">
        <f t="shared" ref="AC26:AC27" si="17">AB26</f>
        <v>107.7</v>
      </c>
      <c r="AE26">
        <v>108.6</v>
      </c>
      <c r="AG26">
        <v>108.1</v>
      </c>
      <c r="AI26">
        <v>107.1</v>
      </c>
      <c r="AJ26">
        <v>107.3</v>
      </c>
      <c r="AL26">
        <v>105.9</v>
      </c>
      <c r="AN26">
        <v>110.1</v>
      </c>
      <c r="AP26">
        <v>103.2</v>
      </c>
      <c r="AR26">
        <v>107.3</v>
      </c>
      <c r="AT26">
        <v>111.4</v>
      </c>
    </row>
    <row r="27" spans="1:46" x14ac:dyDescent="0.3">
      <c r="A27" t="s">
        <v>34</v>
      </c>
      <c r="B27">
        <v>2013</v>
      </c>
      <c r="C27" t="s">
        <v>40</v>
      </c>
      <c r="D27">
        <v>114.8</v>
      </c>
      <c r="F27">
        <v>116.4</v>
      </c>
      <c r="H27">
        <v>111.9</v>
      </c>
      <c r="I27">
        <v>108.9</v>
      </c>
      <c r="J27">
        <v>104.3</v>
      </c>
      <c r="K27">
        <v>111.7</v>
      </c>
      <c r="L27">
        <v>140</v>
      </c>
      <c r="M27">
        <v>106.4</v>
      </c>
      <c r="N27">
        <v>103.3</v>
      </c>
      <c r="O27">
        <v>106.8</v>
      </c>
      <c r="P27">
        <v>109.6</v>
      </c>
      <c r="Q27">
        <v>112.6</v>
      </c>
      <c r="S27">
        <v>114.7</v>
      </c>
      <c r="T27">
        <v>110.3</v>
      </c>
      <c r="V27">
        <v>110.2</v>
      </c>
      <c r="X27">
        <v>108.8</v>
      </c>
      <c r="Z27">
        <v>110</v>
      </c>
      <c r="AB27">
        <v>107.7</v>
      </c>
      <c r="AC27">
        <f t="shared" si="17"/>
        <v>107.7</v>
      </c>
      <c r="AE27">
        <v>109.2</v>
      </c>
      <c r="AG27">
        <v>108.2</v>
      </c>
      <c r="AI27">
        <v>107</v>
      </c>
      <c r="AJ27">
        <v>107.1</v>
      </c>
      <c r="AL27">
        <v>106.1</v>
      </c>
      <c r="AN27">
        <v>109.1</v>
      </c>
      <c r="AP27">
        <v>102.8</v>
      </c>
      <c r="AR27">
        <v>106.9</v>
      </c>
      <c r="AT27">
        <v>111</v>
      </c>
    </row>
    <row r="28" spans="1:46" x14ac:dyDescent="0.3">
      <c r="A28" t="s">
        <v>30</v>
      </c>
      <c r="B28">
        <v>2013</v>
      </c>
      <c r="C28" t="s">
        <v>41</v>
      </c>
      <c r="D28">
        <v>114.3</v>
      </c>
      <c r="F28">
        <v>115.4</v>
      </c>
      <c r="H28">
        <v>111.1</v>
      </c>
      <c r="I28">
        <v>110</v>
      </c>
      <c r="J28">
        <v>106.4</v>
      </c>
      <c r="K28">
        <v>110.8</v>
      </c>
      <c r="L28">
        <v>138.9</v>
      </c>
      <c r="M28">
        <v>107.4</v>
      </c>
      <c r="N28">
        <v>104.1</v>
      </c>
      <c r="O28">
        <v>106.9</v>
      </c>
      <c r="P28">
        <v>109.7</v>
      </c>
      <c r="Q28">
        <v>112.6</v>
      </c>
      <c r="S28">
        <v>114.9</v>
      </c>
      <c r="T28">
        <v>110.7</v>
      </c>
      <c r="V28">
        <v>111.3</v>
      </c>
      <c r="X28">
        <v>110.2</v>
      </c>
      <c r="Z28">
        <v>111.1</v>
      </c>
      <c r="AB28" t="s">
        <v>32</v>
      </c>
      <c r="AC28">
        <f t="shared" ref="AC28" si="18">AB29</f>
        <v>108.9</v>
      </c>
      <c r="AE28">
        <v>109.9</v>
      </c>
      <c r="AG28">
        <v>108.7</v>
      </c>
      <c r="AI28">
        <v>107.5</v>
      </c>
      <c r="AJ28">
        <v>107.8</v>
      </c>
      <c r="AL28">
        <v>106.8</v>
      </c>
      <c r="AN28">
        <v>108.7</v>
      </c>
      <c r="AP28">
        <v>105</v>
      </c>
      <c r="AR28">
        <v>107.5</v>
      </c>
      <c r="AT28">
        <v>112.1</v>
      </c>
    </row>
    <row r="29" spans="1:46" x14ac:dyDescent="0.3">
      <c r="A29" t="s">
        <v>33</v>
      </c>
      <c r="B29">
        <v>2013</v>
      </c>
      <c r="C29" t="s">
        <v>41</v>
      </c>
      <c r="D29">
        <v>118.3</v>
      </c>
      <c r="F29">
        <v>120.4</v>
      </c>
      <c r="H29">
        <v>112.7</v>
      </c>
      <c r="I29">
        <v>108.9</v>
      </c>
      <c r="J29">
        <v>101.1</v>
      </c>
      <c r="K29">
        <v>108.7</v>
      </c>
      <c r="L29">
        <v>177</v>
      </c>
      <c r="M29">
        <v>104.7</v>
      </c>
      <c r="N29">
        <v>101</v>
      </c>
      <c r="O29">
        <v>108.5</v>
      </c>
      <c r="P29">
        <v>110.9</v>
      </c>
      <c r="Q29">
        <v>114.3</v>
      </c>
      <c r="S29">
        <v>119.6</v>
      </c>
      <c r="T29">
        <v>112.4</v>
      </c>
      <c r="V29">
        <v>110.6</v>
      </c>
      <c r="X29">
        <v>108.3</v>
      </c>
      <c r="Z29">
        <v>110.2</v>
      </c>
      <c r="AB29">
        <v>108.9</v>
      </c>
      <c r="AC29">
        <f t="shared" ref="AC29:AC30" si="19">AB29</f>
        <v>108.9</v>
      </c>
      <c r="AE29">
        <v>109.3</v>
      </c>
      <c r="AG29">
        <v>108.7</v>
      </c>
      <c r="AI29">
        <v>107.6</v>
      </c>
      <c r="AJ29">
        <v>108.1</v>
      </c>
      <c r="AL29">
        <v>106.5</v>
      </c>
      <c r="AN29">
        <v>110.8</v>
      </c>
      <c r="AP29">
        <v>106</v>
      </c>
      <c r="AR29">
        <v>108.3</v>
      </c>
      <c r="AT29">
        <v>112.7</v>
      </c>
    </row>
    <row r="30" spans="1:46" x14ac:dyDescent="0.3">
      <c r="A30" t="s">
        <v>34</v>
      </c>
      <c r="B30">
        <v>2013</v>
      </c>
      <c r="C30" t="s">
        <v>41</v>
      </c>
      <c r="D30">
        <v>115.6</v>
      </c>
      <c r="F30">
        <v>117.2</v>
      </c>
      <c r="H30">
        <v>111.7</v>
      </c>
      <c r="I30">
        <v>109.6</v>
      </c>
      <c r="J30">
        <v>104.5</v>
      </c>
      <c r="K30">
        <v>109.8</v>
      </c>
      <c r="L30">
        <v>151.80000000000001</v>
      </c>
      <c r="M30">
        <v>106.5</v>
      </c>
      <c r="N30">
        <v>103.1</v>
      </c>
      <c r="O30">
        <v>107.4</v>
      </c>
      <c r="P30">
        <v>110.2</v>
      </c>
      <c r="Q30">
        <v>113.4</v>
      </c>
      <c r="S30">
        <v>116.6</v>
      </c>
      <c r="T30">
        <v>111.2</v>
      </c>
      <c r="V30">
        <v>111</v>
      </c>
      <c r="X30">
        <v>109.4</v>
      </c>
      <c r="Z30">
        <v>110.7</v>
      </c>
      <c r="AB30">
        <v>108.9</v>
      </c>
      <c r="AC30">
        <f t="shared" si="19"/>
        <v>108.9</v>
      </c>
      <c r="AE30">
        <v>109.7</v>
      </c>
      <c r="AG30">
        <v>108.7</v>
      </c>
      <c r="AI30">
        <v>107.5</v>
      </c>
      <c r="AJ30">
        <v>108</v>
      </c>
      <c r="AL30">
        <v>106.6</v>
      </c>
      <c r="AN30">
        <v>109.9</v>
      </c>
      <c r="AP30">
        <v>105.4</v>
      </c>
      <c r="AR30">
        <v>107.9</v>
      </c>
      <c r="AT30">
        <v>112.4</v>
      </c>
    </row>
    <row r="31" spans="1:46" x14ac:dyDescent="0.3">
      <c r="A31" t="s">
        <v>30</v>
      </c>
      <c r="B31">
        <v>2013</v>
      </c>
      <c r="C31" t="s">
        <v>42</v>
      </c>
      <c r="D31">
        <v>115.4</v>
      </c>
      <c r="F31">
        <v>115.7</v>
      </c>
      <c r="H31">
        <v>111.7</v>
      </c>
      <c r="I31">
        <v>111</v>
      </c>
      <c r="J31">
        <v>107.4</v>
      </c>
      <c r="K31">
        <v>110.9</v>
      </c>
      <c r="L31">
        <v>154</v>
      </c>
      <c r="M31">
        <v>108.1</v>
      </c>
      <c r="N31">
        <v>104.2</v>
      </c>
      <c r="O31">
        <v>107.9</v>
      </c>
      <c r="P31">
        <v>110.4</v>
      </c>
      <c r="Q31">
        <v>114</v>
      </c>
      <c r="S31">
        <v>117.8</v>
      </c>
      <c r="T31">
        <v>111.7</v>
      </c>
      <c r="V31">
        <v>112.7</v>
      </c>
      <c r="X31">
        <v>111.4</v>
      </c>
      <c r="Z31">
        <v>112.5</v>
      </c>
      <c r="AB31" t="s">
        <v>32</v>
      </c>
      <c r="AC31">
        <f t="shared" ref="AC31" si="20">AB32</f>
        <v>109.7</v>
      </c>
      <c r="AE31">
        <v>111.1</v>
      </c>
      <c r="AG31">
        <v>109.6</v>
      </c>
      <c r="AI31">
        <v>108.3</v>
      </c>
      <c r="AJ31">
        <v>109.3</v>
      </c>
      <c r="AL31">
        <v>107.7</v>
      </c>
      <c r="AN31">
        <v>109.8</v>
      </c>
      <c r="AP31">
        <v>106.7</v>
      </c>
      <c r="AR31">
        <v>108.7</v>
      </c>
      <c r="AT31">
        <v>114.2</v>
      </c>
    </row>
    <row r="32" spans="1:46" x14ac:dyDescent="0.3">
      <c r="A32" t="s">
        <v>33</v>
      </c>
      <c r="B32">
        <v>2013</v>
      </c>
      <c r="C32" t="s">
        <v>42</v>
      </c>
      <c r="D32">
        <v>118.6</v>
      </c>
      <c r="F32">
        <v>119.1</v>
      </c>
      <c r="H32">
        <v>113.2</v>
      </c>
      <c r="I32">
        <v>109.6</v>
      </c>
      <c r="J32">
        <v>101.7</v>
      </c>
      <c r="K32">
        <v>103.2</v>
      </c>
      <c r="L32">
        <v>174.3</v>
      </c>
      <c r="M32">
        <v>105.1</v>
      </c>
      <c r="N32">
        <v>100.8</v>
      </c>
      <c r="O32">
        <v>109.1</v>
      </c>
      <c r="P32">
        <v>111.1</v>
      </c>
      <c r="Q32">
        <v>115.4</v>
      </c>
      <c r="S32">
        <v>119.2</v>
      </c>
      <c r="T32">
        <v>112.9</v>
      </c>
      <c r="V32">
        <v>111.4</v>
      </c>
      <c r="X32">
        <v>109</v>
      </c>
      <c r="Z32">
        <v>111.1</v>
      </c>
      <c r="AB32">
        <v>109.7</v>
      </c>
      <c r="AC32">
        <f t="shared" ref="AC32:AC33" si="21">AB32</f>
        <v>109.7</v>
      </c>
      <c r="AE32">
        <v>109.5</v>
      </c>
      <c r="AG32">
        <v>109.6</v>
      </c>
      <c r="AI32">
        <v>107.9</v>
      </c>
      <c r="AJ32">
        <v>110.4</v>
      </c>
      <c r="AL32">
        <v>107.4</v>
      </c>
      <c r="AN32">
        <v>111.2</v>
      </c>
      <c r="AP32">
        <v>106.9</v>
      </c>
      <c r="AR32">
        <v>109.4</v>
      </c>
      <c r="AT32">
        <v>113.2</v>
      </c>
    </row>
    <row r="33" spans="1:46" x14ac:dyDescent="0.3">
      <c r="A33" t="s">
        <v>34</v>
      </c>
      <c r="B33">
        <v>2013</v>
      </c>
      <c r="C33" t="s">
        <v>42</v>
      </c>
      <c r="D33">
        <v>116.4</v>
      </c>
      <c r="F33">
        <v>116.9</v>
      </c>
      <c r="H33">
        <v>112.3</v>
      </c>
      <c r="I33">
        <v>110.5</v>
      </c>
      <c r="J33">
        <v>105.3</v>
      </c>
      <c r="K33">
        <v>107.3</v>
      </c>
      <c r="L33">
        <v>160.9</v>
      </c>
      <c r="M33">
        <v>107.1</v>
      </c>
      <c r="N33">
        <v>103.1</v>
      </c>
      <c r="O33">
        <v>108.3</v>
      </c>
      <c r="P33">
        <v>110.7</v>
      </c>
      <c r="Q33">
        <v>114.6</v>
      </c>
      <c r="S33">
        <v>118.3</v>
      </c>
      <c r="T33">
        <v>112</v>
      </c>
      <c r="V33">
        <v>112.2</v>
      </c>
      <c r="X33">
        <v>110.4</v>
      </c>
      <c r="Z33">
        <v>111.9</v>
      </c>
      <c r="AB33">
        <v>109.7</v>
      </c>
      <c r="AC33">
        <f t="shared" si="21"/>
        <v>109.7</v>
      </c>
      <c r="AE33">
        <v>110.5</v>
      </c>
      <c r="AG33">
        <v>109.6</v>
      </c>
      <c r="AI33">
        <v>108.1</v>
      </c>
      <c r="AJ33">
        <v>109.9</v>
      </c>
      <c r="AL33">
        <v>107.5</v>
      </c>
      <c r="AN33">
        <v>110.6</v>
      </c>
      <c r="AP33">
        <v>106.8</v>
      </c>
      <c r="AR33">
        <v>109</v>
      </c>
      <c r="AT33">
        <v>113.7</v>
      </c>
    </row>
    <row r="34" spans="1:46" x14ac:dyDescent="0.3">
      <c r="A34" t="s">
        <v>30</v>
      </c>
      <c r="B34">
        <v>2013</v>
      </c>
      <c r="C34" t="s">
        <v>43</v>
      </c>
      <c r="D34">
        <v>116.3</v>
      </c>
      <c r="F34">
        <v>115.4</v>
      </c>
      <c r="H34">
        <v>112.6</v>
      </c>
      <c r="I34">
        <v>111.7</v>
      </c>
      <c r="J34">
        <v>107.7</v>
      </c>
      <c r="K34">
        <v>113.2</v>
      </c>
      <c r="L34">
        <v>164.9</v>
      </c>
      <c r="M34">
        <v>108.3</v>
      </c>
      <c r="N34">
        <v>103.9</v>
      </c>
      <c r="O34">
        <v>108.2</v>
      </c>
      <c r="P34">
        <v>111.1</v>
      </c>
      <c r="Q34">
        <v>114.9</v>
      </c>
      <c r="S34">
        <v>119.8</v>
      </c>
      <c r="T34">
        <v>112.2</v>
      </c>
      <c r="V34">
        <v>113.6</v>
      </c>
      <c r="X34">
        <v>112.3</v>
      </c>
      <c r="Z34">
        <v>113.4</v>
      </c>
      <c r="AB34" t="s">
        <v>32</v>
      </c>
      <c r="AC34">
        <f t="shared" ref="AC34" si="22">AB35</f>
        <v>110.5</v>
      </c>
      <c r="AE34">
        <v>111.6</v>
      </c>
      <c r="AG34">
        <v>110.4</v>
      </c>
      <c r="AI34">
        <v>108.9</v>
      </c>
      <c r="AJ34">
        <v>109.3</v>
      </c>
      <c r="AL34">
        <v>108.3</v>
      </c>
      <c r="AN34">
        <v>110.2</v>
      </c>
      <c r="AP34">
        <v>107.5</v>
      </c>
      <c r="AR34">
        <v>109.1</v>
      </c>
      <c r="AT34">
        <v>115.5</v>
      </c>
    </row>
    <row r="35" spans="1:46" x14ac:dyDescent="0.3">
      <c r="A35" t="s">
        <v>33</v>
      </c>
      <c r="B35">
        <v>2013</v>
      </c>
      <c r="C35" t="s">
        <v>43</v>
      </c>
      <c r="D35">
        <v>118.9</v>
      </c>
      <c r="F35">
        <v>118.1</v>
      </c>
      <c r="H35">
        <v>114.5</v>
      </c>
      <c r="I35">
        <v>110.4</v>
      </c>
      <c r="J35">
        <v>102.3</v>
      </c>
      <c r="K35">
        <v>106.2</v>
      </c>
      <c r="L35">
        <v>183.5</v>
      </c>
      <c r="M35">
        <v>105.3</v>
      </c>
      <c r="N35">
        <v>100.2</v>
      </c>
      <c r="O35">
        <v>109.6</v>
      </c>
      <c r="P35">
        <v>111.4</v>
      </c>
      <c r="Q35">
        <v>116</v>
      </c>
      <c r="S35">
        <v>120.8</v>
      </c>
      <c r="T35">
        <v>113.5</v>
      </c>
      <c r="V35">
        <v>112.5</v>
      </c>
      <c r="X35">
        <v>109.7</v>
      </c>
      <c r="Z35">
        <v>112</v>
      </c>
      <c r="AB35">
        <v>110.5</v>
      </c>
      <c r="AC35">
        <f t="shared" ref="AC35:AC36" si="23">AB35</f>
        <v>110.5</v>
      </c>
      <c r="AE35">
        <v>109.7</v>
      </c>
      <c r="AG35">
        <v>110.2</v>
      </c>
      <c r="AI35">
        <v>108.2</v>
      </c>
      <c r="AJ35">
        <v>109.7</v>
      </c>
      <c r="AL35">
        <v>108</v>
      </c>
      <c r="AN35">
        <v>111.3</v>
      </c>
      <c r="AP35">
        <v>107.3</v>
      </c>
      <c r="AR35">
        <v>109.4</v>
      </c>
      <c r="AT35">
        <v>114</v>
      </c>
    </row>
    <row r="36" spans="1:46" x14ac:dyDescent="0.3">
      <c r="A36" t="s">
        <v>34</v>
      </c>
      <c r="B36">
        <v>2013</v>
      </c>
      <c r="C36" t="s">
        <v>43</v>
      </c>
      <c r="D36">
        <v>117.1</v>
      </c>
      <c r="F36">
        <v>116.3</v>
      </c>
      <c r="H36">
        <v>113.3</v>
      </c>
      <c r="I36">
        <v>111.2</v>
      </c>
      <c r="J36">
        <v>105.7</v>
      </c>
      <c r="K36">
        <v>109.9</v>
      </c>
      <c r="L36">
        <v>171.2</v>
      </c>
      <c r="M36">
        <v>107.3</v>
      </c>
      <c r="N36">
        <v>102.7</v>
      </c>
      <c r="O36">
        <v>108.7</v>
      </c>
      <c r="P36">
        <v>111.2</v>
      </c>
      <c r="Q36">
        <v>115.4</v>
      </c>
      <c r="S36">
        <v>120.2</v>
      </c>
      <c r="T36">
        <v>112.5</v>
      </c>
      <c r="V36">
        <v>113.2</v>
      </c>
      <c r="X36">
        <v>111.2</v>
      </c>
      <c r="Z36">
        <v>112.8</v>
      </c>
      <c r="AB36">
        <v>110.5</v>
      </c>
      <c r="AC36">
        <f t="shared" si="23"/>
        <v>110.5</v>
      </c>
      <c r="AE36">
        <v>110.9</v>
      </c>
      <c r="AG36">
        <v>110.3</v>
      </c>
      <c r="AI36">
        <v>108.6</v>
      </c>
      <c r="AJ36">
        <v>109.5</v>
      </c>
      <c r="AL36">
        <v>108.1</v>
      </c>
      <c r="AN36">
        <v>110.8</v>
      </c>
      <c r="AP36">
        <v>107.4</v>
      </c>
      <c r="AR36">
        <v>109.2</v>
      </c>
      <c r="AT36">
        <v>114.8</v>
      </c>
    </row>
    <row r="37" spans="1:46" x14ac:dyDescent="0.3">
      <c r="A37" t="s">
        <v>30</v>
      </c>
      <c r="B37">
        <v>2013</v>
      </c>
      <c r="C37" t="s">
        <v>45</v>
      </c>
      <c r="D37">
        <v>117.3</v>
      </c>
      <c r="F37">
        <v>114.9</v>
      </c>
      <c r="H37">
        <v>116.2</v>
      </c>
      <c r="I37">
        <v>112.8</v>
      </c>
      <c r="J37">
        <v>108.9</v>
      </c>
      <c r="K37">
        <v>116.6</v>
      </c>
      <c r="L37">
        <v>178.1</v>
      </c>
      <c r="M37">
        <v>109.1</v>
      </c>
      <c r="N37">
        <v>103.6</v>
      </c>
      <c r="O37">
        <v>109</v>
      </c>
      <c r="P37">
        <v>111.8</v>
      </c>
      <c r="Q37">
        <v>116</v>
      </c>
      <c r="S37">
        <v>122.5</v>
      </c>
      <c r="T37">
        <v>112.8</v>
      </c>
      <c r="V37">
        <v>114.6</v>
      </c>
      <c r="X37">
        <v>113.1</v>
      </c>
      <c r="Z37">
        <v>114.4</v>
      </c>
      <c r="AB37" t="s">
        <v>32</v>
      </c>
      <c r="AC37">
        <f t="shared" ref="AC37" si="24">AB38</f>
        <v>111.1</v>
      </c>
      <c r="AE37">
        <v>112.6</v>
      </c>
      <c r="AG37">
        <v>111.3</v>
      </c>
      <c r="AI37">
        <v>109.7</v>
      </c>
      <c r="AJ37">
        <v>109.6</v>
      </c>
      <c r="AL37">
        <v>108.7</v>
      </c>
      <c r="AN37">
        <v>111</v>
      </c>
      <c r="AP37">
        <v>108.2</v>
      </c>
      <c r="AR37">
        <v>109.8</v>
      </c>
      <c r="AT37">
        <v>117.4</v>
      </c>
    </row>
    <row r="38" spans="1:46" x14ac:dyDescent="0.3">
      <c r="A38" t="s">
        <v>33</v>
      </c>
      <c r="B38">
        <v>2013</v>
      </c>
      <c r="C38" t="s">
        <v>45</v>
      </c>
      <c r="D38">
        <v>119.8</v>
      </c>
      <c r="F38">
        <v>116.3</v>
      </c>
      <c r="H38">
        <v>122.6</v>
      </c>
      <c r="I38">
        <v>112</v>
      </c>
      <c r="J38">
        <v>103.2</v>
      </c>
      <c r="K38">
        <v>110</v>
      </c>
      <c r="L38">
        <v>192.8</v>
      </c>
      <c r="M38">
        <v>106.3</v>
      </c>
      <c r="N38">
        <v>99.5</v>
      </c>
      <c r="O38">
        <v>110.3</v>
      </c>
      <c r="P38">
        <v>111.8</v>
      </c>
      <c r="Q38">
        <v>117.1</v>
      </c>
      <c r="S38">
        <v>122.9</v>
      </c>
      <c r="T38">
        <v>114.1</v>
      </c>
      <c r="V38">
        <v>113.5</v>
      </c>
      <c r="X38">
        <v>110.3</v>
      </c>
      <c r="Z38">
        <v>113</v>
      </c>
      <c r="AB38">
        <v>111.1</v>
      </c>
      <c r="AC38">
        <f t="shared" ref="AC38:AC39" si="25">AB38</f>
        <v>111.1</v>
      </c>
      <c r="AE38">
        <v>110</v>
      </c>
      <c r="AG38">
        <v>110.9</v>
      </c>
      <c r="AI38">
        <v>108.6</v>
      </c>
      <c r="AJ38">
        <v>109.5</v>
      </c>
      <c r="AL38">
        <v>108.5</v>
      </c>
      <c r="AN38">
        <v>111.3</v>
      </c>
      <c r="AP38">
        <v>107.9</v>
      </c>
      <c r="AR38">
        <v>109.6</v>
      </c>
      <c r="AT38">
        <v>115</v>
      </c>
    </row>
    <row r="39" spans="1:46" x14ac:dyDescent="0.3">
      <c r="A39" t="s">
        <v>34</v>
      </c>
      <c r="B39">
        <v>2013</v>
      </c>
      <c r="C39" t="s">
        <v>45</v>
      </c>
      <c r="D39">
        <v>118.1</v>
      </c>
      <c r="F39">
        <v>115.4</v>
      </c>
      <c r="H39">
        <v>118.7</v>
      </c>
      <c r="I39">
        <v>112.5</v>
      </c>
      <c r="J39">
        <v>106.8</v>
      </c>
      <c r="K39">
        <v>113.5</v>
      </c>
      <c r="L39">
        <v>183.1</v>
      </c>
      <c r="M39">
        <v>108.2</v>
      </c>
      <c r="N39">
        <v>102.2</v>
      </c>
      <c r="O39">
        <v>109.4</v>
      </c>
      <c r="P39">
        <v>111.8</v>
      </c>
      <c r="Q39">
        <v>116.5</v>
      </c>
      <c r="S39">
        <v>122.6</v>
      </c>
      <c r="T39">
        <v>113.1</v>
      </c>
      <c r="V39">
        <v>114.2</v>
      </c>
      <c r="X39">
        <v>111.9</v>
      </c>
      <c r="Z39">
        <v>113.8</v>
      </c>
      <c r="AB39">
        <v>111.1</v>
      </c>
      <c r="AC39">
        <f t="shared" si="25"/>
        <v>111.1</v>
      </c>
      <c r="AE39">
        <v>111.6</v>
      </c>
      <c r="AG39">
        <v>111.1</v>
      </c>
      <c r="AI39">
        <v>109.3</v>
      </c>
      <c r="AJ39">
        <v>109.5</v>
      </c>
      <c r="AL39">
        <v>108.6</v>
      </c>
      <c r="AN39">
        <v>111.2</v>
      </c>
      <c r="AP39">
        <v>108.1</v>
      </c>
      <c r="AR39">
        <v>109.7</v>
      </c>
      <c r="AT39">
        <v>116.3</v>
      </c>
    </row>
    <row r="40" spans="1:46" x14ac:dyDescent="0.3">
      <c r="A40" t="s">
        <v>30</v>
      </c>
      <c r="B40">
        <v>2013</v>
      </c>
      <c r="C40" t="s">
        <v>46</v>
      </c>
      <c r="D40">
        <v>118.4</v>
      </c>
      <c r="F40">
        <v>115.9</v>
      </c>
      <c r="H40">
        <v>120.4</v>
      </c>
      <c r="I40">
        <v>113.8</v>
      </c>
      <c r="J40">
        <v>109.5</v>
      </c>
      <c r="K40">
        <v>115.5</v>
      </c>
      <c r="L40">
        <v>145.69999999999999</v>
      </c>
      <c r="M40">
        <v>109.5</v>
      </c>
      <c r="N40">
        <v>102.9</v>
      </c>
      <c r="O40">
        <v>109.8</v>
      </c>
      <c r="P40">
        <v>112.1</v>
      </c>
      <c r="Q40">
        <v>116.8</v>
      </c>
      <c r="S40">
        <v>118.7</v>
      </c>
      <c r="T40">
        <v>113.6</v>
      </c>
      <c r="V40">
        <v>115.8</v>
      </c>
      <c r="X40">
        <v>114</v>
      </c>
      <c r="Z40">
        <v>115.5</v>
      </c>
      <c r="AB40" t="s">
        <v>32</v>
      </c>
      <c r="AC40">
        <f t="shared" ref="AC40" si="26">AB41</f>
        <v>110.7</v>
      </c>
      <c r="AE40">
        <v>112.8</v>
      </c>
      <c r="AG40">
        <v>112.1</v>
      </c>
      <c r="AI40">
        <v>110.1</v>
      </c>
      <c r="AJ40">
        <v>109.9</v>
      </c>
      <c r="AL40">
        <v>109.2</v>
      </c>
      <c r="AN40">
        <v>111.6</v>
      </c>
      <c r="AP40">
        <v>108.1</v>
      </c>
      <c r="AR40">
        <v>110.1</v>
      </c>
      <c r="AT40">
        <v>115.5</v>
      </c>
    </row>
    <row r="41" spans="1:46" x14ac:dyDescent="0.3">
      <c r="A41" t="s">
        <v>33</v>
      </c>
      <c r="B41">
        <v>2013</v>
      </c>
      <c r="C41" t="s">
        <v>46</v>
      </c>
      <c r="D41">
        <v>120.5</v>
      </c>
      <c r="F41">
        <v>118.1</v>
      </c>
      <c r="H41">
        <v>128.5</v>
      </c>
      <c r="I41">
        <v>112.8</v>
      </c>
      <c r="J41">
        <v>103.4</v>
      </c>
      <c r="K41">
        <v>110.7</v>
      </c>
      <c r="L41">
        <v>144.80000000000001</v>
      </c>
      <c r="M41">
        <v>107.1</v>
      </c>
      <c r="N41">
        <v>98.6</v>
      </c>
      <c r="O41">
        <v>111.9</v>
      </c>
      <c r="P41">
        <v>112.1</v>
      </c>
      <c r="Q41">
        <v>118.1</v>
      </c>
      <c r="S41">
        <v>117.8</v>
      </c>
      <c r="T41">
        <v>115</v>
      </c>
      <c r="V41">
        <v>114.2</v>
      </c>
      <c r="X41">
        <v>110.9</v>
      </c>
      <c r="Z41">
        <v>113.7</v>
      </c>
      <c r="AB41">
        <v>110.7</v>
      </c>
      <c r="AC41">
        <f t="shared" ref="AC41:AC42" si="27">AB41</f>
        <v>110.7</v>
      </c>
      <c r="AE41">
        <v>110.4</v>
      </c>
      <c r="AG41">
        <v>111.3</v>
      </c>
      <c r="AI41">
        <v>109</v>
      </c>
      <c r="AJ41">
        <v>109.7</v>
      </c>
      <c r="AL41">
        <v>108.9</v>
      </c>
      <c r="AN41">
        <v>111.4</v>
      </c>
      <c r="AP41">
        <v>107.7</v>
      </c>
      <c r="AR41">
        <v>109.8</v>
      </c>
      <c r="AT41">
        <v>113.3</v>
      </c>
    </row>
    <row r="42" spans="1:46" x14ac:dyDescent="0.3">
      <c r="A42" t="s">
        <v>34</v>
      </c>
      <c r="B42">
        <v>2013</v>
      </c>
      <c r="C42" t="s">
        <v>46</v>
      </c>
      <c r="D42">
        <v>119.1</v>
      </c>
      <c r="F42">
        <v>116.7</v>
      </c>
      <c r="H42">
        <v>123.5</v>
      </c>
      <c r="I42">
        <v>113.4</v>
      </c>
      <c r="J42">
        <v>107.3</v>
      </c>
      <c r="K42">
        <v>113.3</v>
      </c>
      <c r="L42">
        <v>145.4</v>
      </c>
      <c r="M42">
        <v>108.7</v>
      </c>
      <c r="N42">
        <v>101.5</v>
      </c>
      <c r="O42">
        <v>110.5</v>
      </c>
      <c r="P42">
        <v>112.1</v>
      </c>
      <c r="Q42">
        <v>117.4</v>
      </c>
      <c r="S42">
        <v>118.4</v>
      </c>
      <c r="T42">
        <v>114</v>
      </c>
      <c r="V42">
        <v>115.2</v>
      </c>
      <c r="X42">
        <v>112.7</v>
      </c>
      <c r="Z42">
        <v>114.8</v>
      </c>
      <c r="AB42">
        <v>110.7</v>
      </c>
      <c r="AC42">
        <f t="shared" si="27"/>
        <v>110.7</v>
      </c>
      <c r="AE42">
        <v>111.9</v>
      </c>
      <c r="AG42">
        <v>111.7</v>
      </c>
      <c r="AI42">
        <v>109.7</v>
      </c>
      <c r="AJ42">
        <v>109.8</v>
      </c>
      <c r="AL42">
        <v>109</v>
      </c>
      <c r="AN42">
        <v>111.5</v>
      </c>
      <c r="AP42">
        <v>107.9</v>
      </c>
      <c r="AR42">
        <v>110</v>
      </c>
      <c r="AT42">
        <v>114.5</v>
      </c>
    </row>
    <row r="43" spans="1:46" x14ac:dyDescent="0.3">
      <c r="A43" t="s">
        <v>30</v>
      </c>
      <c r="B43">
        <v>2014</v>
      </c>
      <c r="C43" t="s">
        <v>31</v>
      </c>
      <c r="D43">
        <v>118.9</v>
      </c>
      <c r="F43">
        <v>117.1</v>
      </c>
      <c r="H43">
        <v>120.5</v>
      </c>
      <c r="I43">
        <v>114.4</v>
      </c>
      <c r="J43">
        <v>109</v>
      </c>
      <c r="K43">
        <v>115.5</v>
      </c>
      <c r="L43">
        <v>123.9</v>
      </c>
      <c r="M43">
        <v>109.6</v>
      </c>
      <c r="N43">
        <v>101.8</v>
      </c>
      <c r="O43">
        <v>110.2</v>
      </c>
      <c r="P43">
        <v>112.4</v>
      </c>
      <c r="Q43">
        <v>117.3</v>
      </c>
      <c r="S43">
        <v>116</v>
      </c>
      <c r="T43">
        <v>114</v>
      </c>
      <c r="V43">
        <v>116.5</v>
      </c>
      <c r="X43">
        <v>114.5</v>
      </c>
      <c r="Z43">
        <v>116.2</v>
      </c>
      <c r="AB43" t="s">
        <v>32</v>
      </c>
      <c r="AC43">
        <f t="shared" ref="AC43" si="28">AB44</f>
        <v>111.6</v>
      </c>
      <c r="AE43">
        <v>113</v>
      </c>
      <c r="AG43">
        <v>112.6</v>
      </c>
      <c r="AI43">
        <v>110.6</v>
      </c>
      <c r="AJ43">
        <v>110.5</v>
      </c>
      <c r="AL43">
        <v>109.6</v>
      </c>
      <c r="AN43">
        <v>111.8</v>
      </c>
      <c r="AP43">
        <v>108.3</v>
      </c>
      <c r="AR43">
        <v>110.6</v>
      </c>
      <c r="AT43">
        <v>114.2</v>
      </c>
    </row>
    <row r="44" spans="1:46" x14ac:dyDescent="0.3">
      <c r="A44" t="s">
        <v>33</v>
      </c>
      <c r="B44">
        <v>2014</v>
      </c>
      <c r="C44" t="s">
        <v>31</v>
      </c>
      <c r="D44">
        <v>121.2</v>
      </c>
      <c r="F44">
        <v>122</v>
      </c>
      <c r="H44">
        <v>129.9</v>
      </c>
      <c r="I44">
        <v>113.6</v>
      </c>
      <c r="J44">
        <v>102.9</v>
      </c>
      <c r="K44">
        <v>112.1</v>
      </c>
      <c r="L44">
        <v>118.9</v>
      </c>
      <c r="M44">
        <v>107.5</v>
      </c>
      <c r="N44">
        <v>96.9</v>
      </c>
      <c r="O44">
        <v>112.7</v>
      </c>
      <c r="P44">
        <v>112.1</v>
      </c>
      <c r="Q44">
        <v>119</v>
      </c>
      <c r="S44">
        <v>115.5</v>
      </c>
      <c r="T44">
        <v>115.7</v>
      </c>
      <c r="V44">
        <v>114.8</v>
      </c>
      <c r="X44">
        <v>111.3</v>
      </c>
      <c r="Z44">
        <v>114.3</v>
      </c>
      <c r="AB44">
        <v>111.6</v>
      </c>
      <c r="AC44">
        <f t="shared" ref="AC44:AC45" si="29">AB44</f>
        <v>111.6</v>
      </c>
      <c r="AE44">
        <v>111</v>
      </c>
      <c r="AG44">
        <v>111.9</v>
      </c>
      <c r="AI44">
        <v>109.7</v>
      </c>
      <c r="AJ44">
        <v>110.8</v>
      </c>
      <c r="AL44">
        <v>109.8</v>
      </c>
      <c r="AN44">
        <v>111.5</v>
      </c>
      <c r="AP44">
        <v>108</v>
      </c>
      <c r="AR44">
        <v>110.5</v>
      </c>
      <c r="AT44">
        <v>112.9</v>
      </c>
    </row>
    <row r="45" spans="1:46" x14ac:dyDescent="0.3">
      <c r="A45" t="s">
        <v>34</v>
      </c>
      <c r="B45">
        <v>2014</v>
      </c>
      <c r="C45" t="s">
        <v>31</v>
      </c>
      <c r="D45">
        <v>119.6</v>
      </c>
      <c r="F45">
        <v>118.8</v>
      </c>
      <c r="H45">
        <v>124.1</v>
      </c>
      <c r="I45">
        <v>114.1</v>
      </c>
      <c r="J45">
        <v>106.8</v>
      </c>
      <c r="K45">
        <v>113.9</v>
      </c>
      <c r="L45">
        <v>122.2</v>
      </c>
      <c r="M45">
        <v>108.9</v>
      </c>
      <c r="N45">
        <v>100.2</v>
      </c>
      <c r="O45">
        <v>111</v>
      </c>
      <c r="P45">
        <v>112.3</v>
      </c>
      <c r="Q45">
        <v>118.1</v>
      </c>
      <c r="S45">
        <v>115.8</v>
      </c>
      <c r="T45">
        <v>114.5</v>
      </c>
      <c r="V45">
        <v>115.8</v>
      </c>
      <c r="X45">
        <v>113.2</v>
      </c>
      <c r="Z45">
        <v>115.4</v>
      </c>
      <c r="AB45">
        <v>111.6</v>
      </c>
      <c r="AC45">
        <f t="shared" si="29"/>
        <v>111.6</v>
      </c>
      <c r="AE45">
        <v>112.2</v>
      </c>
      <c r="AG45">
        <v>112.3</v>
      </c>
      <c r="AI45">
        <v>110.3</v>
      </c>
      <c r="AJ45">
        <v>110.7</v>
      </c>
      <c r="AL45">
        <v>109.7</v>
      </c>
      <c r="AN45">
        <v>111.6</v>
      </c>
      <c r="AP45">
        <v>108.2</v>
      </c>
      <c r="AR45">
        <v>110.6</v>
      </c>
      <c r="AT45">
        <v>113.6</v>
      </c>
    </row>
    <row r="46" spans="1:46" x14ac:dyDescent="0.3">
      <c r="A46" t="s">
        <v>30</v>
      </c>
      <c r="B46">
        <v>2014</v>
      </c>
      <c r="C46" t="s">
        <v>35</v>
      </c>
      <c r="D46">
        <v>119.4</v>
      </c>
      <c r="F46">
        <v>117.7</v>
      </c>
      <c r="H46">
        <v>121.2</v>
      </c>
      <c r="I46">
        <v>115</v>
      </c>
      <c r="J46">
        <v>109</v>
      </c>
      <c r="K46">
        <v>116.6</v>
      </c>
      <c r="L46">
        <v>116</v>
      </c>
      <c r="M46">
        <v>109.8</v>
      </c>
      <c r="N46">
        <v>101.1</v>
      </c>
      <c r="O46">
        <v>110.4</v>
      </c>
      <c r="P46">
        <v>112.9</v>
      </c>
      <c r="Q46">
        <v>117.8</v>
      </c>
      <c r="S46">
        <v>115.3</v>
      </c>
      <c r="T46">
        <v>114.2</v>
      </c>
      <c r="V46">
        <v>117.1</v>
      </c>
      <c r="X46">
        <v>114.5</v>
      </c>
      <c r="Z46">
        <v>116.7</v>
      </c>
      <c r="AB46" t="s">
        <v>32</v>
      </c>
      <c r="AC46">
        <f t="shared" ref="AC46" si="30">AB47</f>
        <v>112.5</v>
      </c>
      <c r="AE46">
        <v>113.2</v>
      </c>
      <c r="AG46">
        <v>112.9</v>
      </c>
      <c r="AI46">
        <v>110.9</v>
      </c>
      <c r="AJ46">
        <v>110.8</v>
      </c>
      <c r="AL46">
        <v>109.9</v>
      </c>
      <c r="AN46">
        <v>112</v>
      </c>
      <c r="AP46">
        <v>108.7</v>
      </c>
      <c r="AR46">
        <v>110.9</v>
      </c>
      <c r="AT46">
        <v>114</v>
      </c>
    </row>
    <row r="47" spans="1:46" x14ac:dyDescent="0.3">
      <c r="A47" t="s">
        <v>33</v>
      </c>
      <c r="B47">
        <v>2014</v>
      </c>
      <c r="C47" t="s">
        <v>35</v>
      </c>
      <c r="D47">
        <v>121.9</v>
      </c>
      <c r="F47">
        <v>122</v>
      </c>
      <c r="H47">
        <v>124.5</v>
      </c>
      <c r="I47">
        <v>115.2</v>
      </c>
      <c r="J47">
        <v>102.5</v>
      </c>
      <c r="K47">
        <v>114.1</v>
      </c>
      <c r="L47">
        <v>111.5</v>
      </c>
      <c r="M47">
        <v>108.2</v>
      </c>
      <c r="N47">
        <v>95.4</v>
      </c>
      <c r="O47">
        <v>113.5</v>
      </c>
      <c r="P47">
        <v>112.1</v>
      </c>
      <c r="Q47">
        <v>119.9</v>
      </c>
      <c r="S47">
        <v>115.2</v>
      </c>
      <c r="T47">
        <v>116.2</v>
      </c>
      <c r="V47">
        <v>115.3</v>
      </c>
      <c r="X47">
        <v>111.7</v>
      </c>
      <c r="Z47">
        <v>114.7</v>
      </c>
      <c r="AB47">
        <v>112.5</v>
      </c>
      <c r="AC47">
        <f t="shared" ref="AC47:AC48" si="31">AB47</f>
        <v>112.5</v>
      </c>
      <c r="AE47">
        <v>111.1</v>
      </c>
      <c r="AG47">
        <v>112.6</v>
      </c>
      <c r="AI47">
        <v>110.4</v>
      </c>
      <c r="AJ47">
        <v>111.3</v>
      </c>
      <c r="AL47">
        <v>110.3</v>
      </c>
      <c r="AN47">
        <v>111.6</v>
      </c>
      <c r="AP47">
        <v>108.7</v>
      </c>
      <c r="AR47">
        <v>111</v>
      </c>
      <c r="AT47">
        <v>113.1</v>
      </c>
    </row>
    <row r="48" spans="1:46" x14ac:dyDescent="0.3">
      <c r="A48" t="s">
        <v>34</v>
      </c>
      <c r="B48">
        <v>2014</v>
      </c>
      <c r="C48" t="s">
        <v>35</v>
      </c>
      <c r="D48">
        <v>120.2</v>
      </c>
      <c r="F48">
        <v>119.2</v>
      </c>
      <c r="H48">
        <v>122.5</v>
      </c>
      <c r="I48">
        <v>115.1</v>
      </c>
      <c r="J48">
        <v>106.6</v>
      </c>
      <c r="K48">
        <v>115.4</v>
      </c>
      <c r="L48">
        <v>114.5</v>
      </c>
      <c r="M48">
        <v>109.3</v>
      </c>
      <c r="N48">
        <v>99.2</v>
      </c>
      <c r="O48">
        <v>111.4</v>
      </c>
      <c r="P48">
        <v>112.6</v>
      </c>
      <c r="Q48">
        <v>118.8</v>
      </c>
      <c r="S48">
        <v>115.3</v>
      </c>
      <c r="T48">
        <v>114.7</v>
      </c>
      <c r="V48">
        <v>116.4</v>
      </c>
      <c r="X48">
        <v>113.3</v>
      </c>
      <c r="Z48">
        <v>115.9</v>
      </c>
      <c r="AB48">
        <v>112.5</v>
      </c>
      <c r="AC48">
        <f t="shared" si="31"/>
        <v>112.5</v>
      </c>
      <c r="AE48">
        <v>112.4</v>
      </c>
      <c r="AG48">
        <v>112.8</v>
      </c>
      <c r="AI48">
        <v>110.7</v>
      </c>
      <c r="AJ48">
        <v>111.1</v>
      </c>
      <c r="AL48">
        <v>110.1</v>
      </c>
      <c r="AN48">
        <v>111.8</v>
      </c>
      <c r="AP48">
        <v>108.7</v>
      </c>
      <c r="AR48">
        <v>110.9</v>
      </c>
      <c r="AT48">
        <v>113.6</v>
      </c>
    </row>
    <row r="49" spans="1:46" x14ac:dyDescent="0.3">
      <c r="A49" t="s">
        <v>30</v>
      </c>
      <c r="B49">
        <v>2014</v>
      </c>
      <c r="C49" t="s">
        <v>36</v>
      </c>
      <c r="D49">
        <v>120.1</v>
      </c>
      <c r="F49">
        <v>118.1</v>
      </c>
      <c r="H49">
        <v>120.7</v>
      </c>
      <c r="I49">
        <v>116.1</v>
      </c>
      <c r="J49">
        <v>109.3</v>
      </c>
      <c r="K49">
        <v>119.6</v>
      </c>
      <c r="L49">
        <v>117.9</v>
      </c>
      <c r="M49">
        <v>110.2</v>
      </c>
      <c r="N49">
        <v>101.2</v>
      </c>
      <c r="O49">
        <v>110.7</v>
      </c>
      <c r="P49">
        <v>113</v>
      </c>
      <c r="Q49">
        <v>118.3</v>
      </c>
      <c r="S49">
        <v>116.2</v>
      </c>
      <c r="T49">
        <v>114.6</v>
      </c>
      <c r="V49">
        <v>117.5</v>
      </c>
      <c r="X49">
        <v>114.9</v>
      </c>
      <c r="Z49">
        <v>117.2</v>
      </c>
      <c r="AB49" t="s">
        <v>32</v>
      </c>
      <c r="AC49">
        <f t="shared" ref="AC49" si="32">AB50</f>
        <v>113.2</v>
      </c>
      <c r="AE49">
        <v>113.4</v>
      </c>
      <c r="AG49">
        <v>113.4</v>
      </c>
      <c r="AI49">
        <v>111.4</v>
      </c>
      <c r="AJ49">
        <v>111.2</v>
      </c>
      <c r="AL49">
        <v>110.2</v>
      </c>
      <c r="AN49">
        <v>112.4</v>
      </c>
      <c r="AP49">
        <v>108.9</v>
      </c>
      <c r="AR49">
        <v>111.3</v>
      </c>
      <c r="AT49">
        <v>114.6</v>
      </c>
    </row>
    <row r="50" spans="1:46" x14ac:dyDescent="0.3">
      <c r="A50" t="s">
        <v>33</v>
      </c>
      <c r="B50">
        <v>2014</v>
      </c>
      <c r="C50" t="s">
        <v>36</v>
      </c>
      <c r="D50">
        <v>122.1</v>
      </c>
      <c r="F50">
        <v>121.4</v>
      </c>
      <c r="H50">
        <v>121.5</v>
      </c>
      <c r="I50">
        <v>116.2</v>
      </c>
      <c r="J50">
        <v>102.8</v>
      </c>
      <c r="K50">
        <v>117.7</v>
      </c>
      <c r="L50">
        <v>113.3</v>
      </c>
      <c r="M50">
        <v>108.9</v>
      </c>
      <c r="N50">
        <v>96.3</v>
      </c>
      <c r="O50">
        <v>114.1</v>
      </c>
      <c r="P50">
        <v>112.2</v>
      </c>
      <c r="Q50">
        <v>120.5</v>
      </c>
      <c r="S50">
        <v>116</v>
      </c>
      <c r="T50">
        <v>116.7</v>
      </c>
      <c r="V50">
        <v>115.8</v>
      </c>
      <c r="X50">
        <v>112.1</v>
      </c>
      <c r="Z50">
        <v>115.2</v>
      </c>
      <c r="AB50">
        <v>113.2</v>
      </c>
      <c r="AC50">
        <f t="shared" ref="AC50:AC51" si="33">AB50</f>
        <v>113.2</v>
      </c>
      <c r="AE50">
        <v>110.9</v>
      </c>
      <c r="AG50">
        <v>113</v>
      </c>
      <c r="AI50">
        <v>110.8</v>
      </c>
      <c r="AJ50">
        <v>111.6</v>
      </c>
      <c r="AL50">
        <v>110.9</v>
      </c>
      <c r="AN50">
        <v>111.8</v>
      </c>
      <c r="AP50">
        <v>109.2</v>
      </c>
      <c r="AR50">
        <v>111.4</v>
      </c>
      <c r="AT50">
        <v>113.7</v>
      </c>
    </row>
    <row r="51" spans="1:46" x14ac:dyDescent="0.3">
      <c r="A51" t="s">
        <v>34</v>
      </c>
      <c r="B51">
        <v>2014</v>
      </c>
      <c r="C51" t="s">
        <v>36</v>
      </c>
      <c r="D51">
        <v>120.7</v>
      </c>
      <c r="F51">
        <v>119.3</v>
      </c>
      <c r="H51">
        <v>121</v>
      </c>
      <c r="I51">
        <v>116.1</v>
      </c>
      <c r="J51">
        <v>106.9</v>
      </c>
      <c r="K51">
        <v>118.7</v>
      </c>
      <c r="L51">
        <v>116.3</v>
      </c>
      <c r="M51">
        <v>109.8</v>
      </c>
      <c r="N51">
        <v>99.6</v>
      </c>
      <c r="O51">
        <v>111.8</v>
      </c>
      <c r="P51">
        <v>112.7</v>
      </c>
      <c r="Q51">
        <v>119.3</v>
      </c>
      <c r="S51">
        <v>116.1</v>
      </c>
      <c r="T51">
        <v>115.2</v>
      </c>
      <c r="V51">
        <v>116.8</v>
      </c>
      <c r="X51">
        <v>113.7</v>
      </c>
      <c r="Z51">
        <v>116.4</v>
      </c>
      <c r="AB51">
        <v>113.2</v>
      </c>
      <c r="AC51">
        <f t="shared" si="33"/>
        <v>113.2</v>
      </c>
      <c r="AE51">
        <v>112.5</v>
      </c>
      <c r="AG51">
        <v>113.2</v>
      </c>
      <c r="AI51">
        <v>111.2</v>
      </c>
      <c r="AJ51">
        <v>111.4</v>
      </c>
      <c r="AL51">
        <v>110.6</v>
      </c>
      <c r="AN51">
        <v>112</v>
      </c>
      <c r="AP51">
        <v>109</v>
      </c>
      <c r="AR51">
        <v>111.3</v>
      </c>
      <c r="AT51">
        <v>114.2</v>
      </c>
    </row>
    <row r="52" spans="1:46" x14ac:dyDescent="0.3">
      <c r="A52" t="s">
        <v>30</v>
      </c>
      <c r="B52">
        <v>2014</v>
      </c>
      <c r="C52" t="s">
        <v>37</v>
      </c>
      <c r="D52">
        <v>120.2</v>
      </c>
      <c r="F52">
        <v>118.9</v>
      </c>
      <c r="H52">
        <v>118.1</v>
      </c>
      <c r="I52">
        <v>117</v>
      </c>
      <c r="J52">
        <v>109.7</v>
      </c>
      <c r="K52">
        <v>125.5</v>
      </c>
      <c r="L52">
        <v>120.5</v>
      </c>
      <c r="M52">
        <v>111</v>
      </c>
      <c r="N52">
        <v>102.6</v>
      </c>
      <c r="O52">
        <v>111.2</v>
      </c>
      <c r="P52">
        <v>113.5</v>
      </c>
      <c r="Q52">
        <v>118.7</v>
      </c>
      <c r="S52">
        <v>117.2</v>
      </c>
      <c r="T52">
        <v>115.4</v>
      </c>
      <c r="V52">
        <v>118.1</v>
      </c>
      <c r="X52">
        <v>116.1</v>
      </c>
      <c r="Z52">
        <v>117.8</v>
      </c>
      <c r="AB52" t="s">
        <v>32</v>
      </c>
      <c r="AC52">
        <f t="shared" ref="AC52" si="34">AB53</f>
        <v>113.9</v>
      </c>
      <c r="AE52">
        <v>113.4</v>
      </c>
      <c r="AG52">
        <v>113.7</v>
      </c>
      <c r="AI52">
        <v>111.8</v>
      </c>
      <c r="AJ52">
        <v>111.2</v>
      </c>
      <c r="AL52">
        <v>110.5</v>
      </c>
      <c r="AN52">
        <v>113</v>
      </c>
      <c r="AP52">
        <v>108.9</v>
      </c>
      <c r="AR52">
        <v>111.5</v>
      </c>
      <c r="AT52">
        <v>115.4</v>
      </c>
    </row>
    <row r="53" spans="1:46" x14ac:dyDescent="0.3">
      <c r="A53" t="s">
        <v>33</v>
      </c>
      <c r="B53">
        <v>2014</v>
      </c>
      <c r="C53" t="s">
        <v>37</v>
      </c>
      <c r="D53">
        <v>122.5</v>
      </c>
      <c r="F53">
        <v>121.7</v>
      </c>
      <c r="H53">
        <v>113.3</v>
      </c>
      <c r="I53">
        <v>117</v>
      </c>
      <c r="J53">
        <v>103.1</v>
      </c>
      <c r="K53">
        <v>126.7</v>
      </c>
      <c r="L53">
        <v>121.2</v>
      </c>
      <c r="M53">
        <v>111</v>
      </c>
      <c r="N53">
        <v>100.3</v>
      </c>
      <c r="O53">
        <v>115.3</v>
      </c>
      <c r="P53">
        <v>112.7</v>
      </c>
      <c r="Q53">
        <v>121</v>
      </c>
      <c r="S53">
        <v>118.2</v>
      </c>
      <c r="T53">
        <v>117.6</v>
      </c>
      <c r="V53">
        <v>116.3</v>
      </c>
      <c r="X53">
        <v>112.5</v>
      </c>
      <c r="Z53">
        <v>115.7</v>
      </c>
      <c r="AB53">
        <v>113.9</v>
      </c>
      <c r="AC53">
        <f t="shared" ref="AC53:AC54" si="35">AB53</f>
        <v>113.9</v>
      </c>
      <c r="AE53">
        <v>110.9</v>
      </c>
      <c r="AG53">
        <v>113.4</v>
      </c>
      <c r="AI53">
        <v>111</v>
      </c>
      <c r="AJ53">
        <v>111.2</v>
      </c>
      <c r="AL53">
        <v>111.2</v>
      </c>
      <c r="AN53">
        <v>112.5</v>
      </c>
      <c r="AP53">
        <v>109.1</v>
      </c>
      <c r="AR53">
        <v>111.4</v>
      </c>
      <c r="AT53">
        <v>114.7</v>
      </c>
    </row>
    <row r="54" spans="1:46" x14ac:dyDescent="0.3">
      <c r="A54" t="s">
        <v>34</v>
      </c>
      <c r="B54">
        <v>2014</v>
      </c>
      <c r="C54" t="s">
        <v>37</v>
      </c>
      <c r="D54">
        <v>120.9</v>
      </c>
      <c r="F54">
        <v>119.9</v>
      </c>
      <c r="H54">
        <v>116.2</v>
      </c>
      <c r="I54">
        <v>117</v>
      </c>
      <c r="J54">
        <v>107.3</v>
      </c>
      <c r="K54">
        <v>126.1</v>
      </c>
      <c r="L54">
        <v>120.7</v>
      </c>
      <c r="M54">
        <v>111</v>
      </c>
      <c r="N54">
        <v>101.8</v>
      </c>
      <c r="O54">
        <v>112.6</v>
      </c>
      <c r="P54">
        <v>113.2</v>
      </c>
      <c r="Q54">
        <v>119.8</v>
      </c>
      <c r="S54">
        <v>117.6</v>
      </c>
      <c r="T54">
        <v>116</v>
      </c>
      <c r="V54">
        <v>117.4</v>
      </c>
      <c r="X54">
        <v>114.6</v>
      </c>
      <c r="Z54">
        <v>117</v>
      </c>
      <c r="AB54">
        <v>113.9</v>
      </c>
      <c r="AC54">
        <f t="shared" si="35"/>
        <v>113.9</v>
      </c>
      <c r="AE54">
        <v>112.5</v>
      </c>
      <c r="AG54">
        <v>113.6</v>
      </c>
      <c r="AI54">
        <v>111.5</v>
      </c>
      <c r="AJ54">
        <v>111.2</v>
      </c>
      <c r="AL54">
        <v>110.9</v>
      </c>
      <c r="AN54">
        <v>112.7</v>
      </c>
      <c r="AP54">
        <v>109</v>
      </c>
      <c r="AR54">
        <v>111.5</v>
      </c>
      <c r="AT54">
        <v>115.1</v>
      </c>
    </row>
    <row r="55" spans="1:46" x14ac:dyDescent="0.3">
      <c r="A55" t="s">
        <v>30</v>
      </c>
      <c r="B55">
        <v>2014</v>
      </c>
      <c r="C55" t="s">
        <v>38</v>
      </c>
      <c r="D55">
        <v>120.3</v>
      </c>
      <c r="F55">
        <v>120.2</v>
      </c>
      <c r="H55">
        <v>116.9</v>
      </c>
      <c r="I55">
        <v>118</v>
      </c>
      <c r="J55">
        <v>110.1</v>
      </c>
      <c r="K55">
        <v>126.3</v>
      </c>
      <c r="L55">
        <v>123.9</v>
      </c>
      <c r="M55">
        <v>111.5</v>
      </c>
      <c r="N55">
        <v>103.5</v>
      </c>
      <c r="O55">
        <v>111.6</v>
      </c>
      <c r="P55">
        <v>114.2</v>
      </c>
      <c r="Q55">
        <v>119.2</v>
      </c>
      <c r="S55">
        <v>118.2</v>
      </c>
      <c r="T55">
        <v>116.3</v>
      </c>
      <c r="V55">
        <v>118.7</v>
      </c>
      <c r="X55">
        <v>116.8</v>
      </c>
      <c r="Z55">
        <v>118.5</v>
      </c>
      <c r="AB55" t="s">
        <v>32</v>
      </c>
      <c r="AC55">
        <f t="shared" ref="AC55" si="36">AB56</f>
        <v>114.3</v>
      </c>
      <c r="AE55">
        <v>113.4</v>
      </c>
      <c r="AG55">
        <v>114.1</v>
      </c>
      <c r="AI55">
        <v>112.1</v>
      </c>
      <c r="AJ55">
        <v>111.4</v>
      </c>
      <c r="AL55">
        <v>110.9</v>
      </c>
      <c r="AN55">
        <v>113.1</v>
      </c>
      <c r="AP55">
        <v>108.9</v>
      </c>
      <c r="AR55">
        <v>111.8</v>
      </c>
      <c r="AT55">
        <v>116</v>
      </c>
    </row>
    <row r="56" spans="1:46" x14ac:dyDescent="0.3">
      <c r="A56" t="s">
        <v>33</v>
      </c>
      <c r="B56">
        <v>2014</v>
      </c>
      <c r="C56" t="s">
        <v>38</v>
      </c>
      <c r="D56">
        <v>122.7</v>
      </c>
      <c r="F56">
        <v>124.1</v>
      </c>
      <c r="H56">
        <v>114.2</v>
      </c>
      <c r="I56">
        <v>119.1</v>
      </c>
      <c r="J56">
        <v>103.5</v>
      </c>
      <c r="K56">
        <v>129.19999999999999</v>
      </c>
      <c r="L56">
        <v>127</v>
      </c>
      <c r="M56">
        <v>112.6</v>
      </c>
      <c r="N56">
        <v>101.3</v>
      </c>
      <c r="O56">
        <v>117</v>
      </c>
      <c r="P56">
        <v>112.9</v>
      </c>
      <c r="Q56">
        <v>121.7</v>
      </c>
      <c r="S56">
        <v>120</v>
      </c>
      <c r="T56">
        <v>118.3</v>
      </c>
      <c r="V56">
        <v>116.8</v>
      </c>
      <c r="X56">
        <v>112.9</v>
      </c>
      <c r="Z56">
        <v>116.2</v>
      </c>
      <c r="AB56">
        <v>114.3</v>
      </c>
      <c r="AC56">
        <f t="shared" ref="AC56:AC57" si="37">AB56</f>
        <v>114.3</v>
      </c>
      <c r="AE56">
        <v>111.1</v>
      </c>
      <c r="AG56">
        <v>114.1</v>
      </c>
      <c r="AI56">
        <v>111.2</v>
      </c>
      <c r="AJ56">
        <v>111.3</v>
      </c>
      <c r="AL56">
        <v>111.5</v>
      </c>
      <c r="AN56">
        <v>112.9</v>
      </c>
      <c r="AP56">
        <v>109.3</v>
      </c>
      <c r="AR56">
        <v>111.7</v>
      </c>
      <c r="AT56">
        <v>115.6</v>
      </c>
    </row>
    <row r="57" spans="1:46" x14ac:dyDescent="0.3">
      <c r="A57" t="s">
        <v>34</v>
      </c>
      <c r="B57">
        <v>2014</v>
      </c>
      <c r="C57" t="s">
        <v>38</v>
      </c>
      <c r="D57">
        <v>121.1</v>
      </c>
      <c r="F57">
        <v>121.6</v>
      </c>
      <c r="H57">
        <v>115.9</v>
      </c>
      <c r="I57">
        <v>118.4</v>
      </c>
      <c r="J57">
        <v>107.7</v>
      </c>
      <c r="K57">
        <v>127.7</v>
      </c>
      <c r="L57">
        <v>125</v>
      </c>
      <c r="M57">
        <v>111.9</v>
      </c>
      <c r="N57">
        <v>102.8</v>
      </c>
      <c r="O57">
        <v>113.4</v>
      </c>
      <c r="P57">
        <v>113.7</v>
      </c>
      <c r="Q57">
        <v>120.4</v>
      </c>
      <c r="S57">
        <v>118.9</v>
      </c>
      <c r="T57">
        <v>116.8</v>
      </c>
      <c r="V57">
        <v>118</v>
      </c>
      <c r="X57">
        <v>115.2</v>
      </c>
      <c r="Z57">
        <v>117.6</v>
      </c>
      <c r="AB57">
        <v>114.3</v>
      </c>
      <c r="AC57">
        <f t="shared" si="37"/>
        <v>114.3</v>
      </c>
      <c r="AE57">
        <v>112.5</v>
      </c>
      <c r="AG57">
        <v>114.1</v>
      </c>
      <c r="AI57">
        <v>111.8</v>
      </c>
      <c r="AJ57">
        <v>111.3</v>
      </c>
      <c r="AL57">
        <v>111.2</v>
      </c>
      <c r="AN57">
        <v>113</v>
      </c>
      <c r="AP57">
        <v>109.1</v>
      </c>
      <c r="AR57">
        <v>111.8</v>
      </c>
      <c r="AT57">
        <v>115.8</v>
      </c>
    </row>
    <row r="58" spans="1:46" x14ac:dyDescent="0.3">
      <c r="A58" t="s">
        <v>30</v>
      </c>
      <c r="B58">
        <v>2014</v>
      </c>
      <c r="C58" t="s">
        <v>39</v>
      </c>
      <c r="D58">
        <v>120.7</v>
      </c>
      <c r="F58">
        <v>121.6</v>
      </c>
      <c r="H58">
        <v>116.1</v>
      </c>
      <c r="I58">
        <v>119.3</v>
      </c>
      <c r="J58">
        <v>110.3</v>
      </c>
      <c r="K58">
        <v>125.8</v>
      </c>
      <c r="L58">
        <v>129.30000000000001</v>
      </c>
      <c r="M58">
        <v>112.2</v>
      </c>
      <c r="N58">
        <v>103.6</v>
      </c>
      <c r="O58">
        <v>112.3</v>
      </c>
      <c r="P58">
        <v>114.9</v>
      </c>
      <c r="Q58">
        <v>120.1</v>
      </c>
      <c r="S58">
        <v>119.5</v>
      </c>
      <c r="T58">
        <v>117.3</v>
      </c>
      <c r="V58">
        <v>119.7</v>
      </c>
      <c r="X58">
        <v>117.3</v>
      </c>
      <c r="Z58">
        <v>119.3</v>
      </c>
      <c r="AB58" t="s">
        <v>32</v>
      </c>
      <c r="AC58">
        <f t="shared" ref="AC58" si="38">AB59</f>
        <v>113.9</v>
      </c>
      <c r="AE58">
        <v>114.4</v>
      </c>
      <c r="AG58">
        <v>114.9</v>
      </c>
      <c r="AI58">
        <v>112.8</v>
      </c>
      <c r="AJ58">
        <v>112.2</v>
      </c>
      <c r="AL58">
        <v>111.4</v>
      </c>
      <c r="AN58">
        <v>114.3</v>
      </c>
      <c r="AP58">
        <v>108</v>
      </c>
      <c r="AR58">
        <v>112.3</v>
      </c>
      <c r="AT58">
        <v>117</v>
      </c>
    </row>
    <row r="59" spans="1:46" x14ac:dyDescent="0.3">
      <c r="A59" t="s">
        <v>33</v>
      </c>
      <c r="B59">
        <v>2014</v>
      </c>
      <c r="C59" t="s">
        <v>39</v>
      </c>
      <c r="D59">
        <v>123.1</v>
      </c>
      <c r="F59">
        <v>125.9</v>
      </c>
      <c r="H59">
        <v>115.4</v>
      </c>
      <c r="I59">
        <v>120.4</v>
      </c>
      <c r="J59">
        <v>103.4</v>
      </c>
      <c r="K59">
        <v>131.19999999999999</v>
      </c>
      <c r="L59">
        <v>137.5</v>
      </c>
      <c r="M59">
        <v>112.8</v>
      </c>
      <c r="N59">
        <v>101.4</v>
      </c>
      <c r="O59">
        <v>118.3</v>
      </c>
      <c r="P59">
        <v>113.2</v>
      </c>
      <c r="Q59">
        <v>122.4</v>
      </c>
      <c r="S59">
        <v>122</v>
      </c>
      <c r="T59">
        <v>119</v>
      </c>
      <c r="V59">
        <v>117.4</v>
      </c>
      <c r="X59">
        <v>113.2</v>
      </c>
      <c r="Z59">
        <v>116.7</v>
      </c>
      <c r="AB59">
        <v>113.9</v>
      </c>
      <c r="AC59">
        <f t="shared" ref="AC59:AC60" si="39">AB59</f>
        <v>113.9</v>
      </c>
      <c r="AE59">
        <v>111.2</v>
      </c>
      <c r="AG59">
        <v>114.3</v>
      </c>
      <c r="AI59">
        <v>111.4</v>
      </c>
      <c r="AJ59">
        <v>111.5</v>
      </c>
      <c r="AL59">
        <v>111.8</v>
      </c>
      <c r="AN59">
        <v>115.1</v>
      </c>
      <c r="AP59">
        <v>108.7</v>
      </c>
      <c r="AR59">
        <v>112.2</v>
      </c>
      <c r="AT59">
        <v>116.4</v>
      </c>
    </row>
    <row r="60" spans="1:46" x14ac:dyDescent="0.3">
      <c r="A60" t="s">
        <v>34</v>
      </c>
      <c r="B60">
        <v>2014</v>
      </c>
      <c r="C60" t="s">
        <v>39</v>
      </c>
      <c r="D60">
        <v>121.5</v>
      </c>
      <c r="F60">
        <v>123.1</v>
      </c>
      <c r="H60">
        <v>115.8</v>
      </c>
      <c r="I60">
        <v>119.7</v>
      </c>
      <c r="J60">
        <v>107.8</v>
      </c>
      <c r="K60">
        <v>128.30000000000001</v>
      </c>
      <c r="L60">
        <v>132.1</v>
      </c>
      <c r="M60">
        <v>112.4</v>
      </c>
      <c r="N60">
        <v>102.9</v>
      </c>
      <c r="O60">
        <v>114.3</v>
      </c>
      <c r="P60">
        <v>114.2</v>
      </c>
      <c r="Q60">
        <v>121.2</v>
      </c>
      <c r="S60">
        <v>120.4</v>
      </c>
      <c r="T60">
        <v>117.8</v>
      </c>
      <c r="V60">
        <v>118.8</v>
      </c>
      <c r="X60">
        <v>115.6</v>
      </c>
      <c r="Z60">
        <v>118.3</v>
      </c>
      <c r="AB60">
        <v>113.9</v>
      </c>
      <c r="AC60">
        <f t="shared" si="39"/>
        <v>113.9</v>
      </c>
      <c r="AE60">
        <v>113.2</v>
      </c>
      <c r="AG60">
        <v>114.6</v>
      </c>
      <c r="AI60">
        <v>112.3</v>
      </c>
      <c r="AJ60">
        <v>111.8</v>
      </c>
      <c r="AL60">
        <v>111.6</v>
      </c>
      <c r="AN60">
        <v>114.8</v>
      </c>
      <c r="AP60">
        <v>108.3</v>
      </c>
      <c r="AR60">
        <v>112.3</v>
      </c>
      <c r="AT60">
        <v>116.7</v>
      </c>
    </row>
    <row r="61" spans="1:46" x14ac:dyDescent="0.3">
      <c r="A61" t="s">
        <v>30</v>
      </c>
      <c r="B61">
        <v>2014</v>
      </c>
      <c r="C61" t="s">
        <v>40</v>
      </c>
      <c r="D61">
        <v>121.7</v>
      </c>
      <c r="F61">
        <v>122.5</v>
      </c>
      <c r="H61">
        <v>117.7</v>
      </c>
      <c r="I61">
        <v>120.6</v>
      </c>
      <c r="J61">
        <v>110.4</v>
      </c>
      <c r="K61">
        <v>129.1</v>
      </c>
      <c r="L61">
        <v>150.1</v>
      </c>
      <c r="M61">
        <v>113.2</v>
      </c>
      <c r="N61">
        <v>104.8</v>
      </c>
      <c r="O61">
        <v>113.3</v>
      </c>
      <c r="P61">
        <v>115.6</v>
      </c>
      <c r="Q61">
        <v>120.9</v>
      </c>
      <c r="S61">
        <v>123.3</v>
      </c>
      <c r="T61">
        <v>118</v>
      </c>
      <c r="V61">
        <v>120.7</v>
      </c>
      <c r="X61">
        <v>118.3</v>
      </c>
      <c r="Z61">
        <v>120.3</v>
      </c>
      <c r="AB61" t="s">
        <v>32</v>
      </c>
      <c r="AC61">
        <f t="shared" ref="AC61" si="40">AB62</f>
        <v>114.8</v>
      </c>
      <c r="AE61">
        <v>115.3</v>
      </c>
      <c r="AG61">
        <v>115.4</v>
      </c>
      <c r="AI61">
        <v>113.4</v>
      </c>
      <c r="AJ61">
        <v>113.2</v>
      </c>
      <c r="AL61">
        <v>111.8</v>
      </c>
      <c r="AN61">
        <v>115.5</v>
      </c>
      <c r="AP61">
        <v>108.8</v>
      </c>
      <c r="AR61">
        <v>113.1</v>
      </c>
      <c r="AT61">
        <v>119.5</v>
      </c>
    </row>
    <row r="62" spans="1:46" x14ac:dyDescent="0.3">
      <c r="A62" t="s">
        <v>33</v>
      </c>
      <c r="B62">
        <v>2014</v>
      </c>
      <c r="C62" t="s">
        <v>40</v>
      </c>
      <c r="D62">
        <v>123.8</v>
      </c>
      <c r="F62">
        <v>126.4</v>
      </c>
      <c r="H62">
        <v>118</v>
      </c>
      <c r="I62">
        <v>121.6</v>
      </c>
      <c r="J62">
        <v>103.5</v>
      </c>
      <c r="K62">
        <v>133.69999999999999</v>
      </c>
      <c r="L62">
        <v>172.4</v>
      </c>
      <c r="M62">
        <v>113.1</v>
      </c>
      <c r="N62">
        <v>102.7</v>
      </c>
      <c r="O62">
        <v>120</v>
      </c>
      <c r="P62">
        <v>113.8</v>
      </c>
      <c r="Q62">
        <v>123.4</v>
      </c>
      <c r="S62">
        <v>127.1</v>
      </c>
      <c r="T62">
        <v>121</v>
      </c>
      <c r="V62">
        <v>118</v>
      </c>
      <c r="X62">
        <v>113.6</v>
      </c>
      <c r="Z62">
        <v>117.4</v>
      </c>
      <c r="AB62">
        <v>114.8</v>
      </c>
      <c r="AC62">
        <f t="shared" ref="AC62:AC63" si="41">AB62</f>
        <v>114.8</v>
      </c>
      <c r="AE62">
        <v>111.6</v>
      </c>
      <c r="AG62">
        <v>114.9</v>
      </c>
      <c r="AI62">
        <v>111.5</v>
      </c>
      <c r="AJ62">
        <v>113</v>
      </c>
      <c r="AL62">
        <v>112.4</v>
      </c>
      <c r="AN62">
        <v>117.8</v>
      </c>
      <c r="AP62">
        <v>109.7</v>
      </c>
      <c r="AR62">
        <v>113.5</v>
      </c>
      <c r="AT62">
        <v>118.9</v>
      </c>
    </row>
    <row r="63" spans="1:46" x14ac:dyDescent="0.3">
      <c r="A63" t="s">
        <v>34</v>
      </c>
      <c r="B63">
        <v>2014</v>
      </c>
      <c r="C63" t="s">
        <v>40</v>
      </c>
      <c r="D63">
        <v>122.4</v>
      </c>
      <c r="F63">
        <v>123.9</v>
      </c>
      <c r="H63">
        <v>117.8</v>
      </c>
      <c r="I63">
        <v>121</v>
      </c>
      <c r="J63">
        <v>107.9</v>
      </c>
      <c r="K63">
        <v>131.19999999999999</v>
      </c>
      <c r="L63">
        <v>157.69999999999999</v>
      </c>
      <c r="M63">
        <v>113.2</v>
      </c>
      <c r="N63">
        <v>104.1</v>
      </c>
      <c r="O63">
        <v>115.5</v>
      </c>
      <c r="P63">
        <v>114.8</v>
      </c>
      <c r="Q63">
        <v>122.1</v>
      </c>
      <c r="S63">
        <v>124.7</v>
      </c>
      <c r="T63">
        <v>118.8</v>
      </c>
      <c r="V63">
        <v>119.6</v>
      </c>
      <c r="X63">
        <v>116.3</v>
      </c>
      <c r="Z63">
        <v>119.1</v>
      </c>
      <c r="AB63">
        <v>114.8</v>
      </c>
      <c r="AC63">
        <f t="shared" si="41"/>
        <v>114.8</v>
      </c>
      <c r="AE63">
        <v>113.9</v>
      </c>
      <c r="AG63">
        <v>115.2</v>
      </c>
      <c r="AI63">
        <v>112.7</v>
      </c>
      <c r="AJ63">
        <v>113.1</v>
      </c>
      <c r="AL63">
        <v>112.1</v>
      </c>
      <c r="AN63">
        <v>116.8</v>
      </c>
      <c r="AP63">
        <v>109.2</v>
      </c>
      <c r="AR63">
        <v>113.3</v>
      </c>
      <c r="AT63">
        <v>119.2</v>
      </c>
    </row>
    <row r="64" spans="1:46" x14ac:dyDescent="0.3">
      <c r="A64" t="s">
        <v>30</v>
      </c>
      <c r="B64">
        <v>2014</v>
      </c>
      <c r="C64" t="s">
        <v>41</v>
      </c>
      <c r="D64">
        <v>121.8</v>
      </c>
      <c r="F64">
        <v>122.8</v>
      </c>
      <c r="H64">
        <v>117.8</v>
      </c>
      <c r="I64">
        <v>121.9</v>
      </c>
      <c r="J64">
        <v>110.6</v>
      </c>
      <c r="K64">
        <v>129.69999999999999</v>
      </c>
      <c r="L64">
        <v>161.1</v>
      </c>
      <c r="M64">
        <v>114.1</v>
      </c>
      <c r="N64">
        <v>105.1</v>
      </c>
      <c r="O64">
        <v>114.6</v>
      </c>
      <c r="P64">
        <v>115.8</v>
      </c>
      <c r="Q64">
        <v>121.7</v>
      </c>
      <c r="S64">
        <v>125.3</v>
      </c>
      <c r="T64">
        <v>118.8</v>
      </c>
      <c r="V64">
        <v>120.9</v>
      </c>
      <c r="X64">
        <v>118.8</v>
      </c>
      <c r="Z64">
        <v>120.7</v>
      </c>
      <c r="AB64" t="s">
        <v>32</v>
      </c>
      <c r="AC64">
        <f t="shared" ref="AC64" si="42">AB65</f>
        <v>115.5</v>
      </c>
      <c r="AE64">
        <v>115.4</v>
      </c>
      <c r="AG64">
        <v>115.9</v>
      </c>
      <c r="AI64">
        <v>114</v>
      </c>
      <c r="AJ64">
        <v>113.2</v>
      </c>
      <c r="AL64">
        <v>112.2</v>
      </c>
      <c r="AN64">
        <v>116.2</v>
      </c>
      <c r="AP64">
        <v>109.4</v>
      </c>
      <c r="AR64">
        <v>113.5</v>
      </c>
      <c r="AT64">
        <v>120.7</v>
      </c>
    </row>
    <row r="65" spans="1:46" x14ac:dyDescent="0.3">
      <c r="A65" t="s">
        <v>33</v>
      </c>
      <c r="B65">
        <v>2014</v>
      </c>
      <c r="C65" t="s">
        <v>41</v>
      </c>
      <c r="D65">
        <v>124.8</v>
      </c>
      <c r="F65">
        <v>127.3</v>
      </c>
      <c r="H65">
        <v>116.5</v>
      </c>
      <c r="I65">
        <v>122.2</v>
      </c>
      <c r="J65">
        <v>103.6</v>
      </c>
      <c r="K65">
        <v>132.69999999999999</v>
      </c>
      <c r="L65">
        <v>181.9</v>
      </c>
      <c r="M65">
        <v>115.2</v>
      </c>
      <c r="N65">
        <v>102.7</v>
      </c>
      <c r="O65">
        <v>122.1</v>
      </c>
      <c r="P65">
        <v>114.4</v>
      </c>
      <c r="Q65">
        <v>124.7</v>
      </c>
      <c r="S65">
        <v>128.9</v>
      </c>
      <c r="T65">
        <v>123</v>
      </c>
      <c r="V65">
        <v>118.6</v>
      </c>
      <c r="X65">
        <v>114.1</v>
      </c>
      <c r="Z65">
        <v>117.9</v>
      </c>
      <c r="AB65">
        <v>115.5</v>
      </c>
      <c r="AC65">
        <f t="shared" ref="AC65:AC66" si="43">AB65</f>
        <v>115.5</v>
      </c>
      <c r="AE65">
        <v>111.8</v>
      </c>
      <c r="AG65">
        <v>115.3</v>
      </c>
      <c r="AI65">
        <v>112.2</v>
      </c>
      <c r="AJ65">
        <v>112.5</v>
      </c>
      <c r="AL65">
        <v>112.9</v>
      </c>
      <c r="AN65">
        <v>119.2</v>
      </c>
      <c r="AP65">
        <v>110.5</v>
      </c>
      <c r="AR65">
        <v>113.9</v>
      </c>
      <c r="AT65">
        <v>119.9</v>
      </c>
    </row>
    <row r="66" spans="1:46" x14ac:dyDescent="0.3">
      <c r="A66" t="s">
        <v>34</v>
      </c>
      <c r="B66">
        <v>2014</v>
      </c>
      <c r="C66" t="s">
        <v>41</v>
      </c>
      <c r="D66">
        <v>122.7</v>
      </c>
      <c r="F66">
        <v>124.4</v>
      </c>
      <c r="H66">
        <v>117.3</v>
      </c>
      <c r="I66">
        <v>122</v>
      </c>
      <c r="J66">
        <v>108</v>
      </c>
      <c r="K66">
        <v>131.1</v>
      </c>
      <c r="L66">
        <v>168.2</v>
      </c>
      <c r="M66">
        <v>114.5</v>
      </c>
      <c r="N66">
        <v>104.3</v>
      </c>
      <c r="O66">
        <v>117.1</v>
      </c>
      <c r="P66">
        <v>115.2</v>
      </c>
      <c r="Q66">
        <v>123.1</v>
      </c>
      <c r="S66">
        <v>126.6</v>
      </c>
      <c r="T66">
        <v>119.9</v>
      </c>
      <c r="V66">
        <v>120</v>
      </c>
      <c r="X66">
        <v>116.8</v>
      </c>
      <c r="Z66">
        <v>119.6</v>
      </c>
      <c r="AB66">
        <v>115.5</v>
      </c>
      <c r="AC66">
        <f t="shared" si="43"/>
        <v>115.5</v>
      </c>
      <c r="AE66">
        <v>114</v>
      </c>
      <c r="AG66">
        <v>115.6</v>
      </c>
      <c r="AI66">
        <v>113.3</v>
      </c>
      <c r="AJ66">
        <v>112.8</v>
      </c>
      <c r="AL66">
        <v>112.6</v>
      </c>
      <c r="AN66">
        <v>118</v>
      </c>
      <c r="AP66">
        <v>109.9</v>
      </c>
      <c r="AR66">
        <v>113.7</v>
      </c>
      <c r="AT66">
        <v>120.3</v>
      </c>
    </row>
    <row r="67" spans="1:46" x14ac:dyDescent="0.3">
      <c r="A67" t="s">
        <v>30</v>
      </c>
      <c r="B67">
        <v>2014</v>
      </c>
      <c r="C67" t="s">
        <v>42</v>
      </c>
      <c r="D67">
        <v>122.3</v>
      </c>
      <c r="F67">
        <v>122.4</v>
      </c>
      <c r="H67">
        <v>117.8</v>
      </c>
      <c r="I67">
        <v>122.7</v>
      </c>
      <c r="J67">
        <v>110.4</v>
      </c>
      <c r="K67">
        <v>129.80000000000001</v>
      </c>
      <c r="L67">
        <v>158.80000000000001</v>
      </c>
      <c r="M67">
        <v>115</v>
      </c>
      <c r="N67">
        <v>104.7</v>
      </c>
      <c r="O67">
        <v>114.9</v>
      </c>
      <c r="P67">
        <v>116.5</v>
      </c>
      <c r="Q67">
        <v>122.6</v>
      </c>
      <c r="S67">
        <v>125.3</v>
      </c>
      <c r="T67">
        <v>119.5</v>
      </c>
      <c r="V67">
        <v>121.7</v>
      </c>
      <c r="X67">
        <v>119.2</v>
      </c>
      <c r="Z67">
        <v>121.3</v>
      </c>
      <c r="AB67" t="s">
        <v>32</v>
      </c>
      <c r="AC67">
        <f t="shared" ref="AC67" si="44">AB68</f>
        <v>116.1</v>
      </c>
      <c r="AE67">
        <v>115.8</v>
      </c>
      <c r="AG67">
        <v>116.7</v>
      </c>
      <c r="AI67">
        <v>114.5</v>
      </c>
      <c r="AJ67">
        <v>112.8</v>
      </c>
      <c r="AL67">
        <v>112.6</v>
      </c>
      <c r="AN67">
        <v>116.6</v>
      </c>
      <c r="AP67">
        <v>109.1</v>
      </c>
      <c r="AR67">
        <v>113.7</v>
      </c>
      <c r="AT67">
        <v>120.9</v>
      </c>
    </row>
    <row r="68" spans="1:46" x14ac:dyDescent="0.3">
      <c r="A68" t="s">
        <v>33</v>
      </c>
      <c r="B68">
        <v>2014</v>
      </c>
      <c r="C68" t="s">
        <v>42</v>
      </c>
      <c r="D68">
        <v>124.2</v>
      </c>
      <c r="F68">
        <v>125.4</v>
      </c>
      <c r="H68">
        <v>116.4</v>
      </c>
      <c r="I68">
        <v>122.7</v>
      </c>
      <c r="J68">
        <v>103.5</v>
      </c>
      <c r="K68">
        <v>124.5</v>
      </c>
      <c r="L68">
        <v>168.6</v>
      </c>
      <c r="M68">
        <v>116.9</v>
      </c>
      <c r="N68">
        <v>101.9</v>
      </c>
      <c r="O68">
        <v>122.9</v>
      </c>
      <c r="P68">
        <v>114.8</v>
      </c>
      <c r="Q68">
        <v>125.2</v>
      </c>
      <c r="S68">
        <v>126.7</v>
      </c>
      <c r="T68">
        <v>124.3</v>
      </c>
      <c r="V68">
        <v>119.2</v>
      </c>
      <c r="X68">
        <v>114.5</v>
      </c>
      <c r="Z68">
        <v>118.4</v>
      </c>
      <c r="AB68">
        <v>116.1</v>
      </c>
      <c r="AC68">
        <f t="shared" ref="AC68:AC69" si="45">AB68</f>
        <v>116.1</v>
      </c>
      <c r="AE68">
        <v>111.8</v>
      </c>
      <c r="AG68">
        <v>115.5</v>
      </c>
      <c r="AI68">
        <v>112.3</v>
      </c>
      <c r="AJ68">
        <v>111.2</v>
      </c>
      <c r="AL68">
        <v>113.4</v>
      </c>
      <c r="AN68">
        <v>120</v>
      </c>
      <c r="AP68">
        <v>110</v>
      </c>
      <c r="AR68">
        <v>113.6</v>
      </c>
      <c r="AT68">
        <v>119.2</v>
      </c>
    </row>
    <row r="69" spans="1:46" x14ac:dyDescent="0.3">
      <c r="A69" t="s">
        <v>34</v>
      </c>
      <c r="B69">
        <v>2014</v>
      </c>
      <c r="C69" t="s">
        <v>42</v>
      </c>
      <c r="D69">
        <v>122.9</v>
      </c>
      <c r="F69">
        <v>123.5</v>
      </c>
      <c r="H69">
        <v>117.3</v>
      </c>
      <c r="I69">
        <v>122.7</v>
      </c>
      <c r="J69">
        <v>107.9</v>
      </c>
      <c r="K69">
        <v>127.3</v>
      </c>
      <c r="L69">
        <v>162.1</v>
      </c>
      <c r="M69">
        <v>115.6</v>
      </c>
      <c r="N69">
        <v>103.8</v>
      </c>
      <c r="O69">
        <v>117.6</v>
      </c>
      <c r="P69">
        <v>115.8</v>
      </c>
      <c r="Q69">
        <v>123.8</v>
      </c>
      <c r="S69">
        <v>125.8</v>
      </c>
      <c r="T69">
        <v>120.8</v>
      </c>
      <c r="V69">
        <v>120.7</v>
      </c>
      <c r="X69">
        <v>117.2</v>
      </c>
      <c r="Z69">
        <v>120.1</v>
      </c>
      <c r="AB69">
        <v>116.1</v>
      </c>
      <c r="AC69">
        <f t="shared" si="45"/>
        <v>116.1</v>
      </c>
      <c r="AE69">
        <v>114.3</v>
      </c>
      <c r="AG69">
        <v>116.1</v>
      </c>
      <c r="AI69">
        <v>113.7</v>
      </c>
      <c r="AJ69">
        <v>112</v>
      </c>
      <c r="AL69">
        <v>113.1</v>
      </c>
      <c r="AN69">
        <v>118.6</v>
      </c>
      <c r="AP69">
        <v>109.5</v>
      </c>
      <c r="AR69">
        <v>113.7</v>
      </c>
      <c r="AT69">
        <v>120.1</v>
      </c>
    </row>
    <row r="70" spans="1:46" x14ac:dyDescent="0.3">
      <c r="A70" t="s">
        <v>30</v>
      </c>
      <c r="B70">
        <v>2014</v>
      </c>
      <c r="C70" t="s">
        <v>43</v>
      </c>
      <c r="D70">
        <v>122.6</v>
      </c>
      <c r="F70">
        <v>122.5</v>
      </c>
      <c r="H70">
        <v>118.3</v>
      </c>
      <c r="I70">
        <v>123.2</v>
      </c>
      <c r="J70">
        <v>110.5</v>
      </c>
      <c r="K70">
        <v>128.9</v>
      </c>
      <c r="L70">
        <v>155.30000000000001</v>
      </c>
      <c r="M70">
        <v>115.5</v>
      </c>
      <c r="N70">
        <v>104</v>
      </c>
      <c r="O70">
        <v>115.3</v>
      </c>
      <c r="P70">
        <v>116.8</v>
      </c>
      <c r="Q70">
        <v>123.2</v>
      </c>
      <c r="S70">
        <v>125.1</v>
      </c>
      <c r="T70">
        <v>120</v>
      </c>
      <c r="V70">
        <v>122.7</v>
      </c>
      <c r="X70">
        <v>120.3</v>
      </c>
      <c r="Z70">
        <v>122.3</v>
      </c>
      <c r="AB70" t="s">
        <v>32</v>
      </c>
      <c r="AC70">
        <f t="shared" ref="AC70" si="46">AB71</f>
        <v>116.7</v>
      </c>
      <c r="AE70">
        <v>116.4</v>
      </c>
      <c r="AG70">
        <v>117.5</v>
      </c>
      <c r="AI70">
        <v>115.3</v>
      </c>
      <c r="AJ70">
        <v>112.6</v>
      </c>
      <c r="AL70">
        <v>113</v>
      </c>
      <c r="AN70">
        <v>116.9</v>
      </c>
      <c r="AP70">
        <v>109.3</v>
      </c>
      <c r="AR70">
        <v>114</v>
      </c>
      <c r="AT70">
        <v>121</v>
      </c>
    </row>
    <row r="71" spans="1:46" x14ac:dyDescent="0.3">
      <c r="A71" t="s">
        <v>33</v>
      </c>
      <c r="B71">
        <v>2014</v>
      </c>
      <c r="C71" t="s">
        <v>43</v>
      </c>
      <c r="D71">
        <v>124.6</v>
      </c>
      <c r="F71">
        <v>126.1</v>
      </c>
      <c r="H71">
        <v>117.8</v>
      </c>
      <c r="I71">
        <v>123.1</v>
      </c>
      <c r="J71">
        <v>103.5</v>
      </c>
      <c r="K71">
        <v>123.5</v>
      </c>
      <c r="L71">
        <v>159.6</v>
      </c>
      <c r="M71">
        <v>117.4</v>
      </c>
      <c r="N71">
        <v>101.2</v>
      </c>
      <c r="O71">
        <v>123.8</v>
      </c>
      <c r="P71">
        <v>115.2</v>
      </c>
      <c r="Q71">
        <v>125.9</v>
      </c>
      <c r="S71">
        <v>125.8</v>
      </c>
      <c r="T71">
        <v>124.3</v>
      </c>
      <c r="V71">
        <v>119.6</v>
      </c>
      <c r="X71">
        <v>114.9</v>
      </c>
      <c r="Z71">
        <v>118.9</v>
      </c>
      <c r="AB71">
        <v>116.7</v>
      </c>
      <c r="AC71">
        <f t="shared" ref="AC71:AC72" si="47">AB71</f>
        <v>116.7</v>
      </c>
      <c r="AE71">
        <v>112</v>
      </c>
      <c r="AG71">
        <v>115.8</v>
      </c>
      <c r="AI71">
        <v>112.6</v>
      </c>
      <c r="AJ71">
        <v>111</v>
      </c>
      <c r="AL71">
        <v>113.6</v>
      </c>
      <c r="AN71">
        <v>120.2</v>
      </c>
      <c r="AP71">
        <v>110.1</v>
      </c>
      <c r="AR71">
        <v>113.7</v>
      </c>
      <c r="AT71">
        <v>119.1</v>
      </c>
    </row>
    <row r="72" spans="1:46" x14ac:dyDescent="0.3">
      <c r="A72" t="s">
        <v>34</v>
      </c>
      <c r="B72">
        <v>2014</v>
      </c>
      <c r="C72" t="s">
        <v>43</v>
      </c>
      <c r="D72">
        <v>123.2</v>
      </c>
      <c r="F72">
        <v>123.8</v>
      </c>
      <c r="H72">
        <v>118.1</v>
      </c>
      <c r="I72">
        <v>123.2</v>
      </c>
      <c r="J72">
        <v>107.9</v>
      </c>
      <c r="K72">
        <v>126.4</v>
      </c>
      <c r="L72">
        <v>156.80000000000001</v>
      </c>
      <c r="M72">
        <v>116.1</v>
      </c>
      <c r="N72">
        <v>103.1</v>
      </c>
      <c r="O72">
        <v>118.1</v>
      </c>
      <c r="P72">
        <v>116.1</v>
      </c>
      <c r="Q72">
        <v>124.5</v>
      </c>
      <c r="S72">
        <v>125.4</v>
      </c>
      <c r="T72">
        <v>121.1</v>
      </c>
      <c r="V72">
        <v>121.5</v>
      </c>
      <c r="X72">
        <v>118.1</v>
      </c>
      <c r="Z72">
        <v>121</v>
      </c>
      <c r="AB72">
        <v>116.7</v>
      </c>
      <c r="AC72">
        <f t="shared" si="47"/>
        <v>116.7</v>
      </c>
      <c r="AE72">
        <v>114.7</v>
      </c>
      <c r="AG72">
        <v>116.7</v>
      </c>
      <c r="AI72">
        <v>114.3</v>
      </c>
      <c r="AJ72">
        <v>111.8</v>
      </c>
      <c r="AL72">
        <v>113.3</v>
      </c>
      <c r="AN72">
        <v>118.8</v>
      </c>
      <c r="AP72">
        <v>109.6</v>
      </c>
      <c r="AR72">
        <v>113.9</v>
      </c>
      <c r="AT72">
        <v>120.1</v>
      </c>
    </row>
    <row r="73" spans="1:46" x14ac:dyDescent="0.3">
      <c r="A73" t="s">
        <v>30</v>
      </c>
      <c r="B73">
        <v>2014</v>
      </c>
      <c r="C73" t="s">
        <v>45</v>
      </c>
      <c r="D73">
        <v>122.7</v>
      </c>
      <c r="F73">
        <v>122.6</v>
      </c>
      <c r="H73">
        <v>119.9</v>
      </c>
      <c r="I73">
        <v>124</v>
      </c>
      <c r="J73">
        <v>110.5</v>
      </c>
      <c r="K73">
        <v>128.80000000000001</v>
      </c>
      <c r="L73">
        <v>152</v>
      </c>
      <c r="M73">
        <v>116.2</v>
      </c>
      <c r="N73">
        <v>103.3</v>
      </c>
      <c r="O73">
        <v>115.8</v>
      </c>
      <c r="P73">
        <v>116.8</v>
      </c>
      <c r="Q73">
        <v>124.5</v>
      </c>
      <c r="S73">
        <v>124.9</v>
      </c>
      <c r="T73">
        <v>120.8</v>
      </c>
      <c r="V73">
        <v>123.3</v>
      </c>
      <c r="X73">
        <v>120.5</v>
      </c>
      <c r="Z73">
        <v>122.9</v>
      </c>
      <c r="AB73" t="s">
        <v>32</v>
      </c>
      <c r="AC73">
        <f t="shared" ref="AC73" si="48">AB74</f>
        <v>117.1</v>
      </c>
      <c r="AE73">
        <v>117.3</v>
      </c>
      <c r="AG73">
        <v>118.1</v>
      </c>
      <c r="AI73">
        <v>115.9</v>
      </c>
      <c r="AJ73">
        <v>112</v>
      </c>
      <c r="AL73">
        <v>113.3</v>
      </c>
      <c r="AN73">
        <v>117.2</v>
      </c>
      <c r="AP73">
        <v>108.8</v>
      </c>
      <c r="AR73">
        <v>114.1</v>
      </c>
      <c r="AT73">
        <v>121.1</v>
      </c>
    </row>
    <row r="74" spans="1:46" x14ac:dyDescent="0.3">
      <c r="A74" t="s">
        <v>33</v>
      </c>
      <c r="B74">
        <v>2014</v>
      </c>
      <c r="C74" t="s">
        <v>45</v>
      </c>
      <c r="D74">
        <v>124.5</v>
      </c>
      <c r="F74">
        <v>125.6</v>
      </c>
      <c r="H74">
        <v>122.7</v>
      </c>
      <c r="I74">
        <v>124.6</v>
      </c>
      <c r="J74">
        <v>103.2</v>
      </c>
      <c r="K74">
        <v>122.2</v>
      </c>
      <c r="L74">
        <v>153.19999999999999</v>
      </c>
      <c r="M74">
        <v>119.3</v>
      </c>
      <c r="N74">
        <v>99.8</v>
      </c>
      <c r="O74">
        <v>124.6</v>
      </c>
      <c r="P74">
        <v>115.8</v>
      </c>
      <c r="Q74">
        <v>126.9</v>
      </c>
      <c r="S74">
        <v>125.4</v>
      </c>
      <c r="T74">
        <v>125.8</v>
      </c>
      <c r="V74">
        <v>120.3</v>
      </c>
      <c r="X74">
        <v>115.4</v>
      </c>
      <c r="Z74">
        <v>119.5</v>
      </c>
      <c r="AB74">
        <v>117.1</v>
      </c>
      <c r="AC74">
        <f t="shared" ref="AC74:AC75" si="49">AB74</f>
        <v>117.1</v>
      </c>
      <c r="AE74">
        <v>112.6</v>
      </c>
      <c r="AG74">
        <v>116.4</v>
      </c>
      <c r="AI74">
        <v>113</v>
      </c>
      <c r="AJ74">
        <v>109.7</v>
      </c>
      <c r="AL74">
        <v>114</v>
      </c>
      <c r="AN74">
        <v>120.3</v>
      </c>
      <c r="AP74">
        <v>109.6</v>
      </c>
      <c r="AR74">
        <v>113.4</v>
      </c>
      <c r="AT74">
        <v>119</v>
      </c>
    </row>
    <row r="75" spans="1:46" x14ac:dyDescent="0.3">
      <c r="A75" t="s">
        <v>34</v>
      </c>
      <c r="B75">
        <v>2014</v>
      </c>
      <c r="C75" t="s">
        <v>45</v>
      </c>
      <c r="D75">
        <v>123.3</v>
      </c>
      <c r="F75">
        <v>123.7</v>
      </c>
      <c r="H75">
        <v>121</v>
      </c>
      <c r="I75">
        <v>124.2</v>
      </c>
      <c r="J75">
        <v>107.8</v>
      </c>
      <c r="K75">
        <v>125.7</v>
      </c>
      <c r="L75">
        <v>152.4</v>
      </c>
      <c r="M75">
        <v>117.2</v>
      </c>
      <c r="N75">
        <v>102.1</v>
      </c>
      <c r="O75">
        <v>118.7</v>
      </c>
      <c r="P75">
        <v>116.4</v>
      </c>
      <c r="Q75">
        <v>125.6</v>
      </c>
      <c r="S75">
        <v>125.1</v>
      </c>
      <c r="T75">
        <v>122.1</v>
      </c>
      <c r="V75">
        <v>122.1</v>
      </c>
      <c r="X75">
        <v>118.4</v>
      </c>
      <c r="Z75">
        <v>121.6</v>
      </c>
      <c r="AB75">
        <v>117.1</v>
      </c>
      <c r="AC75">
        <f t="shared" si="49"/>
        <v>117.1</v>
      </c>
      <c r="AE75">
        <v>115.5</v>
      </c>
      <c r="AG75">
        <v>117.3</v>
      </c>
      <c r="AI75">
        <v>114.8</v>
      </c>
      <c r="AJ75">
        <v>110.8</v>
      </c>
      <c r="AL75">
        <v>113.7</v>
      </c>
      <c r="AN75">
        <v>119</v>
      </c>
      <c r="AP75">
        <v>109.1</v>
      </c>
      <c r="AR75">
        <v>113.8</v>
      </c>
      <c r="AT75">
        <v>120.1</v>
      </c>
    </row>
    <row r="76" spans="1:46" x14ac:dyDescent="0.3">
      <c r="A76" t="s">
        <v>30</v>
      </c>
      <c r="B76">
        <v>2014</v>
      </c>
      <c r="C76" t="s">
        <v>46</v>
      </c>
      <c r="D76">
        <v>122.4</v>
      </c>
      <c r="F76">
        <v>122.4</v>
      </c>
      <c r="H76">
        <v>121.8</v>
      </c>
      <c r="I76">
        <v>124.2</v>
      </c>
      <c r="J76">
        <v>110.2</v>
      </c>
      <c r="K76">
        <v>128.6</v>
      </c>
      <c r="L76">
        <v>140.30000000000001</v>
      </c>
      <c r="M76">
        <v>116.3</v>
      </c>
      <c r="N76">
        <v>102</v>
      </c>
      <c r="O76">
        <v>116</v>
      </c>
      <c r="P76">
        <v>117.3</v>
      </c>
      <c r="Q76">
        <v>124.8</v>
      </c>
      <c r="S76">
        <v>123.3</v>
      </c>
      <c r="T76">
        <v>121.7</v>
      </c>
      <c r="V76">
        <v>123.8</v>
      </c>
      <c r="X76">
        <v>120.6</v>
      </c>
      <c r="Z76">
        <v>123.3</v>
      </c>
      <c r="AB76" t="s">
        <v>32</v>
      </c>
      <c r="AC76">
        <f t="shared" ref="AC76" si="50">AB77</f>
        <v>116.5</v>
      </c>
      <c r="AE76">
        <v>117.4</v>
      </c>
      <c r="AG76">
        <v>118.2</v>
      </c>
      <c r="AI76">
        <v>116.2</v>
      </c>
      <c r="AJ76">
        <v>111.5</v>
      </c>
      <c r="AL76">
        <v>113.3</v>
      </c>
      <c r="AN76">
        <v>117.7</v>
      </c>
      <c r="AP76">
        <v>109.4</v>
      </c>
      <c r="AR76">
        <v>114.2</v>
      </c>
      <c r="AT76">
        <v>120.3</v>
      </c>
    </row>
    <row r="77" spans="1:46" x14ac:dyDescent="0.3">
      <c r="A77" t="s">
        <v>33</v>
      </c>
      <c r="B77">
        <v>2014</v>
      </c>
      <c r="C77" t="s">
        <v>46</v>
      </c>
      <c r="D77">
        <v>124</v>
      </c>
      <c r="F77">
        <v>124.7</v>
      </c>
      <c r="H77">
        <v>126.3</v>
      </c>
      <c r="I77">
        <v>124.9</v>
      </c>
      <c r="J77">
        <v>103</v>
      </c>
      <c r="K77">
        <v>122.3</v>
      </c>
      <c r="L77">
        <v>141</v>
      </c>
      <c r="M77">
        <v>120.1</v>
      </c>
      <c r="N77">
        <v>97.8</v>
      </c>
      <c r="O77">
        <v>125.4</v>
      </c>
      <c r="P77">
        <v>116.1</v>
      </c>
      <c r="Q77">
        <v>127.6</v>
      </c>
      <c r="S77">
        <v>124</v>
      </c>
      <c r="T77">
        <v>126.4</v>
      </c>
      <c r="V77">
        <v>120.7</v>
      </c>
      <c r="X77">
        <v>115.8</v>
      </c>
      <c r="Z77">
        <v>120</v>
      </c>
      <c r="AB77">
        <v>116.5</v>
      </c>
      <c r="AC77">
        <f t="shared" ref="AC77:AC78" si="51">AB77</f>
        <v>116.5</v>
      </c>
      <c r="AE77">
        <v>113</v>
      </c>
      <c r="AG77">
        <v>116.8</v>
      </c>
      <c r="AI77">
        <v>113.2</v>
      </c>
      <c r="AJ77">
        <v>108.8</v>
      </c>
      <c r="AL77">
        <v>114.3</v>
      </c>
      <c r="AN77">
        <v>120.7</v>
      </c>
      <c r="AP77">
        <v>110.4</v>
      </c>
      <c r="AR77">
        <v>113.4</v>
      </c>
      <c r="AT77">
        <v>118.4</v>
      </c>
    </row>
    <row r="78" spans="1:46" x14ac:dyDescent="0.3">
      <c r="A78" t="s">
        <v>34</v>
      </c>
      <c r="B78">
        <v>2014</v>
      </c>
      <c r="C78" t="s">
        <v>46</v>
      </c>
      <c r="D78">
        <v>122.9</v>
      </c>
      <c r="F78">
        <v>123.2</v>
      </c>
      <c r="H78">
        <v>123.5</v>
      </c>
      <c r="I78">
        <v>124.5</v>
      </c>
      <c r="J78">
        <v>107.6</v>
      </c>
      <c r="K78">
        <v>125.7</v>
      </c>
      <c r="L78">
        <v>140.5</v>
      </c>
      <c r="M78">
        <v>117.6</v>
      </c>
      <c r="N78">
        <v>100.6</v>
      </c>
      <c r="O78">
        <v>119.1</v>
      </c>
      <c r="P78">
        <v>116.8</v>
      </c>
      <c r="Q78">
        <v>126.1</v>
      </c>
      <c r="S78">
        <v>123.6</v>
      </c>
      <c r="T78">
        <v>123</v>
      </c>
      <c r="V78">
        <v>122.6</v>
      </c>
      <c r="X78">
        <v>118.6</v>
      </c>
      <c r="Z78">
        <v>122</v>
      </c>
      <c r="AB78">
        <v>116.5</v>
      </c>
      <c r="AC78">
        <f t="shared" si="51"/>
        <v>116.5</v>
      </c>
      <c r="AE78">
        <v>115.7</v>
      </c>
      <c r="AG78">
        <v>117.5</v>
      </c>
      <c r="AI78">
        <v>115.1</v>
      </c>
      <c r="AJ78">
        <v>110.1</v>
      </c>
      <c r="AL78">
        <v>113.9</v>
      </c>
      <c r="AN78">
        <v>119.5</v>
      </c>
      <c r="AP78">
        <v>109.8</v>
      </c>
      <c r="AR78">
        <v>113.8</v>
      </c>
      <c r="AT78">
        <v>119.4</v>
      </c>
    </row>
    <row r="79" spans="1:46" x14ac:dyDescent="0.3">
      <c r="A79" t="s">
        <v>30</v>
      </c>
      <c r="B79">
        <v>2015</v>
      </c>
      <c r="C79" t="s">
        <v>31</v>
      </c>
      <c r="D79">
        <v>123.1</v>
      </c>
      <c r="F79">
        <v>123.1</v>
      </c>
      <c r="H79">
        <v>122.1</v>
      </c>
      <c r="I79">
        <v>124.9</v>
      </c>
      <c r="J79">
        <v>111</v>
      </c>
      <c r="K79">
        <v>130.4</v>
      </c>
      <c r="L79">
        <v>132.30000000000001</v>
      </c>
      <c r="M79">
        <v>117.2</v>
      </c>
      <c r="N79">
        <v>100.5</v>
      </c>
      <c r="O79">
        <v>117.2</v>
      </c>
      <c r="P79">
        <v>117.9</v>
      </c>
      <c r="Q79">
        <v>125.6</v>
      </c>
      <c r="S79">
        <v>122.8</v>
      </c>
      <c r="T79">
        <v>122.7</v>
      </c>
      <c r="V79">
        <v>124.4</v>
      </c>
      <c r="X79">
        <v>121.6</v>
      </c>
      <c r="Z79">
        <v>124</v>
      </c>
      <c r="AB79" t="s">
        <v>32</v>
      </c>
      <c r="AC79">
        <f t="shared" ref="AC79" si="52">AB80</f>
        <v>117.3</v>
      </c>
      <c r="AE79">
        <v>118.4</v>
      </c>
      <c r="AG79">
        <v>118.9</v>
      </c>
      <c r="AI79">
        <v>116.6</v>
      </c>
      <c r="AJ79">
        <v>111</v>
      </c>
      <c r="AL79">
        <v>114</v>
      </c>
      <c r="AN79">
        <v>118.2</v>
      </c>
      <c r="AP79">
        <v>110.2</v>
      </c>
      <c r="AR79">
        <v>114.5</v>
      </c>
      <c r="AT79">
        <v>120.3</v>
      </c>
    </row>
    <row r="80" spans="1:46" x14ac:dyDescent="0.3">
      <c r="A80" t="s">
        <v>33</v>
      </c>
      <c r="B80">
        <v>2015</v>
      </c>
      <c r="C80" t="s">
        <v>31</v>
      </c>
      <c r="D80">
        <v>124</v>
      </c>
      <c r="F80">
        <v>125.5</v>
      </c>
      <c r="H80">
        <v>126.6</v>
      </c>
      <c r="I80">
        <v>125.2</v>
      </c>
      <c r="J80">
        <v>104.3</v>
      </c>
      <c r="K80">
        <v>121.3</v>
      </c>
      <c r="L80">
        <v>134.4</v>
      </c>
      <c r="M80">
        <v>122.9</v>
      </c>
      <c r="N80">
        <v>96.1</v>
      </c>
      <c r="O80">
        <v>126.6</v>
      </c>
      <c r="P80">
        <v>116.5</v>
      </c>
      <c r="Q80">
        <v>128</v>
      </c>
      <c r="S80">
        <v>123.5</v>
      </c>
      <c r="T80">
        <v>127.4</v>
      </c>
      <c r="V80">
        <v>121</v>
      </c>
      <c r="X80">
        <v>116.1</v>
      </c>
      <c r="Z80">
        <v>120.2</v>
      </c>
      <c r="AB80">
        <v>117.3</v>
      </c>
      <c r="AC80">
        <f t="shared" ref="AC80:AC81" si="53">AB80</f>
        <v>117.3</v>
      </c>
      <c r="AE80">
        <v>113.4</v>
      </c>
      <c r="AG80">
        <v>117.2</v>
      </c>
      <c r="AI80">
        <v>113.7</v>
      </c>
      <c r="AJ80">
        <v>107.9</v>
      </c>
      <c r="AL80">
        <v>114.6</v>
      </c>
      <c r="AN80">
        <v>120.8</v>
      </c>
      <c r="AP80">
        <v>111.4</v>
      </c>
      <c r="AR80">
        <v>113.4</v>
      </c>
      <c r="AT80">
        <v>118.5</v>
      </c>
    </row>
    <row r="81" spans="1:46" x14ac:dyDescent="0.3">
      <c r="A81" t="s">
        <v>34</v>
      </c>
      <c r="B81">
        <v>2015</v>
      </c>
      <c r="C81" t="s">
        <v>31</v>
      </c>
      <c r="D81">
        <v>123.4</v>
      </c>
      <c r="F81">
        <v>123.9</v>
      </c>
      <c r="H81">
        <v>123.8</v>
      </c>
      <c r="I81">
        <v>125</v>
      </c>
      <c r="J81">
        <v>108.5</v>
      </c>
      <c r="K81">
        <v>126.2</v>
      </c>
      <c r="L81">
        <v>133</v>
      </c>
      <c r="M81">
        <v>119.1</v>
      </c>
      <c r="N81">
        <v>99</v>
      </c>
      <c r="O81">
        <v>120.3</v>
      </c>
      <c r="P81">
        <v>117.3</v>
      </c>
      <c r="Q81">
        <v>126.7</v>
      </c>
      <c r="S81">
        <v>123.1</v>
      </c>
      <c r="T81">
        <v>124</v>
      </c>
      <c r="V81">
        <v>123.1</v>
      </c>
      <c r="X81">
        <v>119.3</v>
      </c>
      <c r="Z81">
        <v>122.5</v>
      </c>
      <c r="AB81">
        <v>117.3</v>
      </c>
      <c r="AC81">
        <f t="shared" si="53"/>
        <v>117.3</v>
      </c>
      <c r="AE81">
        <v>116.5</v>
      </c>
      <c r="AG81">
        <v>118.1</v>
      </c>
      <c r="AI81">
        <v>115.5</v>
      </c>
      <c r="AJ81">
        <v>109.4</v>
      </c>
      <c r="AL81">
        <v>114.3</v>
      </c>
      <c r="AN81">
        <v>119.7</v>
      </c>
      <c r="AP81">
        <v>110.7</v>
      </c>
      <c r="AR81">
        <v>114</v>
      </c>
      <c r="AT81">
        <v>119.5</v>
      </c>
    </row>
    <row r="82" spans="1:46" x14ac:dyDescent="0.3">
      <c r="A82" t="s">
        <v>30</v>
      </c>
      <c r="B82">
        <v>2015</v>
      </c>
      <c r="C82" t="s">
        <v>35</v>
      </c>
      <c r="D82">
        <v>123.4</v>
      </c>
      <c r="F82">
        <v>124.4</v>
      </c>
      <c r="H82">
        <v>122.1</v>
      </c>
      <c r="I82">
        <v>125.8</v>
      </c>
      <c r="J82">
        <v>111.5</v>
      </c>
      <c r="K82">
        <v>129.4</v>
      </c>
      <c r="L82">
        <v>128.19999999999999</v>
      </c>
      <c r="M82">
        <v>118.8</v>
      </c>
      <c r="N82">
        <v>100</v>
      </c>
      <c r="O82">
        <v>118.6</v>
      </c>
      <c r="P82">
        <v>118.8</v>
      </c>
      <c r="Q82">
        <v>126.8</v>
      </c>
      <c r="S82">
        <v>122.8</v>
      </c>
      <c r="T82">
        <v>124.2</v>
      </c>
      <c r="V82">
        <v>125.4</v>
      </c>
      <c r="X82">
        <v>122.7</v>
      </c>
      <c r="Z82">
        <v>125</v>
      </c>
      <c r="AB82" t="s">
        <v>32</v>
      </c>
      <c r="AC82">
        <f t="shared" ref="AC82" si="54">AB83</f>
        <v>118.1</v>
      </c>
      <c r="AE82">
        <v>120</v>
      </c>
      <c r="AG82">
        <v>119.6</v>
      </c>
      <c r="AI82">
        <v>117.7</v>
      </c>
      <c r="AJ82">
        <v>110.9</v>
      </c>
      <c r="AL82">
        <v>114.8</v>
      </c>
      <c r="AN82">
        <v>118.7</v>
      </c>
      <c r="AP82">
        <v>110.8</v>
      </c>
      <c r="AR82">
        <v>115</v>
      </c>
      <c r="AT82">
        <v>120.6</v>
      </c>
    </row>
    <row r="83" spans="1:46" x14ac:dyDescent="0.3">
      <c r="A83" t="s">
        <v>33</v>
      </c>
      <c r="B83">
        <v>2015</v>
      </c>
      <c r="C83" t="s">
        <v>35</v>
      </c>
      <c r="D83">
        <v>124.3</v>
      </c>
      <c r="F83">
        <v>126.5</v>
      </c>
      <c r="H83">
        <v>119.5</v>
      </c>
      <c r="I83">
        <v>125.6</v>
      </c>
      <c r="J83">
        <v>104.9</v>
      </c>
      <c r="K83">
        <v>121.6</v>
      </c>
      <c r="L83">
        <v>131.80000000000001</v>
      </c>
      <c r="M83">
        <v>125.1</v>
      </c>
      <c r="N83">
        <v>95</v>
      </c>
      <c r="O83">
        <v>127.7</v>
      </c>
      <c r="P83">
        <v>116.8</v>
      </c>
      <c r="Q83">
        <v>128.6</v>
      </c>
      <c r="S83">
        <v>123.7</v>
      </c>
      <c r="T83">
        <v>128.1</v>
      </c>
      <c r="V83">
        <v>121.3</v>
      </c>
      <c r="X83">
        <v>116.5</v>
      </c>
      <c r="Z83">
        <v>120.6</v>
      </c>
      <c r="AB83">
        <v>118.1</v>
      </c>
      <c r="AC83">
        <f t="shared" ref="AC83:AC84" si="55">AB83</f>
        <v>118.1</v>
      </c>
      <c r="AE83">
        <v>114</v>
      </c>
      <c r="AG83">
        <v>117.7</v>
      </c>
      <c r="AI83">
        <v>114.1</v>
      </c>
      <c r="AJ83">
        <v>106.8</v>
      </c>
      <c r="AL83">
        <v>114.9</v>
      </c>
      <c r="AN83">
        <v>120.4</v>
      </c>
      <c r="AP83">
        <v>111.7</v>
      </c>
      <c r="AR83">
        <v>113.2</v>
      </c>
      <c r="AT83">
        <v>118.7</v>
      </c>
    </row>
    <row r="84" spans="1:46" x14ac:dyDescent="0.3">
      <c r="A84" t="s">
        <v>34</v>
      </c>
      <c r="B84">
        <v>2015</v>
      </c>
      <c r="C84" t="s">
        <v>35</v>
      </c>
      <c r="D84">
        <v>123.7</v>
      </c>
      <c r="F84">
        <v>125.1</v>
      </c>
      <c r="H84">
        <v>121.1</v>
      </c>
      <c r="I84">
        <v>125.7</v>
      </c>
      <c r="J84">
        <v>109.1</v>
      </c>
      <c r="K84">
        <v>125.8</v>
      </c>
      <c r="L84">
        <v>129.4</v>
      </c>
      <c r="M84">
        <v>120.9</v>
      </c>
      <c r="N84">
        <v>98.3</v>
      </c>
      <c r="O84">
        <v>121.6</v>
      </c>
      <c r="P84">
        <v>118</v>
      </c>
      <c r="Q84">
        <v>127.6</v>
      </c>
      <c r="S84">
        <v>123.1</v>
      </c>
      <c r="T84">
        <v>125.2</v>
      </c>
      <c r="V84">
        <v>123.8</v>
      </c>
      <c r="X84">
        <v>120.1</v>
      </c>
      <c r="Z84">
        <v>123.3</v>
      </c>
      <c r="AB84">
        <v>118.1</v>
      </c>
      <c r="AC84">
        <f t="shared" si="55"/>
        <v>118.1</v>
      </c>
      <c r="AE84">
        <v>117.7</v>
      </c>
      <c r="AG84">
        <v>118.7</v>
      </c>
      <c r="AI84">
        <v>116.3</v>
      </c>
      <c r="AJ84">
        <v>108.7</v>
      </c>
      <c r="AL84">
        <v>114.9</v>
      </c>
      <c r="AN84">
        <v>119.7</v>
      </c>
      <c r="AP84">
        <v>111.2</v>
      </c>
      <c r="AR84">
        <v>114.1</v>
      </c>
      <c r="AT84">
        <v>119.7</v>
      </c>
    </row>
    <row r="85" spans="1:46" x14ac:dyDescent="0.3">
      <c r="A85" t="s">
        <v>30</v>
      </c>
      <c r="B85">
        <v>2015</v>
      </c>
      <c r="C85" t="s">
        <v>36</v>
      </c>
      <c r="D85">
        <v>123.3</v>
      </c>
      <c r="F85">
        <v>124.7</v>
      </c>
      <c r="H85">
        <v>118.9</v>
      </c>
      <c r="I85">
        <v>126</v>
      </c>
      <c r="J85">
        <v>111.8</v>
      </c>
      <c r="K85">
        <v>130.9</v>
      </c>
      <c r="L85">
        <v>128</v>
      </c>
      <c r="M85">
        <v>119.9</v>
      </c>
      <c r="N85">
        <v>98.9</v>
      </c>
      <c r="O85">
        <v>119.4</v>
      </c>
      <c r="P85">
        <v>118.9</v>
      </c>
      <c r="Q85">
        <v>127.7</v>
      </c>
      <c r="S85">
        <v>123.1</v>
      </c>
      <c r="T85">
        <v>124.7</v>
      </c>
      <c r="V85">
        <v>126</v>
      </c>
      <c r="X85">
        <v>122.9</v>
      </c>
      <c r="Z85">
        <v>125.5</v>
      </c>
      <c r="AB85" t="s">
        <v>32</v>
      </c>
      <c r="AC85">
        <f t="shared" ref="AC85" si="56">AB86</f>
        <v>118.6</v>
      </c>
      <c r="AE85">
        <v>120.6</v>
      </c>
      <c r="AG85">
        <v>120.2</v>
      </c>
      <c r="AI85">
        <v>118.2</v>
      </c>
      <c r="AJ85">
        <v>111.6</v>
      </c>
      <c r="AL85">
        <v>115.5</v>
      </c>
      <c r="AN85">
        <v>119.4</v>
      </c>
      <c r="AP85">
        <v>110.8</v>
      </c>
      <c r="AR85">
        <v>115.5</v>
      </c>
      <c r="AT85">
        <v>121.1</v>
      </c>
    </row>
    <row r="86" spans="1:46" x14ac:dyDescent="0.3">
      <c r="A86" t="s">
        <v>33</v>
      </c>
      <c r="B86">
        <v>2015</v>
      </c>
      <c r="C86" t="s">
        <v>36</v>
      </c>
      <c r="D86">
        <v>124</v>
      </c>
      <c r="F86">
        <v>126.7</v>
      </c>
      <c r="H86">
        <v>113.5</v>
      </c>
      <c r="I86">
        <v>125.9</v>
      </c>
      <c r="J86">
        <v>104.8</v>
      </c>
      <c r="K86">
        <v>123.8</v>
      </c>
      <c r="L86">
        <v>131.4</v>
      </c>
      <c r="M86">
        <v>127.2</v>
      </c>
      <c r="N86">
        <v>93.2</v>
      </c>
      <c r="O86">
        <v>127.4</v>
      </c>
      <c r="P86">
        <v>117</v>
      </c>
      <c r="Q86">
        <v>129.19999999999999</v>
      </c>
      <c r="S86">
        <v>123.9</v>
      </c>
      <c r="T86">
        <v>128.80000000000001</v>
      </c>
      <c r="V86">
        <v>121.7</v>
      </c>
      <c r="X86">
        <v>116.9</v>
      </c>
      <c r="Z86">
        <v>120.9</v>
      </c>
      <c r="AB86">
        <v>118.6</v>
      </c>
      <c r="AC86">
        <f t="shared" ref="AC86:AC87" si="57">AB86</f>
        <v>118.6</v>
      </c>
      <c r="AE86">
        <v>114.4</v>
      </c>
      <c r="AG86">
        <v>118</v>
      </c>
      <c r="AI86">
        <v>114.3</v>
      </c>
      <c r="AJ86">
        <v>108.4</v>
      </c>
      <c r="AL86">
        <v>115.4</v>
      </c>
      <c r="AN86">
        <v>120.6</v>
      </c>
      <c r="AP86">
        <v>111.3</v>
      </c>
      <c r="AR86">
        <v>113.8</v>
      </c>
      <c r="AT86">
        <v>119.1</v>
      </c>
    </row>
    <row r="87" spans="1:46" x14ac:dyDescent="0.3">
      <c r="A87" t="s">
        <v>34</v>
      </c>
      <c r="B87">
        <v>2015</v>
      </c>
      <c r="C87" t="s">
        <v>36</v>
      </c>
      <c r="D87">
        <v>123.5</v>
      </c>
      <c r="F87">
        <v>125.4</v>
      </c>
      <c r="H87">
        <v>116.8</v>
      </c>
      <c r="I87">
        <v>126</v>
      </c>
      <c r="J87">
        <v>109.2</v>
      </c>
      <c r="K87">
        <v>127.6</v>
      </c>
      <c r="L87">
        <v>129.19999999999999</v>
      </c>
      <c r="M87">
        <v>122.4</v>
      </c>
      <c r="N87">
        <v>97</v>
      </c>
      <c r="O87">
        <v>122.1</v>
      </c>
      <c r="P87">
        <v>118.1</v>
      </c>
      <c r="Q87">
        <v>128.4</v>
      </c>
      <c r="S87">
        <v>123.4</v>
      </c>
      <c r="T87">
        <v>125.8</v>
      </c>
      <c r="V87">
        <v>124.3</v>
      </c>
      <c r="X87">
        <v>120.4</v>
      </c>
      <c r="Z87">
        <v>123.7</v>
      </c>
      <c r="AB87">
        <v>118.6</v>
      </c>
      <c r="AC87">
        <f t="shared" si="57"/>
        <v>118.6</v>
      </c>
      <c r="AE87">
        <v>118.3</v>
      </c>
      <c r="AG87">
        <v>119.2</v>
      </c>
      <c r="AI87">
        <v>116.7</v>
      </c>
      <c r="AJ87">
        <v>109.9</v>
      </c>
      <c r="AL87">
        <v>115.4</v>
      </c>
      <c r="AN87">
        <v>120.1</v>
      </c>
      <c r="AP87">
        <v>111</v>
      </c>
      <c r="AR87">
        <v>114.7</v>
      </c>
      <c r="AT87">
        <v>120.2</v>
      </c>
    </row>
    <row r="88" spans="1:46" x14ac:dyDescent="0.3">
      <c r="A88" t="s">
        <v>30</v>
      </c>
      <c r="B88">
        <v>2015</v>
      </c>
      <c r="C88" t="s">
        <v>37</v>
      </c>
      <c r="D88">
        <v>123.3</v>
      </c>
      <c r="F88">
        <v>125.5</v>
      </c>
      <c r="H88">
        <v>117.2</v>
      </c>
      <c r="I88">
        <v>126.8</v>
      </c>
      <c r="J88">
        <v>111.9</v>
      </c>
      <c r="K88">
        <v>134.19999999999999</v>
      </c>
      <c r="L88">
        <v>127.5</v>
      </c>
      <c r="M88">
        <v>121.5</v>
      </c>
      <c r="N88">
        <v>97.8</v>
      </c>
      <c r="O88">
        <v>119.8</v>
      </c>
      <c r="P88">
        <v>119.4</v>
      </c>
      <c r="Q88">
        <v>128.69999999999999</v>
      </c>
      <c r="S88">
        <v>123.6</v>
      </c>
      <c r="T88">
        <v>125.7</v>
      </c>
      <c r="V88">
        <v>126.4</v>
      </c>
      <c r="X88">
        <v>123.3</v>
      </c>
      <c r="Z88">
        <v>126</v>
      </c>
      <c r="AB88" t="s">
        <v>32</v>
      </c>
      <c r="AC88">
        <f t="shared" ref="AC88" si="58">AB89</f>
        <v>119.2</v>
      </c>
      <c r="AE88">
        <v>121.2</v>
      </c>
      <c r="AG88">
        <v>120.9</v>
      </c>
      <c r="AI88">
        <v>118.6</v>
      </c>
      <c r="AJ88">
        <v>111.9</v>
      </c>
      <c r="AL88">
        <v>116.2</v>
      </c>
      <c r="AN88">
        <v>119.9</v>
      </c>
      <c r="AP88">
        <v>111.6</v>
      </c>
      <c r="AR88">
        <v>116</v>
      </c>
      <c r="AT88">
        <v>121.5</v>
      </c>
    </row>
    <row r="89" spans="1:46" x14ac:dyDescent="0.3">
      <c r="A89" t="s">
        <v>33</v>
      </c>
      <c r="B89">
        <v>2015</v>
      </c>
      <c r="C89" t="s">
        <v>37</v>
      </c>
      <c r="D89">
        <v>123.8</v>
      </c>
      <c r="F89">
        <v>128.19999999999999</v>
      </c>
      <c r="H89">
        <v>110</v>
      </c>
      <c r="I89">
        <v>126.3</v>
      </c>
      <c r="J89">
        <v>104.5</v>
      </c>
      <c r="K89">
        <v>130.6</v>
      </c>
      <c r="L89">
        <v>130.80000000000001</v>
      </c>
      <c r="M89">
        <v>131.30000000000001</v>
      </c>
      <c r="N89">
        <v>91.6</v>
      </c>
      <c r="O89">
        <v>127.7</v>
      </c>
      <c r="P89">
        <v>117.2</v>
      </c>
      <c r="Q89">
        <v>129.5</v>
      </c>
      <c r="S89">
        <v>124.6</v>
      </c>
      <c r="T89">
        <v>130.1</v>
      </c>
      <c r="V89">
        <v>122.1</v>
      </c>
      <c r="X89">
        <v>117.2</v>
      </c>
      <c r="Z89">
        <v>121.3</v>
      </c>
      <c r="AB89">
        <v>119.2</v>
      </c>
      <c r="AC89">
        <f t="shared" ref="AC89:AC90" si="59">AB89</f>
        <v>119.2</v>
      </c>
      <c r="AE89">
        <v>114.7</v>
      </c>
      <c r="AG89">
        <v>118.4</v>
      </c>
      <c r="AI89">
        <v>114.6</v>
      </c>
      <c r="AJ89">
        <v>108.4</v>
      </c>
      <c r="AL89">
        <v>115.6</v>
      </c>
      <c r="AN89">
        <v>121.7</v>
      </c>
      <c r="AP89">
        <v>111.8</v>
      </c>
      <c r="AR89">
        <v>114.2</v>
      </c>
      <c r="AT89">
        <v>119.7</v>
      </c>
    </row>
    <row r="90" spans="1:46" x14ac:dyDescent="0.3">
      <c r="A90" t="s">
        <v>34</v>
      </c>
      <c r="B90">
        <v>2015</v>
      </c>
      <c r="C90" t="s">
        <v>37</v>
      </c>
      <c r="D90">
        <v>123.5</v>
      </c>
      <c r="F90">
        <v>126.4</v>
      </c>
      <c r="H90">
        <v>114.4</v>
      </c>
      <c r="I90">
        <v>126.6</v>
      </c>
      <c r="J90">
        <v>109.2</v>
      </c>
      <c r="K90">
        <v>132.5</v>
      </c>
      <c r="L90">
        <v>128.6</v>
      </c>
      <c r="M90">
        <v>124.8</v>
      </c>
      <c r="N90">
        <v>95.7</v>
      </c>
      <c r="O90">
        <v>122.4</v>
      </c>
      <c r="P90">
        <v>118.5</v>
      </c>
      <c r="Q90">
        <v>129.1</v>
      </c>
      <c r="S90">
        <v>124</v>
      </c>
      <c r="T90">
        <v>126.9</v>
      </c>
      <c r="V90">
        <v>124.7</v>
      </c>
      <c r="X90">
        <v>120.8</v>
      </c>
      <c r="Z90">
        <v>124.1</v>
      </c>
      <c r="AB90">
        <v>119.2</v>
      </c>
      <c r="AC90">
        <f t="shared" si="59"/>
        <v>119.2</v>
      </c>
      <c r="AE90">
        <v>118.7</v>
      </c>
      <c r="AG90">
        <v>119.7</v>
      </c>
      <c r="AI90">
        <v>117.1</v>
      </c>
      <c r="AJ90">
        <v>110.1</v>
      </c>
      <c r="AL90">
        <v>115.9</v>
      </c>
      <c r="AN90">
        <v>121</v>
      </c>
      <c r="AP90">
        <v>111.7</v>
      </c>
      <c r="AR90">
        <v>115.1</v>
      </c>
      <c r="AT90">
        <v>120.7</v>
      </c>
    </row>
    <row r="91" spans="1:46" x14ac:dyDescent="0.3">
      <c r="A91" t="s">
        <v>30</v>
      </c>
      <c r="B91">
        <v>2015</v>
      </c>
      <c r="C91" t="s">
        <v>38</v>
      </c>
      <c r="D91">
        <v>123.5</v>
      </c>
      <c r="F91">
        <v>127.1</v>
      </c>
      <c r="H91">
        <v>117.3</v>
      </c>
      <c r="I91">
        <v>127.7</v>
      </c>
      <c r="J91">
        <v>112.5</v>
      </c>
      <c r="K91">
        <v>134.1</v>
      </c>
      <c r="L91">
        <v>128.5</v>
      </c>
      <c r="M91">
        <v>124.3</v>
      </c>
      <c r="N91">
        <v>97.6</v>
      </c>
      <c r="O91">
        <v>120.7</v>
      </c>
      <c r="P91">
        <v>120.2</v>
      </c>
      <c r="Q91">
        <v>129.80000000000001</v>
      </c>
      <c r="S91">
        <v>124.4</v>
      </c>
      <c r="T91">
        <v>126.7</v>
      </c>
      <c r="V91">
        <v>127.3</v>
      </c>
      <c r="X91">
        <v>124.1</v>
      </c>
      <c r="Z91">
        <v>126.8</v>
      </c>
      <c r="AB91" t="s">
        <v>32</v>
      </c>
      <c r="AC91">
        <f t="shared" ref="AC91" si="60">AB92</f>
        <v>119.6</v>
      </c>
      <c r="AE91">
        <v>121.9</v>
      </c>
      <c r="AG91">
        <v>121.5</v>
      </c>
      <c r="AI91">
        <v>119.4</v>
      </c>
      <c r="AJ91">
        <v>113.3</v>
      </c>
      <c r="AL91">
        <v>116.7</v>
      </c>
      <c r="AN91">
        <v>120.5</v>
      </c>
      <c r="AP91">
        <v>112.3</v>
      </c>
      <c r="AR91">
        <v>116.9</v>
      </c>
      <c r="AT91">
        <v>122.4</v>
      </c>
    </row>
    <row r="92" spans="1:46" x14ac:dyDescent="0.3">
      <c r="A92" t="s">
        <v>33</v>
      </c>
      <c r="B92">
        <v>2015</v>
      </c>
      <c r="C92" t="s">
        <v>38</v>
      </c>
      <c r="D92">
        <v>123.8</v>
      </c>
      <c r="F92">
        <v>129.69999999999999</v>
      </c>
      <c r="H92">
        <v>111.3</v>
      </c>
      <c r="I92">
        <v>126.6</v>
      </c>
      <c r="J92">
        <v>105.2</v>
      </c>
      <c r="K92">
        <v>130.80000000000001</v>
      </c>
      <c r="L92">
        <v>135.6</v>
      </c>
      <c r="M92">
        <v>142.6</v>
      </c>
      <c r="N92">
        <v>90.8</v>
      </c>
      <c r="O92">
        <v>128.80000000000001</v>
      </c>
      <c r="P92">
        <v>117.7</v>
      </c>
      <c r="Q92">
        <v>129.9</v>
      </c>
      <c r="S92">
        <v>126.1</v>
      </c>
      <c r="T92">
        <v>131.30000000000001</v>
      </c>
      <c r="V92">
        <v>122.4</v>
      </c>
      <c r="X92">
        <v>117.4</v>
      </c>
      <c r="Z92">
        <v>121.6</v>
      </c>
      <c r="AB92">
        <v>119.6</v>
      </c>
      <c r="AC92">
        <f t="shared" ref="AC92:AC93" si="61">AB92</f>
        <v>119.6</v>
      </c>
      <c r="AE92">
        <v>114.9</v>
      </c>
      <c r="AG92">
        <v>118.7</v>
      </c>
      <c r="AI92">
        <v>114.9</v>
      </c>
      <c r="AJ92">
        <v>110.8</v>
      </c>
      <c r="AL92">
        <v>116</v>
      </c>
      <c r="AN92">
        <v>122</v>
      </c>
      <c r="AP92">
        <v>112.4</v>
      </c>
      <c r="AR92">
        <v>115.2</v>
      </c>
      <c r="AT92">
        <v>120.7</v>
      </c>
    </row>
    <row r="93" spans="1:46" x14ac:dyDescent="0.3">
      <c r="A93" t="s">
        <v>34</v>
      </c>
      <c r="B93">
        <v>2015</v>
      </c>
      <c r="C93" t="s">
        <v>38</v>
      </c>
      <c r="D93">
        <v>123.6</v>
      </c>
      <c r="F93">
        <v>128</v>
      </c>
      <c r="H93">
        <v>115</v>
      </c>
      <c r="I93">
        <v>127.3</v>
      </c>
      <c r="J93">
        <v>109.8</v>
      </c>
      <c r="K93">
        <v>132.6</v>
      </c>
      <c r="L93">
        <v>130.9</v>
      </c>
      <c r="M93">
        <v>130.5</v>
      </c>
      <c r="N93">
        <v>95.3</v>
      </c>
      <c r="O93">
        <v>123.4</v>
      </c>
      <c r="P93">
        <v>119.2</v>
      </c>
      <c r="Q93">
        <v>129.80000000000001</v>
      </c>
      <c r="S93">
        <v>125</v>
      </c>
      <c r="T93">
        <v>127.9</v>
      </c>
      <c r="V93">
        <v>125.4</v>
      </c>
      <c r="X93">
        <v>121.3</v>
      </c>
      <c r="Z93">
        <v>124.7</v>
      </c>
      <c r="AB93">
        <v>119.6</v>
      </c>
      <c r="AC93">
        <f t="shared" si="61"/>
        <v>119.6</v>
      </c>
      <c r="AE93">
        <v>119.2</v>
      </c>
      <c r="AG93">
        <v>120.2</v>
      </c>
      <c r="AI93">
        <v>117.7</v>
      </c>
      <c r="AJ93">
        <v>112</v>
      </c>
      <c r="AL93">
        <v>116.3</v>
      </c>
      <c r="AN93">
        <v>121.4</v>
      </c>
      <c r="AP93">
        <v>112.3</v>
      </c>
      <c r="AR93">
        <v>116.1</v>
      </c>
      <c r="AT93">
        <v>121.6</v>
      </c>
    </row>
    <row r="94" spans="1:46" x14ac:dyDescent="0.3">
      <c r="A94" t="s">
        <v>30</v>
      </c>
      <c r="B94">
        <v>2015</v>
      </c>
      <c r="C94" t="s">
        <v>39</v>
      </c>
      <c r="D94">
        <v>124.1</v>
      </c>
      <c r="F94">
        <v>130.4</v>
      </c>
      <c r="H94">
        <v>122.1</v>
      </c>
      <c r="I94">
        <v>128.69999999999999</v>
      </c>
      <c r="J94">
        <v>114.1</v>
      </c>
      <c r="K94">
        <v>133.19999999999999</v>
      </c>
      <c r="L94">
        <v>135.19999999999999</v>
      </c>
      <c r="M94">
        <v>131.9</v>
      </c>
      <c r="N94">
        <v>96.3</v>
      </c>
      <c r="O94">
        <v>123</v>
      </c>
      <c r="P94">
        <v>121.1</v>
      </c>
      <c r="Q94">
        <v>131.19999999999999</v>
      </c>
      <c r="S94">
        <v>126.6</v>
      </c>
      <c r="T94">
        <v>128.19999999999999</v>
      </c>
      <c r="V94">
        <v>128.4</v>
      </c>
      <c r="X94">
        <v>125.1</v>
      </c>
      <c r="Z94">
        <v>128</v>
      </c>
      <c r="AB94" t="s">
        <v>32</v>
      </c>
      <c r="AC94">
        <f t="shared" ref="AC94" si="62">AB95</f>
        <v>119</v>
      </c>
      <c r="AE94">
        <v>122.6</v>
      </c>
      <c r="AG94">
        <v>122.8</v>
      </c>
      <c r="AI94">
        <v>120.4</v>
      </c>
      <c r="AJ94">
        <v>114.2</v>
      </c>
      <c r="AL94">
        <v>117.9</v>
      </c>
      <c r="AN94">
        <v>122</v>
      </c>
      <c r="AP94">
        <v>113</v>
      </c>
      <c r="AR94">
        <v>117.9</v>
      </c>
      <c r="AT94">
        <v>124.1</v>
      </c>
    </row>
    <row r="95" spans="1:46" x14ac:dyDescent="0.3">
      <c r="A95" t="s">
        <v>33</v>
      </c>
      <c r="B95">
        <v>2015</v>
      </c>
      <c r="C95" t="s">
        <v>39</v>
      </c>
      <c r="D95">
        <v>123.6</v>
      </c>
      <c r="F95">
        <v>134.4</v>
      </c>
      <c r="H95">
        <v>120.9</v>
      </c>
      <c r="I95">
        <v>127.3</v>
      </c>
      <c r="J95">
        <v>106</v>
      </c>
      <c r="K95">
        <v>132.30000000000001</v>
      </c>
      <c r="L95">
        <v>146.69999999999999</v>
      </c>
      <c r="M95">
        <v>148.1</v>
      </c>
      <c r="N95">
        <v>89.8</v>
      </c>
      <c r="O95">
        <v>130.5</v>
      </c>
      <c r="P95">
        <v>118</v>
      </c>
      <c r="Q95">
        <v>130.5</v>
      </c>
      <c r="S95">
        <v>128.5</v>
      </c>
      <c r="T95">
        <v>132.1</v>
      </c>
      <c r="V95">
        <v>123.2</v>
      </c>
      <c r="X95">
        <v>117.6</v>
      </c>
      <c r="Z95">
        <v>122.3</v>
      </c>
      <c r="AB95">
        <v>119</v>
      </c>
      <c r="AC95">
        <f t="shared" ref="AC95:AC96" si="63">AB95</f>
        <v>119</v>
      </c>
      <c r="AE95">
        <v>115.1</v>
      </c>
      <c r="AG95">
        <v>119.2</v>
      </c>
      <c r="AI95">
        <v>115.4</v>
      </c>
      <c r="AJ95">
        <v>111.7</v>
      </c>
      <c r="AL95">
        <v>116.2</v>
      </c>
      <c r="AN95">
        <v>123.8</v>
      </c>
      <c r="AP95">
        <v>112.5</v>
      </c>
      <c r="AR95">
        <v>116</v>
      </c>
      <c r="AT95">
        <v>121.7</v>
      </c>
    </row>
    <row r="96" spans="1:46" x14ac:dyDescent="0.3">
      <c r="A96" t="s">
        <v>34</v>
      </c>
      <c r="B96">
        <v>2015</v>
      </c>
      <c r="C96" t="s">
        <v>39</v>
      </c>
      <c r="D96">
        <v>123.9</v>
      </c>
      <c r="F96">
        <v>131.80000000000001</v>
      </c>
      <c r="H96">
        <v>121.6</v>
      </c>
      <c r="I96">
        <v>128.19999999999999</v>
      </c>
      <c r="J96">
        <v>111.1</v>
      </c>
      <c r="K96">
        <v>132.80000000000001</v>
      </c>
      <c r="L96">
        <v>139.1</v>
      </c>
      <c r="M96">
        <v>137.4</v>
      </c>
      <c r="N96">
        <v>94.1</v>
      </c>
      <c r="O96">
        <v>125.5</v>
      </c>
      <c r="P96">
        <v>119.8</v>
      </c>
      <c r="Q96">
        <v>130.9</v>
      </c>
      <c r="S96">
        <v>127.3</v>
      </c>
      <c r="T96">
        <v>129.19999999999999</v>
      </c>
      <c r="V96">
        <v>126.4</v>
      </c>
      <c r="X96">
        <v>122</v>
      </c>
      <c r="Z96">
        <v>125.7</v>
      </c>
      <c r="AB96">
        <v>119</v>
      </c>
      <c r="AC96">
        <f t="shared" si="63"/>
        <v>119</v>
      </c>
      <c r="AE96">
        <v>119.8</v>
      </c>
      <c r="AG96">
        <v>121.1</v>
      </c>
      <c r="AI96">
        <v>118.5</v>
      </c>
      <c r="AJ96">
        <v>112.9</v>
      </c>
      <c r="AL96">
        <v>116.9</v>
      </c>
      <c r="AN96">
        <v>123.1</v>
      </c>
      <c r="AP96">
        <v>112.8</v>
      </c>
      <c r="AR96">
        <v>117</v>
      </c>
      <c r="AT96">
        <v>123</v>
      </c>
    </row>
    <row r="97" spans="1:46" x14ac:dyDescent="0.3">
      <c r="A97" t="s">
        <v>30</v>
      </c>
      <c r="B97">
        <v>2015</v>
      </c>
      <c r="C97" t="s">
        <v>40</v>
      </c>
      <c r="D97">
        <v>124</v>
      </c>
      <c r="F97">
        <v>131.5</v>
      </c>
      <c r="H97">
        <v>122</v>
      </c>
      <c r="I97">
        <v>128.69999999999999</v>
      </c>
      <c r="J97">
        <v>113.5</v>
      </c>
      <c r="K97">
        <v>133.30000000000001</v>
      </c>
      <c r="L97">
        <v>140.80000000000001</v>
      </c>
      <c r="M97">
        <v>133.80000000000001</v>
      </c>
      <c r="N97">
        <v>94.1</v>
      </c>
      <c r="O97">
        <v>123.4</v>
      </c>
      <c r="P97">
        <v>121</v>
      </c>
      <c r="Q97">
        <v>131.69999999999999</v>
      </c>
      <c r="S97">
        <v>127.5</v>
      </c>
      <c r="T97">
        <v>129.4</v>
      </c>
      <c r="V97">
        <v>128.80000000000001</v>
      </c>
      <c r="X97">
        <v>125.5</v>
      </c>
      <c r="Z97">
        <v>128.30000000000001</v>
      </c>
      <c r="AB97" t="s">
        <v>32</v>
      </c>
      <c r="AC97">
        <f t="shared" ref="AC97" si="64">AB98</f>
        <v>119.9</v>
      </c>
      <c r="AE97">
        <v>123</v>
      </c>
      <c r="AG97">
        <v>123</v>
      </c>
      <c r="AI97">
        <v>120.8</v>
      </c>
      <c r="AJ97">
        <v>114.1</v>
      </c>
      <c r="AL97">
        <v>118</v>
      </c>
      <c r="AN97">
        <v>122.9</v>
      </c>
      <c r="AP97">
        <v>112.7</v>
      </c>
      <c r="AR97">
        <v>118.1</v>
      </c>
      <c r="AT97">
        <v>124.7</v>
      </c>
    </row>
    <row r="98" spans="1:46" x14ac:dyDescent="0.3">
      <c r="A98" t="s">
        <v>33</v>
      </c>
      <c r="B98">
        <v>2015</v>
      </c>
      <c r="C98" t="s">
        <v>40</v>
      </c>
      <c r="D98">
        <v>123.2</v>
      </c>
      <c r="F98">
        <v>134.30000000000001</v>
      </c>
      <c r="H98">
        <v>119.5</v>
      </c>
      <c r="I98">
        <v>127.7</v>
      </c>
      <c r="J98">
        <v>106.3</v>
      </c>
      <c r="K98">
        <v>132.80000000000001</v>
      </c>
      <c r="L98">
        <v>153.5</v>
      </c>
      <c r="M98">
        <v>149.5</v>
      </c>
      <c r="N98">
        <v>85.7</v>
      </c>
      <c r="O98">
        <v>131.5</v>
      </c>
      <c r="P98">
        <v>118.3</v>
      </c>
      <c r="Q98">
        <v>131.1</v>
      </c>
      <c r="S98">
        <v>129.5</v>
      </c>
      <c r="T98">
        <v>133.1</v>
      </c>
      <c r="V98">
        <v>123.5</v>
      </c>
      <c r="X98">
        <v>117.9</v>
      </c>
      <c r="Z98">
        <v>122.7</v>
      </c>
      <c r="AB98">
        <v>119.9</v>
      </c>
      <c r="AC98">
        <f t="shared" ref="AC98:AC99" si="65">AB98</f>
        <v>119.9</v>
      </c>
      <c r="AE98">
        <v>115.3</v>
      </c>
      <c r="AG98">
        <v>119.5</v>
      </c>
      <c r="AI98">
        <v>116</v>
      </c>
      <c r="AJ98">
        <v>111.5</v>
      </c>
      <c r="AL98">
        <v>116.6</v>
      </c>
      <c r="AN98">
        <v>125.4</v>
      </c>
      <c r="AP98">
        <v>111.7</v>
      </c>
      <c r="AR98">
        <v>116.3</v>
      </c>
      <c r="AT98">
        <v>122.4</v>
      </c>
    </row>
    <row r="99" spans="1:46" x14ac:dyDescent="0.3">
      <c r="A99" t="s">
        <v>34</v>
      </c>
      <c r="B99">
        <v>2015</v>
      </c>
      <c r="C99" t="s">
        <v>40</v>
      </c>
      <c r="D99">
        <v>123.7</v>
      </c>
      <c r="F99">
        <v>132.5</v>
      </c>
      <c r="H99">
        <v>121</v>
      </c>
      <c r="I99">
        <v>128.30000000000001</v>
      </c>
      <c r="J99">
        <v>110.9</v>
      </c>
      <c r="K99">
        <v>133.1</v>
      </c>
      <c r="L99">
        <v>145.1</v>
      </c>
      <c r="M99">
        <v>139.1</v>
      </c>
      <c r="N99">
        <v>91.3</v>
      </c>
      <c r="O99">
        <v>126.1</v>
      </c>
      <c r="P99">
        <v>119.9</v>
      </c>
      <c r="Q99">
        <v>131.4</v>
      </c>
      <c r="S99">
        <v>128.19999999999999</v>
      </c>
      <c r="T99">
        <v>130.4</v>
      </c>
      <c r="V99">
        <v>126.7</v>
      </c>
      <c r="X99">
        <v>122.3</v>
      </c>
      <c r="Z99">
        <v>126.1</v>
      </c>
      <c r="AB99">
        <v>119.9</v>
      </c>
      <c r="AC99">
        <f t="shared" si="65"/>
        <v>119.9</v>
      </c>
      <c r="AE99">
        <v>120.1</v>
      </c>
      <c r="AG99">
        <v>121.3</v>
      </c>
      <c r="AI99">
        <v>119</v>
      </c>
      <c r="AJ99">
        <v>112.7</v>
      </c>
      <c r="AL99">
        <v>117.2</v>
      </c>
      <c r="AN99">
        <v>124.4</v>
      </c>
      <c r="AP99">
        <v>112.3</v>
      </c>
      <c r="AR99">
        <v>117.2</v>
      </c>
      <c r="AT99">
        <v>123.6</v>
      </c>
    </row>
    <row r="100" spans="1:46" x14ac:dyDescent="0.3">
      <c r="A100" t="s">
        <v>30</v>
      </c>
      <c r="B100">
        <v>2015</v>
      </c>
      <c r="C100" t="s">
        <v>41</v>
      </c>
      <c r="D100">
        <v>124.7</v>
      </c>
      <c r="F100">
        <v>131.30000000000001</v>
      </c>
      <c r="H100">
        <v>121.3</v>
      </c>
      <c r="I100">
        <v>128.80000000000001</v>
      </c>
      <c r="J100">
        <v>114</v>
      </c>
      <c r="K100">
        <v>134.19999999999999</v>
      </c>
      <c r="L100">
        <v>153.6</v>
      </c>
      <c r="M100">
        <v>137.9</v>
      </c>
      <c r="N100">
        <v>93.1</v>
      </c>
      <c r="O100">
        <v>123.9</v>
      </c>
      <c r="P100">
        <v>121.5</v>
      </c>
      <c r="Q100">
        <v>132.5</v>
      </c>
      <c r="S100">
        <v>129.80000000000001</v>
      </c>
      <c r="T100">
        <v>130.1</v>
      </c>
      <c r="V100">
        <v>129.5</v>
      </c>
      <c r="X100">
        <v>126.3</v>
      </c>
      <c r="Z100">
        <v>129</v>
      </c>
      <c r="AB100" t="s">
        <v>32</v>
      </c>
      <c r="AC100">
        <f t="shared" ref="AC100" si="66">AB101</f>
        <v>120.9</v>
      </c>
      <c r="AE100">
        <v>123.8</v>
      </c>
      <c r="AG100">
        <v>123.7</v>
      </c>
      <c r="AI100">
        <v>121.1</v>
      </c>
      <c r="AJ100">
        <v>113.6</v>
      </c>
      <c r="AL100">
        <v>118.5</v>
      </c>
      <c r="AN100">
        <v>123.6</v>
      </c>
      <c r="AP100">
        <v>112.5</v>
      </c>
      <c r="AR100">
        <v>118.2</v>
      </c>
      <c r="AT100">
        <v>126.1</v>
      </c>
    </row>
    <row r="101" spans="1:46" x14ac:dyDescent="0.3">
      <c r="A101" t="s">
        <v>33</v>
      </c>
      <c r="B101">
        <v>2015</v>
      </c>
      <c r="C101" t="s">
        <v>41</v>
      </c>
      <c r="D101">
        <v>123.1</v>
      </c>
      <c r="F101">
        <v>131.69999999999999</v>
      </c>
      <c r="H101">
        <v>118.1</v>
      </c>
      <c r="I101">
        <v>128</v>
      </c>
      <c r="J101">
        <v>106.8</v>
      </c>
      <c r="K101">
        <v>130.1</v>
      </c>
      <c r="L101">
        <v>165.5</v>
      </c>
      <c r="M101">
        <v>156</v>
      </c>
      <c r="N101">
        <v>85.3</v>
      </c>
      <c r="O101">
        <v>132.69999999999999</v>
      </c>
      <c r="P101">
        <v>118.8</v>
      </c>
      <c r="Q101">
        <v>131.69999999999999</v>
      </c>
      <c r="S101">
        <v>131.1</v>
      </c>
      <c r="T101">
        <v>134.19999999999999</v>
      </c>
      <c r="V101">
        <v>123.7</v>
      </c>
      <c r="X101">
        <v>118.2</v>
      </c>
      <c r="Z101">
        <v>122.9</v>
      </c>
      <c r="AB101">
        <v>120.9</v>
      </c>
      <c r="AC101">
        <f t="shared" ref="AC101:AC102" si="67">AB101</f>
        <v>120.9</v>
      </c>
      <c r="AE101">
        <v>115.3</v>
      </c>
      <c r="AG101">
        <v>120</v>
      </c>
      <c r="AI101">
        <v>116.6</v>
      </c>
      <c r="AJ101">
        <v>109.9</v>
      </c>
      <c r="AL101">
        <v>117.2</v>
      </c>
      <c r="AN101">
        <v>126.2</v>
      </c>
      <c r="AP101">
        <v>112</v>
      </c>
      <c r="AR101">
        <v>116.2</v>
      </c>
      <c r="AT101">
        <v>123.2</v>
      </c>
    </row>
    <row r="102" spans="1:46" x14ac:dyDescent="0.3">
      <c r="A102" t="s">
        <v>34</v>
      </c>
      <c r="B102">
        <v>2015</v>
      </c>
      <c r="C102" t="s">
        <v>41</v>
      </c>
      <c r="D102">
        <v>124.2</v>
      </c>
      <c r="F102">
        <v>131.4</v>
      </c>
      <c r="H102">
        <v>120.1</v>
      </c>
      <c r="I102">
        <v>128.5</v>
      </c>
      <c r="J102">
        <v>111.4</v>
      </c>
      <c r="K102">
        <v>132.30000000000001</v>
      </c>
      <c r="L102">
        <v>157.6</v>
      </c>
      <c r="M102">
        <v>144</v>
      </c>
      <c r="N102">
        <v>90.5</v>
      </c>
      <c r="O102">
        <v>126.8</v>
      </c>
      <c r="P102">
        <v>120.4</v>
      </c>
      <c r="Q102">
        <v>132.1</v>
      </c>
      <c r="S102">
        <v>130.30000000000001</v>
      </c>
      <c r="T102">
        <v>131.19999999999999</v>
      </c>
      <c r="V102">
        <v>127.2</v>
      </c>
      <c r="X102">
        <v>122.9</v>
      </c>
      <c r="Z102">
        <v>126.6</v>
      </c>
      <c r="AB102">
        <v>120.9</v>
      </c>
      <c r="AC102">
        <f t="shared" si="67"/>
        <v>120.9</v>
      </c>
      <c r="AE102">
        <v>120.6</v>
      </c>
      <c r="AG102">
        <v>122</v>
      </c>
      <c r="AI102">
        <v>119.4</v>
      </c>
      <c r="AJ102">
        <v>111.7</v>
      </c>
      <c r="AL102">
        <v>117.8</v>
      </c>
      <c r="AN102">
        <v>125.1</v>
      </c>
      <c r="AP102">
        <v>112.3</v>
      </c>
      <c r="AR102">
        <v>117.2</v>
      </c>
      <c r="AT102">
        <v>124.8</v>
      </c>
    </row>
    <row r="103" spans="1:46" x14ac:dyDescent="0.3">
      <c r="A103" t="s">
        <v>30</v>
      </c>
      <c r="B103">
        <v>2015</v>
      </c>
      <c r="C103" t="s">
        <v>42</v>
      </c>
      <c r="D103">
        <v>125.1</v>
      </c>
      <c r="F103">
        <v>131.1</v>
      </c>
      <c r="H103">
        <v>120.7</v>
      </c>
      <c r="I103">
        <v>129.19999999999999</v>
      </c>
      <c r="J103">
        <v>114.7</v>
      </c>
      <c r="K103">
        <v>132.30000000000001</v>
      </c>
      <c r="L103">
        <v>158.9</v>
      </c>
      <c r="M103">
        <v>142.1</v>
      </c>
      <c r="N103">
        <v>92.5</v>
      </c>
      <c r="O103">
        <v>125.4</v>
      </c>
      <c r="P103">
        <v>121.9</v>
      </c>
      <c r="Q103">
        <v>132.69999999999999</v>
      </c>
      <c r="S103">
        <v>131</v>
      </c>
      <c r="T103">
        <v>131</v>
      </c>
      <c r="V103">
        <v>130.4</v>
      </c>
      <c r="X103">
        <v>126.8</v>
      </c>
      <c r="Z103">
        <v>129.9</v>
      </c>
      <c r="AB103" t="s">
        <v>32</v>
      </c>
      <c r="AC103">
        <f t="shared" ref="AC103" si="68">AB104</f>
        <v>121.6</v>
      </c>
      <c r="AE103">
        <v>123.7</v>
      </c>
      <c r="AG103">
        <v>124.5</v>
      </c>
      <c r="AI103">
        <v>121.4</v>
      </c>
      <c r="AJ103">
        <v>113.8</v>
      </c>
      <c r="AL103">
        <v>119.6</v>
      </c>
      <c r="AN103">
        <v>124.5</v>
      </c>
      <c r="AP103">
        <v>113.7</v>
      </c>
      <c r="AR103">
        <v>118.8</v>
      </c>
      <c r="AT103">
        <v>127</v>
      </c>
    </row>
    <row r="104" spans="1:46" x14ac:dyDescent="0.3">
      <c r="A104" t="s">
        <v>33</v>
      </c>
      <c r="B104">
        <v>2015</v>
      </c>
      <c r="C104" t="s">
        <v>42</v>
      </c>
      <c r="D104">
        <v>123.4</v>
      </c>
      <c r="F104">
        <v>129</v>
      </c>
      <c r="H104">
        <v>115.6</v>
      </c>
      <c r="I104">
        <v>128.30000000000001</v>
      </c>
      <c r="J104">
        <v>107</v>
      </c>
      <c r="K104">
        <v>124</v>
      </c>
      <c r="L104">
        <v>168.5</v>
      </c>
      <c r="M104">
        <v>165.4</v>
      </c>
      <c r="N104">
        <v>86.3</v>
      </c>
      <c r="O104">
        <v>134.4</v>
      </c>
      <c r="P104">
        <v>119.1</v>
      </c>
      <c r="Q104">
        <v>132.30000000000001</v>
      </c>
      <c r="S104">
        <v>131.5</v>
      </c>
      <c r="T104">
        <v>134.69999999999999</v>
      </c>
      <c r="V104">
        <v>124</v>
      </c>
      <c r="X104">
        <v>118.6</v>
      </c>
      <c r="Z104">
        <v>123.2</v>
      </c>
      <c r="AB104">
        <v>121.6</v>
      </c>
      <c r="AC104">
        <f t="shared" ref="AC104:AC105" si="69">AB104</f>
        <v>121.6</v>
      </c>
      <c r="AE104">
        <v>115.1</v>
      </c>
      <c r="AG104">
        <v>120.4</v>
      </c>
      <c r="AI104">
        <v>117.1</v>
      </c>
      <c r="AJ104">
        <v>109.1</v>
      </c>
      <c r="AL104">
        <v>117.3</v>
      </c>
      <c r="AN104">
        <v>126.5</v>
      </c>
      <c r="AP104">
        <v>112.9</v>
      </c>
      <c r="AR104">
        <v>116.2</v>
      </c>
      <c r="AT104">
        <v>123.5</v>
      </c>
    </row>
    <row r="105" spans="1:46" x14ac:dyDescent="0.3">
      <c r="A105" t="s">
        <v>34</v>
      </c>
      <c r="B105">
        <v>2015</v>
      </c>
      <c r="C105" t="s">
        <v>42</v>
      </c>
      <c r="D105">
        <v>124.6</v>
      </c>
      <c r="F105">
        <v>130.4</v>
      </c>
      <c r="H105">
        <v>118.7</v>
      </c>
      <c r="I105">
        <v>128.9</v>
      </c>
      <c r="J105">
        <v>111.9</v>
      </c>
      <c r="K105">
        <v>128.4</v>
      </c>
      <c r="L105">
        <v>162.19999999999999</v>
      </c>
      <c r="M105">
        <v>150</v>
      </c>
      <c r="N105">
        <v>90.4</v>
      </c>
      <c r="O105">
        <v>128.4</v>
      </c>
      <c r="P105">
        <v>120.7</v>
      </c>
      <c r="Q105">
        <v>132.5</v>
      </c>
      <c r="S105">
        <v>131.19999999999999</v>
      </c>
      <c r="T105">
        <v>132</v>
      </c>
      <c r="V105">
        <v>127.9</v>
      </c>
      <c r="X105">
        <v>123.4</v>
      </c>
      <c r="Z105">
        <v>127.2</v>
      </c>
      <c r="AB105">
        <v>121.6</v>
      </c>
      <c r="AC105">
        <f t="shared" si="69"/>
        <v>121.6</v>
      </c>
      <c r="AE105">
        <v>120.4</v>
      </c>
      <c r="AG105">
        <v>122.6</v>
      </c>
      <c r="AI105">
        <v>119.8</v>
      </c>
      <c r="AJ105">
        <v>111.3</v>
      </c>
      <c r="AL105">
        <v>118.3</v>
      </c>
      <c r="AN105">
        <v>125.7</v>
      </c>
      <c r="AP105">
        <v>113.4</v>
      </c>
      <c r="AR105">
        <v>117.5</v>
      </c>
      <c r="AT105">
        <v>125.4</v>
      </c>
    </row>
    <row r="106" spans="1:46" x14ac:dyDescent="0.3">
      <c r="A106" t="s">
        <v>30</v>
      </c>
      <c r="B106">
        <v>2015</v>
      </c>
      <c r="C106" t="s">
        <v>43</v>
      </c>
      <c r="D106">
        <v>125.6</v>
      </c>
      <c r="F106">
        <v>130.4</v>
      </c>
      <c r="H106">
        <v>120.8</v>
      </c>
      <c r="I106">
        <v>129.4</v>
      </c>
      <c r="J106">
        <v>115.8</v>
      </c>
      <c r="K106">
        <v>133.19999999999999</v>
      </c>
      <c r="L106">
        <v>157.69999999999999</v>
      </c>
      <c r="M106">
        <v>154.19999999999999</v>
      </c>
      <c r="N106">
        <v>93.7</v>
      </c>
      <c r="O106">
        <v>126.6</v>
      </c>
      <c r="P106">
        <v>122.3</v>
      </c>
      <c r="Q106">
        <v>133.1</v>
      </c>
      <c r="S106">
        <v>131.80000000000001</v>
      </c>
      <c r="T106">
        <v>131.5</v>
      </c>
      <c r="V106">
        <v>131.1</v>
      </c>
      <c r="X106">
        <v>127.3</v>
      </c>
      <c r="Z106">
        <v>130.6</v>
      </c>
      <c r="AB106" t="s">
        <v>32</v>
      </c>
      <c r="AC106">
        <f t="shared" ref="AC106" si="70">AB107</f>
        <v>122.4</v>
      </c>
      <c r="AE106">
        <v>124.4</v>
      </c>
      <c r="AG106">
        <v>125.1</v>
      </c>
      <c r="AI106">
        <v>122</v>
      </c>
      <c r="AJ106">
        <v>113.8</v>
      </c>
      <c r="AL106">
        <v>120.1</v>
      </c>
      <c r="AN106">
        <v>125.1</v>
      </c>
      <c r="AP106">
        <v>114.2</v>
      </c>
      <c r="AR106">
        <v>119.2</v>
      </c>
      <c r="AT106">
        <v>127.7</v>
      </c>
    </row>
    <row r="107" spans="1:46" x14ac:dyDescent="0.3">
      <c r="A107" t="s">
        <v>33</v>
      </c>
      <c r="B107">
        <v>2015</v>
      </c>
      <c r="C107" t="s">
        <v>43</v>
      </c>
      <c r="D107">
        <v>123.6</v>
      </c>
      <c r="F107">
        <v>128.6</v>
      </c>
      <c r="H107">
        <v>115.9</v>
      </c>
      <c r="I107">
        <v>128.5</v>
      </c>
      <c r="J107">
        <v>109</v>
      </c>
      <c r="K107">
        <v>124.1</v>
      </c>
      <c r="L107">
        <v>165.8</v>
      </c>
      <c r="M107">
        <v>187.2</v>
      </c>
      <c r="N107">
        <v>89.4</v>
      </c>
      <c r="O107">
        <v>135.80000000000001</v>
      </c>
      <c r="P107">
        <v>119.4</v>
      </c>
      <c r="Q107">
        <v>132.9</v>
      </c>
      <c r="S107">
        <v>132.6</v>
      </c>
      <c r="T107">
        <v>135.30000000000001</v>
      </c>
      <c r="V107">
        <v>124.4</v>
      </c>
      <c r="X107">
        <v>118.8</v>
      </c>
      <c r="Z107">
        <v>123.6</v>
      </c>
      <c r="AB107">
        <v>122.4</v>
      </c>
      <c r="AC107">
        <f t="shared" ref="AC107:AC108" si="71">AB107</f>
        <v>122.4</v>
      </c>
      <c r="AE107">
        <v>114.9</v>
      </c>
      <c r="AG107">
        <v>120.7</v>
      </c>
      <c r="AI107">
        <v>117.7</v>
      </c>
      <c r="AJ107">
        <v>109.3</v>
      </c>
      <c r="AL107">
        <v>117.7</v>
      </c>
      <c r="AN107">
        <v>126.5</v>
      </c>
      <c r="AP107">
        <v>113.5</v>
      </c>
      <c r="AR107">
        <v>116.5</v>
      </c>
      <c r="AT107">
        <v>124.2</v>
      </c>
    </row>
    <row r="108" spans="1:46" x14ac:dyDescent="0.3">
      <c r="A108" t="s">
        <v>34</v>
      </c>
      <c r="B108">
        <v>2015</v>
      </c>
      <c r="C108" t="s">
        <v>43</v>
      </c>
      <c r="D108">
        <v>125</v>
      </c>
      <c r="F108">
        <v>129.80000000000001</v>
      </c>
      <c r="H108">
        <v>118.9</v>
      </c>
      <c r="I108">
        <v>129.1</v>
      </c>
      <c r="J108">
        <v>113.3</v>
      </c>
      <c r="K108">
        <v>129</v>
      </c>
      <c r="L108">
        <v>160.4</v>
      </c>
      <c r="M108">
        <v>165.3</v>
      </c>
      <c r="N108">
        <v>92.3</v>
      </c>
      <c r="O108">
        <v>129.69999999999999</v>
      </c>
      <c r="P108">
        <v>121.1</v>
      </c>
      <c r="Q108">
        <v>133</v>
      </c>
      <c r="S108">
        <v>132.1</v>
      </c>
      <c r="T108">
        <v>132.5</v>
      </c>
      <c r="V108">
        <v>128.5</v>
      </c>
      <c r="X108">
        <v>123.8</v>
      </c>
      <c r="Z108">
        <v>127.8</v>
      </c>
      <c r="AB108">
        <v>122.4</v>
      </c>
      <c r="AC108">
        <f t="shared" si="71"/>
        <v>122.4</v>
      </c>
      <c r="AE108">
        <v>120.8</v>
      </c>
      <c r="AG108">
        <v>123</v>
      </c>
      <c r="AI108">
        <v>120.4</v>
      </c>
      <c r="AJ108">
        <v>111.4</v>
      </c>
      <c r="AL108">
        <v>118.7</v>
      </c>
      <c r="AN108">
        <v>125.9</v>
      </c>
      <c r="AP108">
        <v>113.9</v>
      </c>
      <c r="AR108">
        <v>117.9</v>
      </c>
      <c r="AT108">
        <v>126.1</v>
      </c>
    </row>
    <row r="109" spans="1:46" x14ac:dyDescent="0.3">
      <c r="A109" t="s">
        <v>30</v>
      </c>
      <c r="B109">
        <v>2015</v>
      </c>
      <c r="C109" t="s">
        <v>45</v>
      </c>
      <c r="D109">
        <v>126.1</v>
      </c>
      <c r="F109">
        <v>130.6</v>
      </c>
      <c r="H109">
        <v>121.7</v>
      </c>
      <c r="I109">
        <v>129.5</v>
      </c>
      <c r="J109">
        <v>117.8</v>
      </c>
      <c r="K109">
        <v>132.1</v>
      </c>
      <c r="L109">
        <v>155.19999999999999</v>
      </c>
      <c r="M109">
        <v>160.80000000000001</v>
      </c>
      <c r="N109">
        <v>94.5</v>
      </c>
      <c r="O109">
        <v>128.30000000000001</v>
      </c>
      <c r="P109">
        <v>123.1</v>
      </c>
      <c r="Q109">
        <v>134.19999999999999</v>
      </c>
      <c r="S109">
        <v>132.4</v>
      </c>
      <c r="T109">
        <v>132.19999999999999</v>
      </c>
      <c r="V109">
        <v>132.1</v>
      </c>
      <c r="X109">
        <v>128.19999999999999</v>
      </c>
      <c r="Z109">
        <v>131.5</v>
      </c>
      <c r="AB109" t="s">
        <v>32</v>
      </c>
      <c r="AC109">
        <f t="shared" ref="AC109" si="72">AB110</f>
        <v>122.9</v>
      </c>
      <c r="AE109">
        <v>125.6</v>
      </c>
      <c r="AG109">
        <v>125.6</v>
      </c>
      <c r="AI109">
        <v>122.6</v>
      </c>
      <c r="AJ109">
        <v>114</v>
      </c>
      <c r="AL109">
        <v>120.9</v>
      </c>
      <c r="AN109">
        <v>125.8</v>
      </c>
      <c r="AP109">
        <v>114.2</v>
      </c>
      <c r="AR109">
        <v>119.6</v>
      </c>
      <c r="AT109">
        <v>128.30000000000001</v>
      </c>
    </row>
    <row r="110" spans="1:46" x14ac:dyDescent="0.3">
      <c r="A110" t="s">
        <v>33</v>
      </c>
      <c r="B110">
        <v>2015</v>
      </c>
      <c r="C110" t="s">
        <v>45</v>
      </c>
      <c r="D110">
        <v>124</v>
      </c>
      <c r="F110">
        <v>129.80000000000001</v>
      </c>
      <c r="H110">
        <v>121.5</v>
      </c>
      <c r="I110">
        <v>128.6</v>
      </c>
      <c r="J110">
        <v>110</v>
      </c>
      <c r="K110">
        <v>123.7</v>
      </c>
      <c r="L110">
        <v>164.6</v>
      </c>
      <c r="M110">
        <v>191.6</v>
      </c>
      <c r="N110">
        <v>90.8</v>
      </c>
      <c r="O110">
        <v>137.1</v>
      </c>
      <c r="P110">
        <v>119.8</v>
      </c>
      <c r="Q110">
        <v>133.69999999999999</v>
      </c>
      <c r="S110">
        <v>133.30000000000001</v>
      </c>
      <c r="T110">
        <v>137.6</v>
      </c>
      <c r="V110">
        <v>125</v>
      </c>
      <c r="X110">
        <v>119.3</v>
      </c>
      <c r="Z110">
        <v>124.2</v>
      </c>
      <c r="AB110">
        <v>122.9</v>
      </c>
      <c r="AC110">
        <f t="shared" ref="AC110:AC111" si="73">AB110</f>
        <v>122.9</v>
      </c>
      <c r="AE110">
        <v>115.1</v>
      </c>
      <c r="AG110">
        <v>121</v>
      </c>
      <c r="AI110">
        <v>118.1</v>
      </c>
      <c r="AJ110">
        <v>109.3</v>
      </c>
      <c r="AL110">
        <v>117.9</v>
      </c>
      <c r="AN110">
        <v>126.6</v>
      </c>
      <c r="AP110">
        <v>113.3</v>
      </c>
      <c r="AR110">
        <v>116.6</v>
      </c>
      <c r="AT110">
        <v>124.6</v>
      </c>
    </row>
    <row r="111" spans="1:46" x14ac:dyDescent="0.3">
      <c r="A111" t="s">
        <v>34</v>
      </c>
      <c r="B111">
        <v>2015</v>
      </c>
      <c r="C111" t="s">
        <v>45</v>
      </c>
      <c r="D111">
        <v>125.4</v>
      </c>
      <c r="F111">
        <v>130.30000000000001</v>
      </c>
      <c r="H111">
        <v>121.6</v>
      </c>
      <c r="I111">
        <v>129.19999999999999</v>
      </c>
      <c r="J111">
        <v>114.9</v>
      </c>
      <c r="K111">
        <v>128.19999999999999</v>
      </c>
      <c r="L111">
        <v>158.4</v>
      </c>
      <c r="M111">
        <v>171.2</v>
      </c>
      <c r="N111">
        <v>93.3</v>
      </c>
      <c r="O111">
        <v>131.19999999999999</v>
      </c>
      <c r="P111">
        <v>121.7</v>
      </c>
      <c r="Q111">
        <v>134</v>
      </c>
      <c r="S111">
        <v>132.69999999999999</v>
      </c>
      <c r="T111">
        <v>133.6</v>
      </c>
      <c r="V111">
        <v>129.30000000000001</v>
      </c>
      <c r="X111">
        <v>124.5</v>
      </c>
      <c r="Z111">
        <v>128.6</v>
      </c>
      <c r="AB111">
        <v>122.9</v>
      </c>
      <c r="AC111">
        <f t="shared" si="73"/>
        <v>122.9</v>
      </c>
      <c r="AE111">
        <v>121.6</v>
      </c>
      <c r="AG111">
        <v>123.4</v>
      </c>
      <c r="AI111">
        <v>120.9</v>
      </c>
      <c r="AJ111">
        <v>111.5</v>
      </c>
      <c r="AL111">
        <v>119.2</v>
      </c>
      <c r="AN111">
        <v>126.3</v>
      </c>
      <c r="AP111">
        <v>113.8</v>
      </c>
      <c r="AR111">
        <v>118.1</v>
      </c>
      <c r="AT111">
        <v>126.6</v>
      </c>
    </row>
    <row r="112" spans="1:46" x14ac:dyDescent="0.3">
      <c r="A112" t="s">
        <v>30</v>
      </c>
      <c r="B112">
        <v>2015</v>
      </c>
      <c r="C112" t="s">
        <v>46</v>
      </c>
      <c r="D112">
        <v>126.3</v>
      </c>
      <c r="F112">
        <v>131.30000000000001</v>
      </c>
      <c r="H112">
        <v>123.3</v>
      </c>
      <c r="I112">
        <v>129.80000000000001</v>
      </c>
      <c r="J112">
        <v>118.3</v>
      </c>
      <c r="K112">
        <v>131.6</v>
      </c>
      <c r="L112">
        <v>145.5</v>
      </c>
      <c r="M112">
        <v>162.1</v>
      </c>
      <c r="N112">
        <v>95.4</v>
      </c>
      <c r="O112">
        <v>128.9</v>
      </c>
      <c r="P112">
        <v>123.3</v>
      </c>
      <c r="Q112">
        <v>135.1</v>
      </c>
      <c r="S112">
        <v>131.4</v>
      </c>
      <c r="T112">
        <v>133.1</v>
      </c>
      <c r="V112">
        <v>132.5</v>
      </c>
      <c r="X112">
        <v>128.5</v>
      </c>
      <c r="Z112">
        <v>131.9</v>
      </c>
      <c r="AB112" t="s">
        <v>32</v>
      </c>
      <c r="AC112">
        <f t="shared" ref="AC112" si="74">AB113</f>
        <v>122.4</v>
      </c>
      <c r="AE112">
        <v>125.7</v>
      </c>
      <c r="AG112">
        <v>126</v>
      </c>
      <c r="AI112">
        <v>123.1</v>
      </c>
      <c r="AJ112">
        <v>114</v>
      </c>
      <c r="AL112">
        <v>121.6</v>
      </c>
      <c r="AN112">
        <v>125.6</v>
      </c>
      <c r="AP112">
        <v>114.1</v>
      </c>
      <c r="AR112">
        <v>119.8</v>
      </c>
      <c r="AT112">
        <v>127.9</v>
      </c>
    </row>
    <row r="113" spans="1:46" x14ac:dyDescent="0.3">
      <c r="A113" t="s">
        <v>33</v>
      </c>
      <c r="B113">
        <v>2015</v>
      </c>
      <c r="C113" t="s">
        <v>46</v>
      </c>
      <c r="D113">
        <v>124.3</v>
      </c>
      <c r="F113">
        <v>131.69999999999999</v>
      </c>
      <c r="H113">
        <v>127.1</v>
      </c>
      <c r="I113">
        <v>128.6</v>
      </c>
      <c r="J113">
        <v>110</v>
      </c>
      <c r="K113">
        <v>120.8</v>
      </c>
      <c r="L113">
        <v>149</v>
      </c>
      <c r="M113">
        <v>190.1</v>
      </c>
      <c r="N113">
        <v>92.7</v>
      </c>
      <c r="O113">
        <v>138.6</v>
      </c>
      <c r="P113">
        <v>120.2</v>
      </c>
      <c r="Q113">
        <v>134.19999999999999</v>
      </c>
      <c r="S113">
        <v>131.5</v>
      </c>
      <c r="T113">
        <v>138.19999999999999</v>
      </c>
      <c r="V113">
        <v>125.4</v>
      </c>
      <c r="X113">
        <v>119.5</v>
      </c>
      <c r="Z113">
        <v>124.5</v>
      </c>
      <c r="AB113">
        <v>122.4</v>
      </c>
      <c r="AC113">
        <f t="shared" ref="AC113:AC114" si="75">AB113</f>
        <v>122.4</v>
      </c>
      <c r="AE113">
        <v>116</v>
      </c>
      <c r="AG113">
        <v>121</v>
      </c>
      <c r="AI113">
        <v>118.6</v>
      </c>
      <c r="AJ113">
        <v>109.3</v>
      </c>
      <c r="AL113">
        <v>118.1</v>
      </c>
      <c r="AN113">
        <v>126.6</v>
      </c>
      <c r="AP113">
        <v>113.2</v>
      </c>
      <c r="AR113">
        <v>116.7</v>
      </c>
      <c r="AT113">
        <v>124</v>
      </c>
    </row>
    <row r="114" spans="1:46" x14ac:dyDescent="0.3">
      <c r="A114" t="s">
        <v>34</v>
      </c>
      <c r="B114">
        <v>2015</v>
      </c>
      <c r="C114" t="s">
        <v>46</v>
      </c>
      <c r="D114">
        <v>125.7</v>
      </c>
      <c r="F114">
        <v>131.4</v>
      </c>
      <c r="H114">
        <v>124.8</v>
      </c>
      <c r="I114">
        <v>129.4</v>
      </c>
      <c r="J114">
        <v>115.3</v>
      </c>
      <c r="K114">
        <v>126.6</v>
      </c>
      <c r="L114">
        <v>146.69999999999999</v>
      </c>
      <c r="M114">
        <v>171.5</v>
      </c>
      <c r="N114">
        <v>94.5</v>
      </c>
      <c r="O114">
        <v>132.1</v>
      </c>
      <c r="P114">
        <v>122</v>
      </c>
      <c r="Q114">
        <v>134.69999999999999</v>
      </c>
      <c r="S114">
        <v>131.4</v>
      </c>
      <c r="T114">
        <v>134.5</v>
      </c>
      <c r="V114">
        <v>129.69999999999999</v>
      </c>
      <c r="X114">
        <v>124.8</v>
      </c>
      <c r="Z114">
        <v>129</v>
      </c>
      <c r="AB114">
        <v>122.4</v>
      </c>
      <c r="AC114">
        <f t="shared" si="75"/>
        <v>122.4</v>
      </c>
      <c r="AE114">
        <v>122</v>
      </c>
      <c r="AG114">
        <v>123.6</v>
      </c>
      <c r="AI114">
        <v>121.4</v>
      </c>
      <c r="AJ114">
        <v>111.5</v>
      </c>
      <c r="AL114">
        <v>119.6</v>
      </c>
      <c r="AN114">
        <v>126.2</v>
      </c>
      <c r="AP114">
        <v>113.7</v>
      </c>
      <c r="AR114">
        <v>118.3</v>
      </c>
      <c r="AT114">
        <v>126.1</v>
      </c>
    </row>
    <row r="115" spans="1:46" x14ac:dyDescent="0.3">
      <c r="A115" t="s">
        <v>30</v>
      </c>
      <c r="B115">
        <v>2016</v>
      </c>
      <c r="C115" t="s">
        <v>31</v>
      </c>
      <c r="D115">
        <v>126.8</v>
      </c>
      <c r="F115">
        <v>133.19999999999999</v>
      </c>
      <c r="H115">
        <v>126.5</v>
      </c>
      <c r="I115">
        <v>130.30000000000001</v>
      </c>
      <c r="J115">
        <v>118.9</v>
      </c>
      <c r="K115">
        <v>131.6</v>
      </c>
      <c r="L115">
        <v>140.1</v>
      </c>
      <c r="M115">
        <v>163.80000000000001</v>
      </c>
      <c r="N115">
        <v>97.7</v>
      </c>
      <c r="O115">
        <v>129.6</v>
      </c>
      <c r="P115">
        <v>124.3</v>
      </c>
      <c r="Q115">
        <v>135.9</v>
      </c>
      <c r="S115">
        <v>131.4</v>
      </c>
      <c r="T115">
        <v>133.6</v>
      </c>
      <c r="V115">
        <v>133.19999999999999</v>
      </c>
      <c r="X115">
        <v>128.9</v>
      </c>
      <c r="Z115">
        <v>132.6</v>
      </c>
      <c r="AB115" t="s">
        <v>32</v>
      </c>
      <c r="AC115">
        <f t="shared" ref="AC115" si="76">AB116</f>
        <v>123.4</v>
      </c>
      <c r="AE115">
        <v>126.2</v>
      </c>
      <c r="AG115">
        <v>126.6</v>
      </c>
      <c r="AI115">
        <v>123.7</v>
      </c>
      <c r="AJ115">
        <v>113.6</v>
      </c>
      <c r="AL115">
        <v>121.4</v>
      </c>
      <c r="AN115">
        <v>126.2</v>
      </c>
      <c r="AP115">
        <v>114.9</v>
      </c>
      <c r="AR115">
        <v>120.1</v>
      </c>
      <c r="AT115">
        <v>128.1</v>
      </c>
    </row>
    <row r="116" spans="1:46" x14ac:dyDescent="0.3">
      <c r="A116" t="s">
        <v>33</v>
      </c>
      <c r="B116">
        <v>2016</v>
      </c>
      <c r="C116" t="s">
        <v>31</v>
      </c>
      <c r="D116">
        <v>124.7</v>
      </c>
      <c r="F116">
        <v>135.9</v>
      </c>
      <c r="H116">
        <v>132</v>
      </c>
      <c r="I116">
        <v>129.19999999999999</v>
      </c>
      <c r="J116">
        <v>109.7</v>
      </c>
      <c r="K116">
        <v>119</v>
      </c>
      <c r="L116">
        <v>144.1</v>
      </c>
      <c r="M116">
        <v>184.2</v>
      </c>
      <c r="N116">
        <v>96.7</v>
      </c>
      <c r="O116">
        <v>139.5</v>
      </c>
      <c r="P116">
        <v>120.5</v>
      </c>
      <c r="Q116">
        <v>134.69999999999999</v>
      </c>
      <c r="S116">
        <v>131.19999999999999</v>
      </c>
      <c r="T116">
        <v>139.5</v>
      </c>
      <c r="V116">
        <v>125.8</v>
      </c>
      <c r="X116">
        <v>119.8</v>
      </c>
      <c r="Z116">
        <v>124.9</v>
      </c>
      <c r="AB116">
        <v>123.4</v>
      </c>
      <c r="AC116">
        <f t="shared" ref="AC116:AC117" si="77">AB116</f>
        <v>123.4</v>
      </c>
      <c r="AE116">
        <v>116.9</v>
      </c>
      <c r="AG116">
        <v>121.6</v>
      </c>
      <c r="AI116">
        <v>119.1</v>
      </c>
      <c r="AJ116">
        <v>108.9</v>
      </c>
      <c r="AL116">
        <v>118.5</v>
      </c>
      <c r="AN116">
        <v>126.4</v>
      </c>
      <c r="AP116">
        <v>114</v>
      </c>
      <c r="AR116">
        <v>116.8</v>
      </c>
      <c r="AT116">
        <v>124.2</v>
      </c>
    </row>
    <row r="117" spans="1:46" x14ac:dyDescent="0.3">
      <c r="A117" t="s">
        <v>34</v>
      </c>
      <c r="B117">
        <v>2016</v>
      </c>
      <c r="C117" t="s">
        <v>31</v>
      </c>
      <c r="D117">
        <v>126.1</v>
      </c>
      <c r="F117">
        <v>134.1</v>
      </c>
      <c r="H117">
        <v>128.6</v>
      </c>
      <c r="I117">
        <v>129.9</v>
      </c>
      <c r="J117">
        <v>115.5</v>
      </c>
      <c r="K117">
        <v>125.7</v>
      </c>
      <c r="L117">
        <v>141.5</v>
      </c>
      <c r="M117">
        <v>170.7</v>
      </c>
      <c r="N117">
        <v>97.4</v>
      </c>
      <c r="O117">
        <v>132.9</v>
      </c>
      <c r="P117">
        <v>122.7</v>
      </c>
      <c r="Q117">
        <v>135.30000000000001</v>
      </c>
      <c r="S117">
        <v>131.30000000000001</v>
      </c>
      <c r="T117">
        <v>135.19999999999999</v>
      </c>
      <c r="V117">
        <v>130.30000000000001</v>
      </c>
      <c r="X117">
        <v>125.1</v>
      </c>
      <c r="Z117">
        <v>129.5</v>
      </c>
      <c r="AB117">
        <v>123.4</v>
      </c>
      <c r="AC117">
        <f t="shared" si="77"/>
        <v>123.4</v>
      </c>
      <c r="AE117">
        <v>122.7</v>
      </c>
      <c r="AG117">
        <v>124.2</v>
      </c>
      <c r="AI117">
        <v>122</v>
      </c>
      <c r="AJ117">
        <v>111.1</v>
      </c>
      <c r="AL117">
        <v>119.8</v>
      </c>
      <c r="AN117">
        <v>126.3</v>
      </c>
      <c r="AP117">
        <v>114.5</v>
      </c>
      <c r="AR117">
        <v>118.5</v>
      </c>
      <c r="AT117">
        <v>126.3</v>
      </c>
    </row>
    <row r="118" spans="1:46" x14ac:dyDescent="0.3">
      <c r="A118" t="s">
        <v>30</v>
      </c>
      <c r="B118">
        <v>2016</v>
      </c>
      <c r="C118" t="s">
        <v>35</v>
      </c>
      <c r="D118">
        <v>127.1</v>
      </c>
      <c r="F118">
        <v>133.69999999999999</v>
      </c>
      <c r="H118">
        <v>127.7</v>
      </c>
      <c r="I118">
        <v>130.69999999999999</v>
      </c>
      <c r="J118">
        <v>118.5</v>
      </c>
      <c r="K118">
        <v>130.4</v>
      </c>
      <c r="L118">
        <v>130.9</v>
      </c>
      <c r="M118">
        <v>162.80000000000001</v>
      </c>
      <c r="N118">
        <v>98.7</v>
      </c>
      <c r="O118">
        <v>130.6</v>
      </c>
      <c r="P118">
        <v>124.8</v>
      </c>
      <c r="Q118">
        <v>136.4</v>
      </c>
      <c r="S118">
        <v>130.30000000000001</v>
      </c>
      <c r="T118">
        <v>134.4</v>
      </c>
      <c r="V118">
        <v>133.9</v>
      </c>
      <c r="X118">
        <v>129.80000000000001</v>
      </c>
      <c r="Z118">
        <v>133.4</v>
      </c>
      <c r="AB118" t="s">
        <v>32</v>
      </c>
      <c r="AC118">
        <f t="shared" ref="AC118" si="78">AB119</f>
        <v>124.4</v>
      </c>
      <c r="AE118">
        <v>127.5</v>
      </c>
      <c r="AG118">
        <v>127.1</v>
      </c>
      <c r="AI118">
        <v>124.3</v>
      </c>
      <c r="AJ118">
        <v>113.9</v>
      </c>
      <c r="AL118">
        <v>122.3</v>
      </c>
      <c r="AN118">
        <v>127.1</v>
      </c>
      <c r="AP118">
        <v>116.8</v>
      </c>
      <c r="AR118">
        <v>120.9</v>
      </c>
      <c r="AT118">
        <v>127.9</v>
      </c>
    </row>
    <row r="119" spans="1:46" x14ac:dyDescent="0.3">
      <c r="A119" t="s">
        <v>33</v>
      </c>
      <c r="B119">
        <v>2016</v>
      </c>
      <c r="C119" t="s">
        <v>35</v>
      </c>
      <c r="D119">
        <v>124.8</v>
      </c>
      <c r="F119">
        <v>135.1</v>
      </c>
      <c r="H119">
        <v>130.30000000000001</v>
      </c>
      <c r="I119">
        <v>129.6</v>
      </c>
      <c r="J119">
        <v>108.4</v>
      </c>
      <c r="K119">
        <v>118.6</v>
      </c>
      <c r="L119">
        <v>129.19999999999999</v>
      </c>
      <c r="M119">
        <v>176.4</v>
      </c>
      <c r="N119">
        <v>99.1</v>
      </c>
      <c r="O119">
        <v>139.69999999999999</v>
      </c>
      <c r="P119">
        <v>120.6</v>
      </c>
      <c r="Q119">
        <v>135.19999999999999</v>
      </c>
      <c r="S119">
        <v>129.1</v>
      </c>
      <c r="T119">
        <v>140</v>
      </c>
      <c r="V119">
        <v>126.2</v>
      </c>
      <c r="X119">
        <v>120.1</v>
      </c>
      <c r="Z119">
        <v>125.3</v>
      </c>
      <c r="AB119">
        <v>124.4</v>
      </c>
      <c r="AC119">
        <f t="shared" ref="AC119:AC120" si="79">AB119</f>
        <v>124.4</v>
      </c>
      <c r="AE119">
        <v>116</v>
      </c>
      <c r="AG119">
        <v>121.8</v>
      </c>
      <c r="AI119">
        <v>119.5</v>
      </c>
      <c r="AJ119">
        <v>109.1</v>
      </c>
      <c r="AL119">
        <v>118.8</v>
      </c>
      <c r="AN119">
        <v>126.3</v>
      </c>
      <c r="AP119">
        <v>116.2</v>
      </c>
      <c r="AR119">
        <v>117.2</v>
      </c>
      <c r="AT119">
        <v>123.8</v>
      </c>
    </row>
    <row r="120" spans="1:46" x14ac:dyDescent="0.3">
      <c r="A120" t="s">
        <v>34</v>
      </c>
      <c r="B120">
        <v>2016</v>
      </c>
      <c r="C120" t="s">
        <v>35</v>
      </c>
      <c r="D120">
        <v>126.4</v>
      </c>
      <c r="F120">
        <v>134.19999999999999</v>
      </c>
      <c r="H120">
        <v>128.69999999999999</v>
      </c>
      <c r="I120">
        <v>130.30000000000001</v>
      </c>
      <c r="J120">
        <v>114.8</v>
      </c>
      <c r="K120">
        <v>124.9</v>
      </c>
      <c r="L120">
        <v>130.30000000000001</v>
      </c>
      <c r="M120">
        <v>167.4</v>
      </c>
      <c r="N120">
        <v>98.8</v>
      </c>
      <c r="O120">
        <v>133.6</v>
      </c>
      <c r="P120">
        <v>123</v>
      </c>
      <c r="Q120">
        <v>135.80000000000001</v>
      </c>
      <c r="S120">
        <v>129.9</v>
      </c>
      <c r="T120">
        <v>135.9</v>
      </c>
      <c r="V120">
        <v>130.9</v>
      </c>
      <c r="X120">
        <v>125.8</v>
      </c>
      <c r="Z120">
        <v>130.19999999999999</v>
      </c>
      <c r="AB120">
        <v>124.4</v>
      </c>
      <c r="AC120">
        <f t="shared" si="79"/>
        <v>124.4</v>
      </c>
      <c r="AE120">
        <v>123.1</v>
      </c>
      <c r="AG120">
        <v>124.6</v>
      </c>
      <c r="AI120">
        <v>122.5</v>
      </c>
      <c r="AJ120">
        <v>111.4</v>
      </c>
      <c r="AL120">
        <v>120.3</v>
      </c>
      <c r="AN120">
        <v>126.6</v>
      </c>
      <c r="AP120">
        <v>116.6</v>
      </c>
      <c r="AR120">
        <v>119.1</v>
      </c>
      <c r="AT120">
        <v>126</v>
      </c>
    </row>
    <row r="121" spans="1:46" x14ac:dyDescent="0.3">
      <c r="A121" t="s">
        <v>30</v>
      </c>
      <c r="B121">
        <v>2016</v>
      </c>
      <c r="C121" t="s">
        <v>36</v>
      </c>
      <c r="D121">
        <v>127.3</v>
      </c>
      <c r="F121">
        <v>134.4</v>
      </c>
      <c r="H121">
        <v>125.1</v>
      </c>
      <c r="I121">
        <v>130.5</v>
      </c>
      <c r="J121">
        <v>118.3</v>
      </c>
      <c r="K121">
        <v>131.69999999999999</v>
      </c>
      <c r="L121">
        <v>130.69999999999999</v>
      </c>
      <c r="M121">
        <v>161.19999999999999</v>
      </c>
      <c r="N121">
        <v>100.4</v>
      </c>
      <c r="O121">
        <v>130.80000000000001</v>
      </c>
      <c r="P121">
        <v>124.9</v>
      </c>
      <c r="Q121">
        <v>137</v>
      </c>
      <c r="S121">
        <v>130.4</v>
      </c>
      <c r="T121">
        <v>135</v>
      </c>
      <c r="V121">
        <v>134.4</v>
      </c>
      <c r="X121">
        <v>130.19999999999999</v>
      </c>
      <c r="Z121">
        <v>133.80000000000001</v>
      </c>
      <c r="AB121" t="s">
        <v>32</v>
      </c>
      <c r="AC121">
        <f t="shared" ref="AC121" si="80">AB122</f>
        <v>124.9</v>
      </c>
      <c r="AE121">
        <v>127</v>
      </c>
      <c r="AG121">
        <v>127.7</v>
      </c>
      <c r="AI121">
        <v>124.8</v>
      </c>
      <c r="AJ121">
        <v>113.6</v>
      </c>
      <c r="AL121">
        <v>122.5</v>
      </c>
      <c r="AN121">
        <v>127.5</v>
      </c>
      <c r="AP121">
        <v>117.4</v>
      </c>
      <c r="AR121">
        <v>121.1</v>
      </c>
      <c r="AT121">
        <v>128</v>
      </c>
    </row>
    <row r="122" spans="1:46" x14ac:dyDescent="0.3">
      <c r="A122" t="s">
        <v>33</v>
      </c>
      <c r="B122">
        <v>2016</v>
      </c>
      <c r="C122" t="s">
        <v>36</v>
      </c>
      <c r="D122">
        <v>124.8</v>
      </c>
      <c r="F122">
        <v>136.30000000000001</v>
      </c>
      <c r="H122">
        <v>123.7</v>
      </c>
      <c r="I122">
        <v>129.69999999999999</v>
      </c>
      <c r="J122">
        <v>107.9</v>
      </c>
      <c r="K122">
        <v>119.9</v>
      </c>
      <c r="L122">
        <v>128.1</v>
      </c>
      <c r="M122">
        <v>170.3</v>
      </c>
      <c r="N122">
        <v>101.8</v>
      </c>
      <c r="O122">
        <v>140.1</v>
      </c>
      <c r="P122">
        <v>120.7</v>
      </c>
      <c r="Q122">
        <v>135.4</v>
      </c>
      <c r="S122">
        <v>128.9</v>
      </c>
      <c r="T122">
        <v>140.6</v>
      </c>
      <c r="V122">
        <v>126.4</v>
      </c>
      <c r="X122">
        <v>120.3</v>
      </c>
      <c r="Z122">
        <v>125.5</v>
      </c>
      <c r="AB122">
        <v>124.9</v>
      </c>
      <c r="AC122">
        <f t="shared" ref="AC122:AC123" si="81">AB122</f>
        <v>124.9</v>
      </c>
      <c r="AE122">
        <v>114.8</v>
      </c>
      <c r="AG122">
        <v>122.3</v>
      </c>
      <c r="AI122">
        <v>119.7</v>
      </c>
      <c r="AJ122">
        <v>108.5</v>
      </c>
      <c r="AL122">
        <v>119.1</v>
      </c>
      <c r="AN122">
        <v>126.4</v>
      </c>
      <c r="AP122">
        <v>117.1</v>
      </c>
      <c r="AR122">
        <v>117.3</v>
      </c>
      <c r="AT122">
        <v>123.8</v>
      </c>
    </row>
    <row r="123" spans="1:46" x14ac:dyDescent="0.3">
      <c r="A123" t="s">
        <v>34</v>
      </c>
      <c r="B123">
        <v>2016</v>
      </c>
      <c r="C123" t="s">
        <v>36</v>
      </c>
      <c r="D123">
        <v>126.5</v>
      </c>
      <c r="F123">
        <v>135.1</v>
      </c>
      <c r="H123">
        <v>124.6</v>
      </c>
      <c r="I123">
        <v>130.19999999999999</v>
      </c>
      <c r="J123">
        <v>114.5</v>
      </c>
      <c r="K123">
        <v>126.2</v>
      </c>
      <c r="L123">
        <v>129.80000000000001</v>
      </c>
      <c r="M123">
        <v>164.3</v>
      </c>
      <c r="N123">
        <v>100.9</v>
      </c>
      <c r="O123">
        <v>133.9</v>
      </c>
      <c r="P123">
        <v>123.1</v>
      </c>
      <c r="Q123">
        <v>136.30000000000001</v>
      </c>
      <c r="S123">
        <v>129.80000000000001</v>
      </c>
      <c r="T123">
        <v>136.5</v>
      </c>
      <c r="V123">
        <v>131.30000000000001</v>
      </c>
      <c r="X123">
        <v>126.1</v>
      </c>
      <c r="Z123">
        <v>130.5</v>
      </c>
      <c r="AB123">
        <v>124.9</v>
      </c>
      <c r="AC123">
        <f t="shared" si="81"/>
        <v>124.9</v>
      </c>
      <c r="AE123">
        <v>122.4</v>
      </c>
      <c r="AG123">
        <v>125.1</v>
      </c>
      <c r="AI123">
        <v>122.9</v>
      </c>
      <c r="AJ123">
        <v>110.9</v>
      </c>
      <c r="AL123">
        <v>120.6</v>
      </c>
      <c r="AN123">
        <v>126.9</v>
      </c>
      <c r="AP123">
        <v>117.3</v>
      </c>
      <c r="AR123">
        <v>119.3</v>
      </c>
      <c r="AT123">
        <v>126</v>
      </c>
    </row>
    <row r="124" spans="1:46" x14ac:dyDescent="0.3">
      <c r="A124" t="s">
        <v>30</v>
      </c>
      <c r="B124">
        <v>2016</v>
      </c>
      <c r="C124" t="s">
        <v>37</v>
      </c>
      <c r="D124">
        <v>127.4</v>
      </c>
      <c r="F124">
        <v>135.4</v>
      </c>
      <c r="H124">
        <v>123.4</v>
      </c>
      <c r="I124">
        <v>131.30000000000001</v>
      </c>
      <c r="J124">
        <v>118.2</v>
      </c>
      <c r="K124">
        <v>138.1</v>
      </c>
      <c r="L124">
        <v>134.1</v>
      </c>
      <c r="M124">
        <v>162.69999999999999</v>
      </c>
      <c r="N124">
        <v>105</v>
      </c>
      <c r="O124">
        <v>131.4</v>
      </c>
      <c r="P124">
        <v>125.4</v>
      </c>
      <c r="Q124">
        <v>137.4</v>
      </c>
      <c r="S124">
        <v>131.80000000000001</v>
      </c>
      <c r="T124">
        <v>135.5</v>
      </c>
      <c r="V124">
        <v>135</v>
      </c>
      <c r="X124">
        <v>130.6</v>
      </c>
      <c r="Z124">
        <v>134.4</v>
      </c>
      <c r="AB124" t="s">
        <v>32</v>
      </c>
      <c r="AC124">
        <f t="shared" ref="AC124" si="82">AB125</f>
        <v>125.6</v>
      </c>
      <c r="AE124">
        <v>127</v>
      </c>
      <c r="AG124">
        <v>128</v>
      </c>
      <c r="AI124">
        <v>125.2</v>
      </c>
      <c r="AJ124">
        <v>114.4</v>
      </c>
      <c r="AL124">
        <v>123.2</v>
      </c>
      <c r="AN124">
        <v>127.9</v>
      </c>
      <c r="AP124">
        <v>118.4</v>
      </c>
      <c r="AR124">
        <v>121.7</v>
      </c>
      <c r="AT124">
        <v>129</v>
      </c>
    </row>
    <row r="125" spans="1:46" x14ac:dyDescent="0.3">
      <c r="A125" t="s">
        <v>33</v>
      </c>
      <c r="B125">
        <v>2016</v>
      </c>
      <c r="C125" t="s">
        <v>37</v>
      </c>
      <c r="D125">
        <v>124.9</v>
      </c>
      <c r="F125">
        <v>139.30000000000001</v>
      </c>
      <c r="H125">
        <v>119.9</v>
      </c>
      <c r="I125">
        <v>130.19999999999999</v>
      </c>
      <c r="J125">
        <v>108.9</v>
      </c>
      <c r="K125">
        <v>131.1</v>
      </c>
      <c r="L125">
        <v>136.80000000000001</v>
      </c>
      <c r="M125">
        <v>176.9</v>
      </c>
      <c r="N125">
        <v>109.1</v>
      </c>
      <c r="O125">
        <v>140.4</v>
      </c>
      <c r="P125">
        <v>121.1</v>
      </c>
      <c r="Q125">
        <v>135.9</v>
      </c>
      <c r="S125">
        <v>131.80000000000001</v>
      </c>
      <c r="T125">
        <v>141.5</v>
      </c>
      <c r="V125">
        <v>126.8</v>
      </c>
      <c r="X125">
        <v>120.5</v>
      </c>
      <c r="Z125">
        <v>125.8</v>
      </c>
      <c r="AB125">
        <v>125.6</v>
      </c>
      <c r="AC125">
        <f t="shared" ref="AC125:AC126" si="83">AB125</f>
        <v>125.6</v>
      </c>
      <c r="AE125">
        <v>114.6</v>
      </c>
      <c r="AG125">
        <v>122.8</v>
      </c>
      <c r="AI125">
        <v>120</v>
      </c>
      <c r="AJ125">
        <v>110</v>
      </c>
      <c r="AL125">
        <v>119.5</v>
      </c>
      <c r="AN125">
        <v>127.6</v>
      </c>
      <c r="AP125">
        <v>117.6</v>
      </c>
      <c r="AR125">
        <v>118.2</v>
      </c>
      <c r="AT125">
        <v>125.3</v>
      </c>
    </row>
    <row r="126" spans="1:46" x14ac:dyDescent="0.3">
      <c r="A126" t="s">
        <v>34</v>
      </c>
      <c r="B126">
        <v>2016</v>
      </c>
      <c r="C126" t="s">
        <v>37</v>
      </c>
      <c r="D126">
        <v>126.6</v>
      </c>
      <c r="F126">
        <v>136.80000000000001</v>
      </c>
      <c r="H126">
        <v>122</v>
      </c>
      <c r="I126">
        <v>130.9</v>
      </c>
      <c r="J126">
        <v>114.8</v>
      </c>
      <c r="K126">
        <v>134.80000000000001</v>
      </c>
      <c r="L126">
        <v>135</v>
      </c>
      <c r="M126">
        <v>167.5</v>
      </c>
      <c r="N126">
        <v>106.4</v>
      </c>
      <c r="O126">
        <v>134.4</v>
      </c>
      <c r="P126">
        <v>123.6</v>
      </c>
      <c r="Q126">
        <v>136.69999999999999</v>
      </c>
      <c r="S126">
        <v>131.80000000000001</v>
      </c>
      <c r="T126">
        <v>137.1</v>
      </c>
      <c r="V126">
        <v>131.80000000000001</v>
      </c>
      <c r="X126">
        <v>126.4</v>
      </c>
      <c r="Z126">
        <v>131</v>
      </c>
      <c r="AB126">
        <v>125.6</v>
      </c>
      <c r="AC126">
        <f t="shared" si="83"/>
        <v>125.6</v>
      </c>
      <c r="AE126">
        <v>122.3</v>
      </c>
      <c r="AG126">
        <v>125.5</v>
      </c>
      <c r="AI126">
        <v>123.2</v>
      </c>
      <c r="AJ126">
        <v>112.1</v>
      </c>
      <c r="AL126">
        <v>121.1</v>
      </c>
      <c r="AN126">
        <v>127.7</v>
      </c>
      <c r="AP126">
        <v>118.1</v>
      </c>
      <c r="AR126">
        <v>120</v>
      </c>
      <c r="AT126">
        <v>127.3</v>
      </c>
    </row>
    <row r="127" spans="1:46" x14ac:dyDescent="0.3">
      <c r="A127" t="s">
        <v>30</v>
      </c>
      <c r="B127">
        <v>2016</v>
      </c>
      <c r="C127" t="s">
        <v>38</v>
      </c>
      <c r="D127">
        <v>127.6</v>
      </c>
      <c r="F127">
        <v>137.5</v>
      </c>
      <c r="H127">
        <v>124.4</v>
      </c>
      <c r="I127">
        <v>132.4</v>
      </c>
      <c r="J127">
        <v>118.2</v>
      </c>
      <c r="K127">
        <v>138.1</v>
      </c>
      <c r="L127">
        <v>141.80000000000001</v>
      </c>
      <c r="M127">
        <v>166</v>
      </c>
      <c r="N127">
        <v>107.5</v>
      </c>
      <c r="O127">
        <v>132.19999999999999</v>
      </c>
      <c r="P127">
        <v>126.1</v>
      </c>
      <c r="Q127">
        <v>138.30000000000001</v>
      </c>
      <c r="S127">
        <v>133.6</v>
      </c>
      <c r="T127">
        <v>136</v>
      </c>
      <c r="V127">
        <v>135.4</v>
      </c>
      <c r="X127">
        <v>131.1</v>
      </c>
      <c r="Z127">
        <v>134.80000000000001</v>
      </c>
      <c r="AB127" t="s">
        <v>32</v>
      </c>
      <c r="AC127">
        <f t="shared" ref="AC127" si="84">AB128</f>
        <v>126</v>
      </c>
      <c r="AE127">
        <v>127.4</v>
      </c>
      <c r="AG127">
        <v>128.5</v>
      </c>
      <c r="AI127">
        <v>125.8</v>
      </c>
      <c r="AJ127">
        <v>115.1</v>
      </c>
      <c r="AL127">
        <v>123.6</v>
      </c>
      <c r="AN127">
        <v>129.1</v>
      </c>
      <c r="AP127">
        <v>119.7</v>
      </c>
      <c r="AR127">
        <v>122.5</v>
      </c>
      <c r="AT127">
        <v>130.30000000000001</v>
      </c>
    </row>
    <row r="128" spans="1:46" x14ac:dyDescent="0.3">
      <c r="A128" t="s">
        <v>33</v>
      </c>
      <c r="B128">
        <v>2016</v>
      </c>
      <c r="C128" t="s">
        <v>38</v>
      </c>
      <c r="D128">
        <v>125</v>
      </c>
      <c r="F128">
        <v>142.1</v>
      </c>
      <c r="H128">
        <v>127</v>
      </c>
      <c r="I128">
        <v>130.4</v>
      </c>
      <c r="J128">
        <v>109.6</v>
      </c>
      <c r="K128">
        <v>133.5</v>
      </c>
      <c r="L128">
        <v>151.4</v>
      </c>
      <c r="M128">
        <v>182.8</v>
      </c>
      <c r="N128">
        <v>111.1</v>
      </c>
      <c r="O128">
        <v>141.5</v>
      </c>
      <c r="P128">
        <v>121.5</v>
      </c>
      <c r="Q128">
        <v>136.30000000000001</v>
      </c>
      <c r="S128">
        <v>134.6</v>
      </c>
      <c r="T128">
        <v>142.19999999999999</v>
      </c>
      <c r="V128">
        <v>127.2</v>
      </c>
      <c r="X128">
        <v>120.7</v>
      </c>
      <c r="Z128">
        <v>126.2</v>
      </c>
      <c r="AB128">
        <v>126</v>
      </c>
      <c r="AC128">
        <f t="shared" ref="AC128:AC129" si="85">AB128</f>
        <v>126</v>
      </c>
      <c r="AE128">
        <v>115</v>
      </c>
      <c r="AG128">
        <v>123.2</v>
      </c>
      <c r="AI128">
        <v>120.3</v>
      </c>
      <c r="AJ128">
        <v>110.7</v>
      </c>
      <c r="AL128">
        <v>119.8</v>
      </c>
      <c r="AN128">
        <v>128</v>
      </c>
      <c r="AP128">
        <v>118.5</v>
      </c>
      <c r="AR128">
        <v>118.7</v>
      </c>
      <c r="AT128">
        <v>126.6</v>
      </c>
    </row>
    <row r="129" spans="1:46" x14ac:dyDescent="0.3">
      <c r="A129" t="s">
        <v>34</v>
      </c>
      <c r="B129">
        <v>2016</v>
      </c>
      <c r="C129" t="s">
        <v>38</v>
      </c>
      <c r="D129">
        <v>126.8</v>
      </c>
      <c r="F129">
        <v>139.1</v>
      </c>
      <c r="H129">
        <v>125.4</v>
      </c>
      <c r="I129">
        <v>131.69999999999999</v>
      </c>
      <c r="J129">
        <v>115</v>
      </c>
      <c r="K129">
        <v>136</v>
      </c>
      <c r="L129">
        <v>145.1</v>
      </c>
      <c r="M129">
        <v>171.7</v>
      </c>
      <c r="N129">
        <v>108.7</v>
      </c>
      <c r="O129">
        <v>135.30000000000001</v>
      </c>
      <c r="P129">
        <v>124.2</v>
      </c>
      <c r="Q129">
        <v>137.4</v>
      </c>
      <c r="S129">
        <v>134</v>
      </c>
      <c r="T129">
        <v>137.69999999999999</v>
      </c>
      <c r="V129">
        <v>132.19999999999999</v>
      </c>
      <c r="X129">
        <v>126.8</v>
      </c>
      <c r="Z129">
        <v>131.4</v>
      </c>
      <c r="AB129">
        <v>126</v>
      </c>
      <c r="AC129">
        <f t="shared" si="85"/>
        <v>126</v>
      </c>
      <c r="AE129">
        <v>122.7</v>
      </c>
      <c r="AG129">
        <v>126</v>
      </c>
      <c r="AI129">
        <v>123.7</v>
      </c>
      <c r="AJ129">
        <v>112.8</v>
      </c>
      <c r="AL129">
        <v>121.5</v>
      </c>
      <c r="AN129">
        <v>128.5</v>
      </c>
      <c r="AP129">
        <v>119.2</v>
      </c>
      <c r="AR129">
        <v>120.7</v>
      </c>
      <c r="AT129">
        <v>128.6</v>
      </c>
    </row>
    <row r="130" spans="1:46" x14ac:dyDescent="0.3">
      <c r="A130" t="s">
        <v>30</v>
      </c>
      <c r="B130">
        <v>2016</v>
      </c>
      <c r="C130" t="s">
        <v>39</v>
      </c>
      <c r="D130">
        <v>128.6</v>
      </c>
      <c r="F130">
        <v>138.6</v>
      </c>
      <c r="H130">
        <v>126.6</v>
      </c>
      <c r="I130">
        <v>133.6</v>
      </c>
      <c r="J130">
        <v>118.6</v>
      </c>
      <c r="K130">
        <v>137.4</v>
      </c>
      <c r="L130">
        <v>152.5</v>
      </c>
      <c r="M130">
        <v>169.2</v>
      </c>
      <c r="N130">
        <v>108.8</v>
      </c>
      <c r="O130">
        <v>133.1</v>
      </c>
      <c r="P130">
        <v>126.4</v>
      </c>
      <c r="Q130">
        <v>139.19999999999999</v>
      </c>
      <c r="S130">
        <v>136</v>
      </c>
      <c r="T130">
        <v>137.19999999999999</v>
      </c>
      <c r="V130">
        <v>136.30000000000001</v>
      </c>
      <c r="X130">
        <v>131.6</v>
      </c>
      <c r="Z130">
        <v>135.6</v>
      </c>
      <c r="AB130" t="s">
        <v>32</v>
      </c>
      <c r="AC130">
        <f t="shared" ref="AC130" si="86">AB131</f>
        <v>125.5</v>
      </c>
      <c r="AE130">
        <v>128</v>
      </c>
      <c r="AG130">
        <v>129.30000000000001</v>
      </c>
      <c r="AI130">
        <v>126.2</v>
      </c>
      <c r="AJ130">
        <v>116.3</v>
      </c>
      <c r="AL130">
        <v>124.1</v>
      </c>
      <c r="AN130">
        <v>130.19999999999999</v>
      </c>
      <c r="AP130">
        <v>119.9</v>
      </c>
      <c r="AR130">
        <v>123.3</v>
      </c>
      <c r="AT130">
        <v>131.9</v>
      </c>
    </row>
    <row r="131" spans="1:46" x14ac:dyDescent="0.3">
      <c r="A131" t="s">
        <v>33</v>
      </c>
      <c r="B131">
        <v>2016</v>
      </c>
      <c r="C131" t="s">
        <v>39</v>
      </c>
      <c r="D131">
        <v>125.9</v>
      </c>
      <c r="F131">
        <v>143.9</v>
      </c>
      <c r="H131">
        <v>130.9</v>
      </c>
      <c r="I131">
        <v>131</v>
      </c>
      <c r="J131">
        <v>110.2</v>
      </c>
      <c r="K131">
        <v>135.5</v>
      </c>
      <c r="L131">
        <v>173.7</v>
      </c>
      <c r="M131">
        <v>184.4</v>
      </c>
      <c r="N131">
        <v>112</v>
      </c>
      <c r="O131">
        <v>142.80000000000001</v>
      </c>
      <c r="P131">
        <v>121.6</v>
      </c>
      <c r="Q131">
        <v>136.9</v>
      </c>
      <c r="S131">
        <v>138.19999999999999</v>
      </c>
      <c r="T131">
        <v>142.69999999999999</v>
      </c>
      <c r="V131">
        <v>127.6</v>
      </c>
      <c r="X131">
        <v>121.1</v>
      </c>
      <c r="Z131">
        <v>126.6</v>
      </c>
      <c r="AB131">
        <v>125.5</v>
      </c>
      <c r="AC131">
        <f t="shared" ref="AC131:AC132" si="87">AB131</f>
        <v>125.5</v>
      </c>
      <c r="AE131">
        <v>115.5</v>
      </c>
      <c r="AG131">
        <v>123.2</v>
      </c>
      <c r="AI131">
        <v>120.6</v>
      </c>
      <c r="AJ131">
        <v>112.3</v>
      </c>
      <c r="AL131">
        <v>119.9</v>
      </c>
      <c r="AN131">
        <v>129.30000000000001</v>
      </c>
      <c r="AP131">
        <v>118.8</v>
      </c>
      <c r="AR131">
        <v>119.6</v>
      </c>
      <c r="AT131">
        <v>128.1</v>
      </c>
    </row>
    <row r="132" spans="1:46" x14ac:dyDescent="0.3">
      <c r="A132" t="s">
        <v>34</v>
      </c>
      <c r="B132">
        <v>2016</v>
      </c>
      <c r="C132" t="s">
        <v>39</v>
      </c>
      <c r="D132">
        <v>127.7</v>
      </c>
      <c r="F132">
        <v>140.5</v>
      </c>
      <c r="H132">
        <v>128.30000000000001</v>
      </c>
      <c r="I132">
        <v>132.6</v>
      </c>
      <c r="J132">
        <v>115.5</v>
      </c>
      <c r="K132">
        <v>136.5</v>
      </c>
      <c r="L132">
        <v>159.69999999999999</v>
      </c>
      <c r="M132">
        <v>174.3</v>
      </c>
      <c r="N132">
        <v>109.9</v>
      </c>
      <c r="O132">
        <v>136.30000000000001</v>
      </c>
      <c r="P132">
        <v>124.4</v>
      </c>
      <c r="Q132">
        <v>138.1</v>
      </c>
      <c r="S132">
        <v>136.80000000000001</v>
      </c>
      <c r="T132">
        <v>138.69999999999999</v>
      </c>
      <c r="V132">
        <v>132.9</v>
      </c>
      <c r="X132">
        <v>127.2</v>
      </c>
      <c r="Z132">
        <v>132</v>
      </c>
      <c r="AB132">
        <v>125.5</v>
      </c>
      <c r="AC132">
        <f t="shared" si="87"/>
        <v>125.5</v>
      </c>
      <c r="AE132">
        <v>123.3</v>
      </c>
      <c r="AG132">
        <v>126.4</v>
      </c>
      <c r="AI132">
        <v>124.1</v>
      </c>
      <c r="AJ132">
        <v>114.2</v>
      </c>
      <c r="AL132">
        <v>121.7</v>
      </c>
      <c r="AN132">
        <v>129.69999999999999</v>
      </c>
      <c r="AP132">
        <v>119.4</v>
      </c>
      <c r="AR132">
        <v>121.5</v>
      </c>
      <c r="AT132">
        <v>130.1</v>
      </c>
    </row>
    <row r="133" spans="1:46" x14ac:dyDescent="0.3">
      <c r="A133" t="s">
        <v>30</v>
      </c>
      <c r="B133">
        <v>2016</v>
      </c>
      <c r="C133" t="s">
        <v>40</v>
      </c>
      <c r="D133">
        <v>129.30000000000001</v>
      </c>
      <c r="F133">
        <v>139.5</v>
      </c>
      <c r="H133">
        <v>129.6</v>
      </c>
      <c r="I133">
        <v>134.5</v>
      </c>
      <c r="J133">
        <v>119.5</v>
      </c>
      <c r="K133">
        <v>138.5</v>
      </c>
      <c r="L133">
        <v>158.19999999999999</v>
      </c>
      <c r="M133">
        <v>171.8</v>
      </c>
      <c r="N133">
        <v>110.3</v>
      </c>
      <c r="O133">
        <v>134.30000000000001</v>
      </c>
      <c r="P133">
        <v>127.3</v>
      </c>
      <c r="Q133">
        <v>139.9</v>
      </c>
      <c r="S133">
        <v>137.6</v>
      </c>
      <c r="T133">
        <v>138</v>
      </c>
      <c r="V133">
        <v>137.19999999999999</v>
      </c>
      <c r="X133">
        <v>132.19999999999999</v>
      </c>
      <c r="Z133">
        <v>136.5</v>
      </c>
      <c r="AB133" t="s">
        <v>32</v>
      </c>
      <c r="AC133">
        <f t="shared" ref="AC133" si="88">AB134</f>
        <v>126.4</v>
      </c>
      <c r="AE133">
        <v>128.19999999999999</v>
      </c>
      <c r="AG133">
        <v>130</v>
      </c>
      <c r="AI133">
        <v>126.7</v>
      </c>
      <c r="AJ133">
        <v>116.4</v>
      </c>
      <c r="AL133">
        <v>125.2</v>
      </c>
      <c r="AN133">
        <v>130.80000000000001</v>
      </c>
      <c r="AP133">
        <v>120.9</v>
      </c>
      <c r="AR133">
        <v>123.8</v>
      </c>
      <c r="AT133">
        <v>133</v>
      </c>
    </row>
    <row r="134" spans="1:46" x14ac:dyDescent="0.3">
      <c r="A134" t="s">
        <v>33</v>
      </c>
      <c r="B134">
        <v>2016</v>
      </c>
      <c r="C134" t="s">
        <v>40</v>
      </c>
      <c r="D134">
        <v>126.8</v>
      </c>
      <c r="F134">
        <v>144.19999999999999</v>
      </c>
      <c r="H134">
        <v>136.6</v>
      </c>
      <c r="I134">
        <v>131.80000000000001</v>
      </c>
      <c r="J134">
        <v>111</v>
      </c>
      <c r="K134">
        <v>137</v>
      </c>
      <c r="L134">
        <v>179.5</v>
      </c>
      <c r="M134">
        <v>188.4</v>
      </c>
      <c r="N134">
        <v>113.3</v>
      </c>
      <c r="O134">
        <v>143.9</v>
      </c>
      <c r="P134">
        <v>121.7</v>
      </c>
      <c r="Q134">
        <v>137.5</v>
      </c>
      <c r="S134">
        <v>139.80000000000001</v>
      </c>
      <c r="T134">
        <v>142.9</v>
      </c>
      <c r="V134">
        <v>127.9</v>
      </c>
      <c r="X134">
        <v>121.1</v>
      </c>
      <c r="Z134">
        <v>126.9</v>
      </c>
      <c r="AB134">
        <v>126.4</v>
      </c>
      <c r="AC134">
        <f t="shared" ref="AC134:AC135" si="89">AB134</f>
        <v>126.4</v>
      </c>
      <c r="AE134">
        <v>115.5</v>
      </c>
      <c r="AG134">
        <v>123.5</v>
      </c>
      <c r="AI134">
        <v>120.9</v>
      </c>
      <c r="AJ134">
        <v>111.7</v>
      </c>
      <c r="AL134">
        <v>120.3</v>
      </c>
      <c r="AN134">
        <v>130.80000000000001</v>
      </c>
      <c r="AP134">
        <v>120</v>
      </c>
      <c r="AR134">
        <v>119.9</v>
      </c>
      <c r="AT134">
        <v>129</v>
      </c>
    </row>
    <row r="135" spans="1:46" x14ac:dyDescent="0.3">
      <c r="A135" t="s">
        <v>34</v>
      </c>
      <c r="B135">
        <v>2016</v>
      </c>
      <c r="C135" t="s">
        <v>40</v>
      </c>
      <c r="D135">
        <v>128.5</v>
      </c>
      <c r="F135">
        <v>141.19999999999999</v>
      </c>
      <c r="H135">
        <v>132.30000000000001</v>
      </c>
      <c r="I135">
        <v>133.5</v>
      </c>
      <c r="J135">
        <v>116.4</v>
      </c>
      <c r="K135">
        <v>137.80000000000001</v>
      </c>
      <c r="L135">
        <v>165.4</v>
      </c>
      <c r="M135">
        <v>177.4</v>
      </c>
      <c r="N135">
        <v>111.3</v>
      </c>
      <c r="O135">
        <v>137.5</v>
      </c>
      <c r="P135">
        <v>125</v>
      </c>
      <c r="Q135">
        <v>138.80000000000001</v>
      </c>
      <c r="S135">
        <v>138.4</v>
      </c>
      <c r="T135">
        <v>139.30000000000001</v>
      </c>
      <c r="V135">
        <v>133.5</v>
      </c>
      <c r="X135">
        <v>127.6</v>
      </c>
      <c r="Z135">
        <v>132.69999999999999</v>
      </c>
      <c r="AB135">
        <v>126.4</v>
      </c>
      <c r="AC135">
        <f t="shared" si="89"/>
        <v>126.4</v>
      </c>
      <c r="AE135">
        <v>123.4</v>
      </c>
      <c r="AG135">
        <v>126.9</v>
      </c>
      <c r="AI135">
        <v>124.5</v>
      </c>
      <c r="AJ135">
        <v>113.9</v>
      </c>
      <c r="AL135">
        <v>122.4</v>
      </c>
      <c r="AN135">
        <v>130.80000000000001</v>
      </c>
      <c r="AP135">
        <v>120.5</v>
      </c>
      <c r="AR135">
        <v>121.9</v>
      </c>
      <c r="AT135">
        <v>131.1</v>
      </c>
    </row>
    <row r="136" spans="1:46" x14ac:dyDescent="0.3">
      <c r="A136" t="s">
        <v>30</v>
      </c>
      <c r="B136">
        <v>2016</v>
      </c>
      <c r="C136" t="s">
        <v>41</v>
      </c>
      <c r="D136">
        <v>130.1</v>
      </c>
      <c r="F136">
        <v>138.80000000000001</v>
      </c>
      <c r="H136">
        <v>130.30000000000001</v>
      </c>
      <c r="I136">
        <v>135.30000000000001</v>
      </c>
      <c r="J136">
        <v>119.9</v>
      </c>
      <c r="K136">
        <v>140.19999999999999</v>
      </c>
      <c r="L136">
        <v>156.9</v>
      </c>
      <c r="M136">
        <v>172.2</v>
      </c>
      <c r="N136">
        <v>112.1</v>
      </c>
      <c r="O136">
        <v>134.9</v>
      </c>
      <c r="P136">
        <v>128.1</v>
      </c>
      <c r="Q136">
        <v>140.69999999999999</v>
      </c>
      <c r="S136">
        <v>138</v>
      </c>
      <c r="T136">
        <v>138.9</v>
      </c>
      <c r="V136">
        <v>137.80000000000001</v>
      </c>
      <c r="X136">
        <v>133</v>
      </c>
      <c r="Z136">
        <v>137.1</v>
      </c>
      <c r="AB136" t="s">
        <v>32</v>
      </c>
      <c r="AC136">
        <f t="shared" ref="AC136" si="90">AB137</f>
        <v>127.3</v>
      </c>
      <c r="AE136">
        <v>129.1</v>
      </c>
      <c r="AG136">
        <v>130.6</v>
      </c>
      <c r="AI136">
        <v>127</v>
      </c>
      <c r="AJ136">
        <v>116</v>
      </c>
      <c r="AL136">
        <v>125.5</v>
      </c>
      <c r="AN136">
        <v>131.9</v>
      </c>
      <c r="AP136">
        <v>122</v>
      </c>
      <c r="AR136">
        <v>124.2</v>
      </c>
      <c r="AT136">
        <v>133.5</v>
      </c>
    </row>
    <row r="137" spans="1:46" x14ac:dyDescent="0.3">
      <c r="A137" t="s">
        <v>33</v>
      </c>
      <c r="B137">
        <v>2016</v>
      </c>
      <c r="C137" t="s">
        <v>41</v>
      </c>
      <c r="D137">
        <v>127.6</v>
      </c>
      <c r="F137">
        <v>140.30000000000001</v>
      </c>
      <c r="H137">
        <v>133.69999999999999</v>
      </c>
      <c r="I137">
        <v>132.19999999999999</v>
      </c>
      <c r="J137">
        <v>111.8</v>
      </c>
      <c r="K137">
        <v>135.80000000000001</v>
      </c>
      <c r="L137">
        <v>163.5</v>
      </c>
      <c r="M137">
        <v>182.3</v>
      </c>
      <c r="N137">
        <v>114.6</v>
      </c>
      <c r="O137">
        <v>144.6</v>
      </c>
      <c r="P137">
        <v>121.9</v>
      </c>
      <c r="Q137">
        <v>138.1</v>
      </c>
      <c r="S137">
        <v>137.6</v>
      </c>
      <c r="T137">
        <v>143.6</v>
      </c>
      <c r="V137">
        <v>128.30000000000001</v>
      </c>
      <c r="X137">
        <v>121.4</v>
      </c>
      <c r="Z137">
        <v>127.3</v>
      </c>
      <c r="AB137">
        <v>127.3</v>
      </c>
      <c r="AC137">
        <f t="shared" ref="AC137:AC138" si="91">AB137</f>
        <v>127.3</v>
      </c>
      <c r="AE137">
        <v>114.7</v>
      </c>
      <c r="AG137">
        <v>123.9</v>
      </c>
      <c r="AI137">
        <v>121.2</v>
      </c>
      <c r="AJ137">
        <v>110.4</v>
      </c>
      <c r="AL137">
        <v>120.6</v>
      </c>
      <c r="AN137">
        <v>131.5</v>
      </c>
      <c r="AP137">
        <v>120.9</v>
      </c>
      <c r="AR137">
        <v>119.9</v>
      </c>
      <c r="AT137">
        <v>128.4</v>
      </c>
    </row>
    <row r="138" spans="1:46" x14ac:dyDescent="0.3">
      <c r="A138" t="s">
        <v>34</v>
      </c>
      <c r="B138">
        <v>2016</v>
      </c>
      <c r="C138" t="s">
        <v>41</v>
      </c>
      <c r="D138">
        <v>129.30000000000001</v>
      </c>
      <c r="F138">
        <v>139.30000000000001</v>
      </c>
      <c r="H138">
        <v>131.6</v>
      </c>
      <c r="I138">
        <v>134.1</v>
      </c>
      <c r="J138">
        <v>116.9</v>
      </c>
      <c r="K138">
        <v>138.1</v>
      </c>
      <c r="L138">
        <v>159.1</v>
      </c>
      <c r="M138">
        <v>175.6</v>
      </c>
      <c r="N138">
        <v>112.9</v>
      </c>
      <c r="O138">
        <v>138.1</v>
      </c>
      <c r="P138">
        <v>125.5</v>
      </c>
      <c r="Q138">
        <v>139.5</v>
      </c>
      <c r="S138">
        <v>137.9</v>
      </c>
      <c r="T138">
        <v>140.19999999999999</v>
      </c>
      <c r="V138">
        <v>134.1</v>
      </c>
      <c r="X138">
        <v>128.19999999999999</v>
      </c>
      <c r="Z138">
        <v>133.19999999999999</v>
      </c>
      <c r="AB138">
        <v>127.3</v>
      </c>
      <c r="AC138">
        <f t="shared" si="91"/>
        <v>127.3</v>
      </c>
      <c r="AE138">
        <v>123.6</v>
      </c>
      <c r="AG138">
        <v>127.4</v>
      </c>
      <c r="AI138">
        <v>124.8</v>
      </c>
      <c r="AJ138">
        <v>113.1</v>
      </c>
      <c r="AL138">
        <v>122.7</v>
      </c>
      <c r="AN138">
        <v>131.69999999999999</v>
      </c>
      <c r="AP138">
        <v>121.5</v>
      </c>
      <c r="AR138">
        <v>122.1</v>
      </c>
      <c r="AT138">
        <v>131.1</v>
      </c>
    </row>
    <row r="139" spans="1:46" x14ac:dyDescent="0.3">
      <c r="A139" t="s">
        <v>30</v>
      </c>
      <c r="B139">
        <v>2016</v>
      </c>
      <c r="C139" t="s">
        <v>42</v>
      </c>
      <c r="D139">
        <v>130.80000000000001</v>
      </c>
      <c r="F139">
        <v>138.19999999999999</v>
      </c>
      <c r="H139">
        <v>130.5</v>
      </c>
      <c r="I139">
        <v>135.5</v>
      </c>
      <c r="J139">
        <v>120.2</v>
      </c>
      <c r="K139">
        <v>139.19999999999999</v>
      </c>
      <c r="L139">
        <v>149.5</v>
      </c>
      <c r="M139">
        <v>170.4</v>
      </c>
      <c r="N139">
        <v>113.1</v>
      </c>
      <c r="O139">
        <v>135.80000000000001</v>
      </c>
      <c r="P139">
        <v>128.80000000000001</v>
      </c>
      <c r="Q139">
        <v>141.5</v>
      </c>
      <c r="S139">
        <v>137.19999999999999</v>
      </c>
      <c r="T139">
        <v>139.9</v>
      </c>
      <c r="V139">
        <v>138.5</v>
      </c>
      <c r="X139">
        <v>133.5</v>
      </c>
      <c r="Z139">
        <v>137.80000000000001</v>
      </c>
      <c r="AB139" t="s">
        <v>32</v>
      </c>
      <c r="AC139">
        <f t="shared" ref="AC139" si="92">AB140</f>
        <v>127.9</v>
      </c>
      <c r="AE139">
        <v>129.69999999999999</v>
      </c>
      <c r="AG139">
        <v>131.1</v>
      </c>
      <c r="AI139">
        <v>127.8</v>
      </c>
      <c r="AJ139">
        <v>117</v>
      </c>
      <c r="AL139">
        <v>125.7</v>
      </c>
      <c r="AN139">
        <v>132.19999999999999</v>
      </c>
      <c r="AP139">
        <v>122.8</v>
      </c>
      <c r="AR139">
        <v>124.9</v>
      </c>
      <c r="AT139">
        <v>133.4</v>
      </c>
    </row>
    <row r="140" spans="1:46" x14ac:dyDescent="0.3">
      <c r="A140" t="s">
        <v>33</v>
      </c>
      <c r="B140">
        <v>2016</v>
      </c>
      <c r="C140" t="s">
        <v>42</v>
      </c>
      <c r="D140">
        <v>128.1</v>
      </c>
      <c r="F140">
        <v>137.69999999999999</v>
      </c>
      <c r="H140">
        <v>130.6</v>
      </c>
      <c r="I140">
        <v>132.6</v>
      </c>
      <c r="J140">
        <v>111.9</v>
      </c>
      <c r="K140">
        <v>132.5</v>
      </c>
      <c r="L140">
        <v>152.9</v>
      </c>
      <c r="M140">
        <v>173.6</v>
      </c>
      <c r="N140">
        <v>115.1</v>
      </c>
      <c r="O140">
        <v>144.80000000000001</v>
      </c>
      <c r="P140">
        <v>122.1</v>
      </c>
      <c r="Q140">
        <v>138.80000000000001</v>
      </c>
      <c r="S140">
        <v>135.69999999999999</v>
      </c>
      <c r="T140">
        <v>143.9</v>
      </c>
      <c r="V140">
        <v>128.69999999999999</v>
      </c>
      <c r="X140">
        <v>121.6</v>
      </c>
      <c r="Z140">
        <v>127.7</v>
      </c>
      <c r="AB140">
        <v>127.9</v>
      </c>
      <c r="AC140">
        <f t="shared" ref="AC140:AC141" si="93">AB140</f>
        <v>127.9</v>
      </c>
      <c r="AE140">
        <v>114.8</v>
      </c>
      <c r="AG140">
        <v>124.3</v>
      </c>
      <c r="AI140">
        <v>121.4</v>
      </c>
      <c r="AJ140">
        <v>111.8</v>
      </c>
      <c r="AL140">
        <v>120.8</v>
      </c>
      <c r="AN140">
        <v>131.6</v>
      </c>
      <c r="AP140">
        <v>121.2</v>
      </c>
      <c r="AR140">
        <v>120.5</v>
      </c>
      <c r="AT140">
        <v>128</v>
      </c>
    </row>
    <row r="141" spans="1:46" x14ac:dyDescent="0.3">
      <c r="A141" t="s">
        <v>34</v>
      </c>
      <c r="B141">
        <v>2016</v>
      </c>
      <c r="C141" t="s">
        <v>42</v>
      </c>
      <c r="D141">
        <v>129.9</v>
      </c>
      <c r="F141">
        <v>138</v>
      </c>
      <c r="H141">
        <v>130.5</v>
      </c>
      <c r="I141">
        <v>134.4</v>
      </c>
      <c r="J141">
        <v>117.2</v>
      </c>
      <c r="K141">
        <v>136.1</v>
      </c>
      <c r="L141">
        <v>150.69999999999999</v>
      </c>
      <c r="M141">
        <v>171.5</v>
      </c>
      <c r="N141">
        <v>113.8</v>
      </c>
      <c r="O141">
        <v>138.80000000000001</v>
      </c>
      <c r="P141">
        <v>126</v>
      </c>
      <c r="Q141">
        <v>140.19999999999999</v>
      </c>
      <c r="S141">
        <v>136.6</v>
      </c>
      <c r="T141">
        <v>141</v>
      </c>
      <c r="V141">
        <v>134.6</v>
      </c>
      <c r="X141">
        <v>128.6</v>
      </c>
      <c r="Z141">
        <v>133.80000000000001</v>
      </c>
      <c r="AB141">
        <v>127.9</v>
      </c>
      <c r="AC141">
        <f t="shared" si="93"/>
        <v>127.9</v>
      </c>
      <c r="AE141">
        <v>124.1</v>
      </c>
      <c r="AG141">
        <v>127.9</v>
      </c>
      <c r="AI141">
        <v>125.4</v>
      </c>
      <c r="AJ141">
        <v>114.3</v>
      </c>
      <c r="AL141">
        <v>122.9</v>
      </c>
      <c r="AN141">
        <v>131.80000000000001</v>
      </c>
      <c r="AP141">
        <v>122.1</v>
      </c>
      <c r="AR141">
        <v>122.8</v>
      </c>
      <c r="AT141">
        <v>130.9</v>
      </c>
    </row>
    <row r="142" spans="1:46" x14ac:dyDescent="0.3">
      <c r="A142" t="s">
        <v>30</v>
      </c>
      <c r="B142">
        <v>2016</v>
      </c>
      <c r="C142" t="s">
        <v>43</v>
      </c>
      <c r="D142">
        <v>131.30000000000001</v>
      </c>
      <c r="F142">
        <v>137.6</v>
      </c>
      <c r="H142">
        <v>130.1</v>
      </c>
      <c r="I142">
        <v>136</v>
      </c>
      <c r="J142">
        <v>120.8</v>
      </c>
      <c r="K142">
        <v>138.4</v>
      </c>
      <c r="L142">
        <v>149.19999999999999</v>
      </c>
      <c r="M142">
        <v>170.2</v>
      </c>
      <c r="N142">
        <v>113.4</v>
      </c>
      <c r="O142">
        <v>136.30000000000001</v>
      </c>
      <c r="P142">
        <v>128.69999999999999</v>
      </c>
      <c r="Q142">
        <v>142.4</v>
      </c>
      <c r="S142">
        <v>137.4</v>
      </c>
      <c r="T142">
        <v>140.9</v>
      </c>
      <c r="V142">
        <v>139.6</v>
      </c>
      <c r="X142">
        <v>134.30000000000001</v>
      </c>
      <c r="Z142">
        <v>138.80000000000001</v>
      </c>
      <c r="AB142" t="s">
        <v>32</v>
      </c>
      <c r="AC142">
        <f t="shared" ref="AC142" si="94">AB143</f>
        <v>128.69999999999999</v>
      </c>
      <c r="AE142">
        <v>129.80000000000001</v>
      </c>
      <c r="AG142">
        <v>131.80000000000001</v>
      </c>
      <c r="AI142">
        <v>128.69999999999999</v>
      </c>
      <c r="AJ142">
        <v>117.8</v>
      </c>
      <c r="AL142">
        <v>126.5</v>
      </c>
      <c r="AN142">
        <v>133</v>
      </c>
      <c r="AP142">
        <v>123</v>
      </c>
      <c r="AR142">
        <v>125.7</v>
      </c>
      <c r="AT142">
        <v>133.80000000000001</v>
      </c>
    </row>
    <row r="143" spans="1:46" x14ac:dyDescent="0.3">
      <c r="A143" t="s">
        <v>33</v>
      </c>
      <c r="B143">
        <v>2016</v>
      </c>
      <c r="C143" t="s">
        <v>43</v>
      </c>
      <c r="D143">
        <v>128.69999999999999</v>
      </c>
      <c r="F143">
        <v>138.4</v>
      </c>
      <c r="H143">
        <v>130.30000000000001</v>
      </c>
      <c r="I143">
        <v>132.69999999999999</v>
      </c>
      <c r="J143">
        <v>112.5</v>
      </c>
      <c r="K143">
        <v>130.4</v>
      </c>
      <c r="L143">
        <v>155.1</v>
      </c>
      <c r="M143">
        <v>175.7</v>
      </c>
      <c r="N143">
        <v>115.4</v>
      </c>
      <c r="O143">
        <v>145.30000000000001</v>
      </c>
      <c r="P143">
        <v>122.5</v>
      </c>
      <c r="Q143">
        <v>139.6</v>
      </c>
      <c r="S143">
        <v>136.30000000000001</v>
      </c>
      <c r="T143">
        <v>144.30000000000001</v>
      </c>
      <c r="V143">
        <v>129.1</v>
      </c>
      <c r="X143">
        <v>121.9</v>
      </c>
      <c r="Z143">
        <v>128</v>
      </c>
      <c r="AB143">
        <v>128.69999999999999</v>
      </c>
      <c r="AC143">
        <f t="shared" ref="AC143:AC144" si="95">AB143</f>
        <v>128.69999999999999</v>
      </c>
      <c r="AE143">
        <v>115.2</v>
      </c>
      <c r="AG143">
        <v>124.5</v>
      </c>
      <c r="AI143">
        <v>121.8</v>
      </c>
      <c r="AJ143">
        <v>112.8</v>
      </c>
      <c r="AL143">
        <v>121.2</v>
      </c>
      <c r="AN143">
        <v>131.9</v>
      </c>
      <c r="AP143">
        <v>120.8</v>
      </c>
      <c r="AR143">
        <v>120.9</v>
      </c>
      <c r="AT143">
        <v>128.6</v>
      </c>
    </row>
    <row r="144" spans="1:46" x14ac:dyDescent="0.3">
      <c r="A144" t="s">
        <v>34</v>
      </c>
      <c r="B144">
        <v>2016</v>
      </c>
      <c r="C144" t="s">
        <v>43</v>
      </c>
      <c r="D144">
        <v>130.5</v>
      </c>
      <c r="F144">
        <v>137.9</v>
      </c>
      <c r="H144">
        <v>130.19999999999999</v>
      </c>
      <c r="I144">
        <v>134.80000000000001</v>
      </c>
      <c r="J144">
        <v>117.8</v>
      </c>
      <c r="K144">
        <v>134.69999999999999</v>
      </c>
      <c r="L144">
        <v>151.19999999999999</v>
      </c>
      <c r="M144">
        <v>172.1</v>
      </c>
      <c r="N144">
        <v>114.1</v>
      </c>
      <c r="O144">
        <v>139.30000000000001</v>
      </c>
      <c r="P144">
        <v>126.1</v>
      </c>
      <c r="Q144">
        <v>141.1</v>
      </c>
      <c r="S144">
        <v>137</v>
      </c>
      <c r="T144">
        <v>141.80000000000001</v>
      </c>
      <c r="V144">
        <v>135.5</v>
      </c>
      <c r="X144">
        <v>129.1</v>
      </c>
      <c r="Z144">
        <v>134.5</v>
      </c>
      <c r="AB144">
        <v>128.69999999999999</v>
      </c>
      <c r="AC144">
        <f t="shared" si="95"/>
        <v>128.69999999999999</v>
      </c>
      <c r="AE144">
        <v>124.3</v>
      </c>
      <c r="AG144">
        <v>128.4</v>
      </c>
      <c r="AI144">
        <v>126.1</v>
      </c>
      <c r="AJ144">
        <v>115.2</v>
      </c>
      <c r="AL144">
        <v>123.5</v>
      </c>
      <c r="AN144">
        <v>132.4</v>
      </c>
      <c r="AP144">
        <v>122.1</v>
      </c>
      <c r="AR144">
        <v>123.4</v>
      </c>
      <c r="AT144">
        <v>131.4</v>
      </c>
    </row>
    <row r="145" spans="1:46" x14ac:dyDescent="0.3">
      <c r="A145" t="s">
        <v>30</v>
      </c>
      <c r="B145">
        <v>2016</v>
      </c>
      <c r="C145" t="s">
        <v>45</v>
      </c>
      <c r="D145">
        <v>132</v>
      </c>
      <c r="F145">
        <v>137.4</v>
      </c>
      <c r="H145">
        <v>130.6</v>
      </c>
      <c r="I145">
        <v>136.19999999999999</v>
      </c>
      <c r="J145">
        <v>121.1</v>
      </c>
      <c r="K145">
        <v>136.9</v>
      </c>
      <c r="L145">
        <v>141.80000000000001</v>
      </c>
      <c r="M145">
        <v>170</v>
      </c>
      <c r="N145">
        <v>113.4</v>
      </c>
      <c r="O145">
        <v>136.80000000000001</v>
      </c>
      <c r="P145">
        <v>128.69999999999999</v>
      </c>
      <c r="Q145">
        <v>143.1</v>
      </c>
      <c r="S145">
        <v>136.6</v>
      </c>
      <c r="T145">
        <v>141.19999999999999</v>
      </c>
      <c r="V145">
        <v>139.9</v>
      </c>
      <c r="X145">
        <v>134.5</v>
      </c>
      <c r="Z145">
        <v>139.19999999999999</v>
      </c>
      <c r="AB145" t="s">
        <v>32</v>
      </c>
      <c r="AC145">
        <f t="shared" ref="AC145" si="96">AB146</f>
        <v>129.1</v>
      </c>
      <c r="AE145">
        <v>130.30000000000001</v>
      </c>
      <c r="AG145">
        <v>132.1</v>
      </c>
      <c r="AI145">
        <v>129.1</v>
      </c>
      <c r="AJ145">
        <v>118.2</v>
      </c>
      <c r="AL145">
        <v>126.9</v>
      </c>
      <c r="AN145">
        <v>133.69999999999999</v>
      </c>
      <c r="AP145">
        <v>123.5</v>
      </c>
      <c r="AR145">
        <v>126.1</v>
      </c>
      <c r="AT145">
        <v>133.6</v>
      </c>
    </row>
    <row r="146" spans="1:46" x14ac:dyDescent="0.3">
      <c r="A146" t="s">
        <v>33</v>
      </c>
      <c r="B146">
        <v>2016</v>
      </c>
      <c r="C146" t="s">
        <v>45</v>
      </c>
      <c r="D146">
        <v>130.19999999999999</v>
      </c>
      <c r="F146">
        <v>138.5</v>
      </c>
      <c r="H146">
        <v>134.1</v>
      </c>
      <c r="I146">
        <v>132.9</v>
      </c>
      <c r="J146">
        <v>112.6</v>
      </c>
      <c r="K146">
        <v>130.80000000000001</v>
      </c>
      <c r="L146">
        <v>142</v>
      </c>
      <c r="M146">
        <v>174.9</v>
      </c>
      <c r="N146">
        <v>115.6</v>
      </c>
      <c r="O146">
        <v>145.4</v>
      </c>
      <c r="P146">
        <v>122.7</v>
      </c>
      <c r="Q146">
        <v>140.30000000000001</v>
      </c>
      <c r="S146">
        <v>135.19999999999999</v>
      </c>
      <c r="T146">
        <v>144.30000000000001</v>
      </c>
      <c r="V146">
        <v>129.6</v>
      </c>
      <c r="X146">
        <v>122.1</v>
      </c>
      <c r="Z146">
        <v>128.5</v>
      </c>
      <c r="AB146">
        <v>129.1</v>
      </c>
      <c r="AC146">
        <f t="shared" ref="AC146:AC147" si="97">AB146</f>
        <v>129.1</v>
      </c>
      <c r="AE146">
        <v>116.2</v>
      </c>
      <c r="AG146">
        <v>124.7</v>
      </c>
      <c r="AI146">
        <v>122.1</v>
      </c>
      <c r="AJ146">
        <v>113.4</v>
      </c>
      <c r="AL146">
        <v>121.7</v>
      </c>
      <c r="AN146">
        <v>132.1</v>
      </c>
      <c r="AP146">
        <v>121.3</v>
      </c>
      <c r="AR146">
        <v>121.3</v>
      </c>
      <c r="AT146">
        <v>128.5</v>
      </c>
    </row>
    <row r="147" spans="1:46" x14ac:dyDescent="0.3">
      <c r="A147" t="s">
        <v>34</v>
      </c>
      <c r="B147">
        <v>2016</v>
      </c>
      <c r="C147" t="s">
        <v>45</v>
      </c>
      <c r="D147">
        <v>131.4</v>
      </c>
      <c r="F147">
        <v>137.80000000000001</v>
      </c>
      <c r="H147">
        <v>132</v>
      </c>
      <c r="I147">
        <v>135</v>
      </c>
      <c r="J147">
        <v>118</v>
      </c>
      <c r="K147">
        <v>134.1</v>
      </c>
      <c r="L147">
        <v>141.9</v>
      </c>
      <c r="M147">
        <v>171.7</v>
      </c>
      <c r="N147">
        <v>114.1</v>
      </c>
      <c r="O147">
        <v>139.69999999999999</v>
      </c>
      <c r="P147">
        <v>126.2</v>
      </c>
      <c r="Q147">
        <v>141.80000000000001</v>
      </c>
      <c r="S147">
        <v>136.1</v>
      </c>
      <c r="T147">
        <v>142</v>
      </c>
      <c r="V147">
        <v>135.80000000000001</v>
      </c>
      <c r="X147">
        <v>129.30000000000001</v>
      </c>
      <c r="Z147">
        <v>135</v>
      </c>
      <c r="AB147">
        <v>129.1</v>
      </c>
      <c r="AC147">
        <f t="shared" si="97"/>
        <v>129.1</v>
      </c>
      <c r="AE147">
        <v>125</v>
      </c>
      <c r="AG147">
        <v>128.6</v>
      </c>
      <c r="AI147">
        <v>126.4</v>
      </c>
      <c r="AJ147">
        <v>115.7</v>
      </c>
      <c r="AL147">
        <v>124</v>
      </c>
      <c r="AN147">
        <v>132.80000000000001</v>
      </c>
      <c r="AP147">
        <v>122.6</v>
      </c>
      <c r="AR147">
        <v>123.8</v>
      </c>
      <c r="AT147">
        <v>131.19999999999999</v>
      </c>
    </row>
    <row r="148" spans="1:46" x14ac:dyDescent="0.3">
      <c r="A148" t="s">
        <v>30</v>
      </c>
      <c r="B148">
        <v>2016</v>
      </c>
      <c r="C148" t="s">
        <v>46</v>
      </c>
      <c r="D148">
        <v>132.6</v>
      </c>
      <c r="F148">
        <v>137.30000000000001</v>
      </c>
      <c r="H148">
        <v>131.6</v>
      </c>
      <c r="I148">
        <v>136.30000000000001</v>
      </c>
      <c r="J148">
        <v>121.6</v>
      </c>
      <c r="K148">
        <v>135.6</v>
      </c>
      <c r="L148">
        <v>127.5</v>
      </c>
      <c r="M148">
        <v>167.9</v>
      </c>
      <c r="N148">
        <v>113.8</v>
      </c>
      <c r="O148">
        <v>137.5</v>
      </c>
      <c r="P148">
        <v>129.1</v>
      </c>
      <c r="Q148">
        <v>143.6</v>
      </c>
      <c r="S148">
        <v>134.69999999999999</v>
      </c>
      <c r="T148">
        <v>142.4</v>
      </c>
      <c r="V148">
        <v>140.4</v>
      </c>
      <c r="X148">
        <v>135.19999999999999</v>
      </c>
      <c r="Z148">
        <v>139.69999999999999</v>
      </c>
      <c r="AB148" t="s">
        <v>32</v>
      </c>
      <c r="AC148">
        <f t="shared" ref="AC148" si="98">AB149</f>
        <v>128.5</v>
      </c>
      <c r="AE148">
        <v>132</v>
      </c>
      <c r="AG148">
        <v>132.9</v>
      </c>
      <c r="AI148">
        <v>129.69999999999999</v>
      </c>
      <c r="AJ148">
        <v>118.6</v>
      </c>
      <c r="AL148">
        <v>127.3</v>
      </c>
      <c r="AN148">
        <v>134.19999999999999</v>
      </c>
      <c r="AP148">
        <v>121.9</v>
      </c>
      <c r="AR148">
        <v>126.3</v>
      </c>
      <c r="AT148">
        <v>132.80000000000001</v>
      </c>
    </row>
    <row r="149" spans="1:46" x14ac:dyDescent="0.3">
      <c r="A149" t="s">
        <v>33</v>
      </c>
      <c r="B149">
        <v>2016</v>
      </c>
      <c r="C149" t="s">
        <v>46</v>
      </c>
      <c r="D149">
        <v>131.6</v>
      </c>
      <c r="F149">
        <v>138.19999999999999</v>
      </c>
      <c r="H149">
        <v>134.9</v>
      </c>
      <c r="I149">
        <v>133.1</v>
      </c>
      <c r="J149">
        <v>113.5</v>
      </c>
      <c r="K149">
        <v>129.30000000000001</v>
      </c>
      <c r="L149">
        <v>121.1</v>
      </c>
      <c r="M149">
        <v>170.3</v>
      </c>
      <c r="N149">
        <v>115.5</v>
      </c>
      <c r="O149">
        <v>145.5</v>
      </c>
      <c r="P149">
        <v>123.1</v>
      </c>
      <c r="Q149">
        <v>140.9</v>
      </c>
      <c r="S149">
        <v>132.80000000000001</v>
      </c>
      <c r="T149">
        <v>145</v>
      </c>
      <c r="V149">
        <v>130</v>
      </c>
      <c r="X149">
        <v>122.2</v>
      </c>
      <c r="Z149">
        <v>128.80000000000001</v>
      </c>
      <c r="AB149">
        <v>128.5</v>
      </c>
      <c r="AC149">
        <f t="shared" ref="AC149:AC150" si="99">AB149</f>
        <v>128.5</v>
      </c>
      <c r="AE149">
        <v>117.8</v>
      </c>
      <c r="AG149">
        <v>125</v>
      </c>
      <c r="AI149">
        <v>122.3</v>
      </c>
      <c r="AJ149">
        <v>113.7</v>
      </c>
      <c r="AL149">
        <v>121.8</v>
      </c>
      <c r="AN149">
        <v>132.30000000000001</v>
      </c>
      <c r="AP149">
        <v>119.9</v>
      </c>
      <c r="AR149">
        <v>121.4</v>
      </c>
      <c r="AT149">
        <v>127.6</v>
      </c>
    </row>
    <row r="150" spans="1:46" x14ac:dyDescent="0.3">
      <c r="A150" t="s">
        <v>34</v>
      </c>
      <c r="B150">
        <v>2016</v>
      </c>
      <c r="C150" t="s">
        <v>46</v>
      </c>
      <c r="D150">
        <v>132.30000000000001</v>
      </c>
      <c r="F150">
        <v>137.6</v>
      </c>
      <c r="H150">
        <v>132.9</v>
      </c>
      <c r="I150">
        <v>135.1</v>
      </c>
      <c r="J150">
        <v>118.6</v>
      </c>
      <c r="K150">
        <v>132.69999999999999</v>
      </c>
      <c r="L150">
        <v>125.3</v>
      </c>
      <c r="M150">
        <v>168.7</v>
      </c>
      <c r="N150">
        <v>114.4</v>
      </c>
      <c r="O150">
        <v>140.19999999999999</v>
      </c>
      <c r="P150">
        <v>126.6</v>
      </c>
      <c r="Q150">
        <v>142.30000000000001</v>
      </c>
      <c r="S150">
        <v>134</v>
      </c>
      <c r="T150">
        <v>143.1</v>
      </c>
      <c r="V150">
        <v>136.30000000000001</v>
      </c>
      <c r="X150">
        <v>129.80000000000001</v>
      </c>
      <c r="Z150">
        <v>135.4</v>
      </c>
      <c r="AB150">
        <v>128.5</v>
      </c>
      <c r="AC150">
        <f t="shared" si="99"/>
        <v>128.5</v>
      </c>
      <c r="AE150">
        <v>126.6</v>
      </c>
      <c r="AG150">
        <v>129.19999999999999</v>
      </c>
      <c r="AI150">
        <v>126.9</v>
      </c>
      <c r="AJ150">
        <v>116</v>
      </c>
      <c r="AL150">
        <v>124.2</v>
      </c>
      <c r="AN150">
        <v>133.1</v>
      </c>
      <c r="AP150">
        <v>121.1</v>
      </c>
      <c r="AR150">
        <v>123.9</v>
      </c>
      <c r="AT150">
        <v>130.4</v>
      </c>
    </row>
    <row r="151" spans="1:46" x14ac:dyDescent="0.3">
      <c r="A151" t="s">
        <v>30</v>
      </c>
      <c r="B151">
        <v>2017</v>
      </c>
      <c r="C151" t="s">
        <v>31</v>
      </c>
      <c r="D151">
        <v>133.1</v>
      </c>
      <c r="F151">
        <v>137.80000000000001</v>
      </c>
      <c r="H151">
        <v>131.9</v>
      </c>
      <c r="I151">
        <v>136.69999999999999</v>
      </c>
      <c r="J151">
        <v>122</v>
      </c>
      <c r="K151">
        <v>136</v>
      </c>
      <c r="L151">
        <v>119.8</v>
      </c>
      <c r="M151">
        <v>161.69999999999999</v>
      </c>
      <c r="N151">
        <v>114.8</v>
      </c>
      <c r="O151">
        <v>136.9</v>
      </c>
      <c r="P151">
        <v>129</v>
      </c>
      <c r="Q151">
        <v>143.9</v>
      </c>
      <c r="S151">
        <v>133.69999999999999</v>
      </c>
      <c r="T151">
        <v>143.1</v>
      </c>
      <c r="V151">
        <v>140.69999999999999</v>
      </c>
      <c r="X151">
        <v>135.80000000000001</v>
      </c>
      <c r="Z151">
        <v>140</v>
      </c>
      <c r="AB151" t="s">
        <v>32</v>
      </c>
      <c r="AC151">
        <f t="shared" ref="AC151" si="100">AB152</f>
        <v>129.6</v>
      </c>
      <c r="AE151">
        <v>132.1</v>
      </c>
      <c r="AG151">
        <v>133.19999999999999</v>
      </c>
      <c r="AI151">
        <v>129.9</v>
      </c>
      <c r="AJ151">
        <v>119.1</v>
      </c>
      <c r="AL151">
        <v>127</v>
      </c>
      <c r="AN151">
        <v>134.6</v>
      </c>
      <c r="AP151">
        <v>122.3</v>
      </c>
      <c r="AR151">
        <v>126.6</v>
      </c>
      <c r="AT151">
        <v>132.4</v>
      </c>
    </row>
    <row r="152" spans="1:46" x14ac:dyDescent="0.3">
      <c r="A152" t="s">
        <v>33</v>
      </c>
      <c r="B152">
        <v>2017</v>
      </c>
      <c r="C152" t="s">
        <v>31</v>
      </c>
      <c r="D152">
        <v>132.19999999999999</v>
      </c>
      <c r="F152">
        <v>138.9</v>
      </c>
      <c r="H152">
        <v>132.6</v>
      </c>
      <c r="I152">
        <v>133.1</v>
      </c>
      <c r="J152">
        <v>114</v>
      </c>
      <c r="K152">
        <v>129.6</v>
      </c>
      <c r="L152">
        <v>118.7</v>
      </c>
      <c r="M152">
        <v>155.1</v>
      </c>
      <c r="N152">
        <v>117.3</v>
      </c>
      <c r="O152">
        <v>144.9</v>
      </c>
      <c r="P152">
        <v>123.2</v>
      </c>
      <c r="Q152">
        <v>141.6</v>
      </c>
      <c r="S152">
        <v>132</v>
      </c>
      <c r="T152">
        <v>145.6</v>
      </c>
      <c r="V152">
        <v>130.19999999999999</v>
      </c>
      <c r="X152">
        <v>122.3</v>
      </c>
      <c r="Z152">
        <v>129</v>
      </c>
      <c r="AB152">
        <v>129.6</v>
      </c>
      <c r="AC152">
        <f t="shared" ref="AC152:AC153" si="101">AB152</f>
        <v>129.6</v>
      </c>
      <c r="AE152">
        <v>118</v>
      </c>
      <c r="AG152">
        <v>125.1</v>
      </c>
      <c r="AI152">
        <v>122.6</v>
      </c>
      <c r="AJ152">
        <v>115.2</v>
      </c>
      <c r="AL152">
        <v>122</v>
      </c>
      <c r="AN152">
        <v>132.4</v>
      </c>
      <c r="AP152">
        <v>120.9</v>
      </c>
      <c r="AR152">
        <v>122.1</v>
      </c>
      <c r="AT152">
        <v>127.8</v>
      </c>
    </row>
    <row r="153" spans="1:46" x14ac:dyDescent="0.3">
      <c r="A153" t="s">
        <v>34</v>
      </c>
      <c r="B153">
        <v>2017</v>
      </c>
      <c r="C153" t="s">
        <v>31</v>
      </c>
      <c r="D153">
        <v>132.80000000000001</v>
      </c>
      <c r="F153">
        <v>138.19999999999999</v>
      </c>
      <c r="H153">
        <v>132.19999999999999</v>
      </c>
      <c r="I153">
        <v>135.4</v>
      </c>
      <c r="J153">
        <v>119.1</v>
      </c>
      <c r="K153">
        <v>133</v>
      </c>
      <c r="L153">
        <v>119.4</v>
      </c>
      <c r="M153">
        <v>159.5</v>
      </c>
      <c r="N153">
        <v>115.6</v>
      </c>
      <c r="O153">
        <v>139.6</v>
      </c>
      <c r="P153">
        <v>126.6</v>
      </c>
      <c r="Q153">
        <v>142.80000000000001</v>
      </c>
      <c r="S153">
        <v>133.1</v>
      </c>
      <c r="T153">
        <v>143.80000000000001</v>
      </c>
      <c r="V153">
        <v>136.6</v>
      </c>
      <c r="X153">
        <v>130.19999999999999</v>
      </c>
      <c r="Z153">
        <v>135.6</v>
      </c>
      <c r="AB153">
        <v>129.6</v>
      </c>
      <c r="AC153">
        <f t="shared" si="101"/>
        <v>129.6</v>
      </c>
      <c r="AE153">
        <v>126.8</v>
      </c>
      <c r="AG153">
        <v>129.4</v>
      </c>
      <c r="AI153">
        <v>127.1</v>
      </c>
      <c r="AJ153">
        <v>117</v>
      </c>
      <c r="AL153">
        <v>124.2</v>
      </c>
      <c r="AN153">
        <v>133.30000000000001</v>
      </c>
      <c r="AP153">
        <v>121.7</v>
      </c>
      <c r="AR153">
        <v>124.4</v>
      </c>
      <c r="AT153">
        <v>130.30000000000001</v>
      </c>
    </row>
    <row r="154" spans="1:46" x14ac:dyDescent="0.3">
      <c r="A154" t="s">
        <v>30</v>
      </c>
      <c r="B154">
        <v>2017</v>
      </c>
      <c r="C154" t="s">
        <v>35</v>
      </c>
      <c r="D154">
        <v>133.30000000000001</v>
      </c>
      <c r="F154">
        <v>138.30000000000001</v>
      </c>
      <c r="H154">
        <v>129.30000000000001</v>
      </c>
      <c r="I154">
        <v>137.19999999999999</v>
      </c>
      <c r="J154">
        <v>122.1</v>
      </c>
      <c r="K154">
        <v>138.69999999999999</v>
      </c>
      <c r="L154">
        <v>119.1</v>
      </c>
      <c r="M154">
        <v>156.9</v>
      </c>
      <c r="N154">
        <v>116.2</v>
      </c>
      <c r="O154">
        <v>136</v>
      </c>
      <c r="P154">
        <v>129.4</v>
      </c>
      <c r="Q154">
        <v>144.4</v>
      </c>
      <c r="S154">
        <v>133.6</v>
      </c>
      <c r="T154">
        <v>143.69999999999999</v>
      </c>
      <c r="V154">
        <v>140.9</v>
      </c>
      <c r="X154">
        <v>135.80000000000001</v>
      </c>
      <c r="Z154">
        <v>140.19999999999999</v>
      </c>
      <c r="AB154" t="s">
        <v>32</v>
      </c>
      <c r="AC154">
        <f t="shared" ref="AC154" si="102">AB155</f>
        <v>130.5</v>
      </c>
      <c r="AE154">
        <v>133.19999999999999</v>
      </c>
      <c r="AG154">
        <v>133.6</v>
      </c>
      <c r="AI154">
        <v>130.1</v>
      </c>
      <c r="AJ154">
        <v>119.5</v>
      </c>
      <c r="AL154">
        <v>127.7</v>
      </c>
      <c r="AN154">
        <v>134.9</v>
      </c>
      <c r="AP154">
        <v>123.2</v>
      </c>
      <c r="AR154">
        <v>127</v>
      </c>
      <c r="AT154">
        <v>132.6</v>
      </c>
    </row>
    <row r="155" spans="1:46" x14ac:dyDescent="0.3">
      <c r="A155" t="s">
        <v>33</v>
      </c>
      <c r="B155">
        <v>2017</v>
      </c>
      <c r="C155" t="s">
        <v>35</v>
      </c>
      <c r="D155">
        <v>132.80000000000001</v>
      </c>
      <c r="F155">
        <v>139.80000000000001</v>
      </c>
      <c r="H155">
        <v>129.30000000000001</v>
      </c>
      <c r="I155">
        <v>133.5</v>
      </c>
      <c r="J155">
        <v>114.3</v>
      </c>
      <c r="K155">
        <v>131.4</v>
      </c>
      <c r="L155">
        <v>120.2</v>
      </c>
      <c r="M155">
        <v>143.1</v>
      </c>
      <c r="N155">
        <v>119.5</v>
      </c>
      <c r="O155">
        <v>144</v>
      </c>
      <c r="P155">
        <v>123.4</v>
      </c>
      <c r="Q155">
        <v>141.9</v>
      </c>
      <c r="S155">
        <v>132.1</v>
      </c>
      <c r="T155">
        <v>146.30000000000001</v>
      </c>
      <c r="V155">
        <v>130.5</v>
      </c>
      <c r="X155">
        <v>122.5</v>
      </c>
      <c r="Z155">
        <v>129.30000000000001</v>
      </c>
      <c r="AB155">
        <v>130.5</v>
      </c>
      <c r="AC155">
        <f t="shared" ref="AC155:AC156" si="103">AB155</f>
        <v>130.5</v>
      </c>
      <c r="AE155">
        <v>119.2</v>
      </c>
      <c r="AG155">
        <v>125.3</v>
      </c>
      <c r="AI155">
        <v>122.9</v>
      </c>
      <c r="AJ155">
        <v>115.5</v>
      </c>
      <c r="AL155">
        <v>122.2</v>
      </c>
      <c r="AN155">
        <v>132.4</v>
      </c>
      <c r="AP155">
        <v>121.7</v>
      </c>
      <c r="AR155">
        <v>122.4</v>
      </c>
      <c r="AT155">
        <v>128.19999999999999</v>
      </c>
    </row>
    <row r="156" spans="1:46" x14ac:dyDescent="0.3">
      <c r="A156" t="s">
        <v>34</v>
      </c>
      <c r="B156">
        <v>2017</v>
      </c>
      <c r="C156" t="s">
        <v>35</v>
      </c>
      <c r="D156">
        <v>133.1</v>
      </c>
      <c r="F156">
        <v>138.80000000000001</v>
      </c>
      <c r="H156">
        <v>129.30000000000001</v>
      </c>
      <c r="I156">
        <v>135.80000000000001</v>
      </c>
      <c r="J156">
        <v>119.2</v>
      </c>
      <c r="K156">
        <v>135.30000000000001</v>
      </c>
      <c r="L156">
        <v>119.5</v>
      </c>
      <c r="M156">
        <v>152.19999999999999</v>
      </c>
      <c r="N156">
        <v>117.3</v>
      </c>
      <c r="O156">
        <v>138.69999999999999</v>
      </c>
      <c r="P156">
        <v>126.9</v>
      </c>
      <c r="Q156">
        <v>143.19999999999999</v>
      </c>
      <c r="S156">
        <v>133</v>
      </c>
      <c r="T156">
        <v>144.4</v>
      </c>
      <c r="V156">
        <v>136.80000000000001</v>
      </c>
      <c r="X156">
        <v>130.30000000000001</v>
      </c>
      <c r="Z156">
        <v>135.9</v>
      </c>
      <c r="AB156">
        <v>130.5</v>
      </c>
      <c r="AC156">
        <f t="shared" si="103"/>
        <v>130.5</v>
      </c>
      <c r="AE156">
        <v>127.9</v>
      </c>
      <c r="AG156">
        <v>129.69999999999999</v>
      </c>
      <c r="AI156">
        <v>127.4</v>
      </c>
      <c r="AJ156">
        <v>117.4</v>
      </c>
      <c r="AL156">
        <v>124.6</v>
      </c>
      <c r="AN156">
        <v>133.4</v>
      </c>
      <c r="AP156">
        <v>122.6</v>
      </c>
      <c r="AR156">
        <v>124.8</v>
      </c>
      <c r="AT156">
        <v>130.6</v>
      </c>
    </row>
    <row r="157" spans="1:46" x14ac:dyDescent="0.3">
      <c r="A157" t="s">
        <v>30</v>
      </c>
      <c r="B157">
        <v>2017</v>
      </c>
      <c r="C157" t="s">
        <v>36</v>
      </c>
      <c r="D157">
        <v>133.6</v>
      </c>
      <c r="F157">
        <v>138.80000000000001</v>
      </c>
      <c r="H157">
        <v>128.80000000000001</v>
      </c>
      <c r="I157">
        <v>137.19999999999999</v>
      </c>
      <c r="J157">
        <v>121.6</v>
      </c>
      <c r="K157">
        <v>139.69999999999999</v>
      </c>
      <c r="L157">
        <v>119.7</v>
      </c>
      <c r="M157">
        <v>148</v>
      </c>
      <c r="N157">
        <v>116.9</v>
      </c>
      <c r="O157">
        <v>135.6</v>
      </c>
      <c r="P157">
        <v>129.80000000000001</v>
      </c>
      <c r="Q157">
        <v>145.4</v>
      </c>
      <c r="S157">
        <v>133.4</v>
      </c>
      <c r="T157">
        <v>144.19999999999999</v>
      </c>
      <c r="V157">
        <v>141.6</v>
      </c>
      <c r="X157">
        <v>136.19999999999999</v>
      </c>
      <c r="Z157">
        <v>140.80000000000001</v>
      </c>
      <c r="AB157" t="s">
        <v>32</v>
      </c>
      <c r="AC157">
        <f t="shared" ref="AC157" si="104">AB158</f>
        <v>131.1</v>
      </c>
      <c r="AE157">
        <v>134.19999999999999</v>
      </c>
      <c r="AG157">
        <v>134.1</v>
      </c>
      <c r="AI157">
        <v>130.6</v>
      </c>
      <c r="AJ157">
        <v>119.8</v>
      </c>
      <c r="AL157">
        <v>128.30000000000001</v>
      </c>
      <c r="AN157">
        <v>135.19999999999999</v>
      </c>
      <c r="AP157">
        <v>123.3</v>
      </c>
      <c r="AR157">
        <v>127.4</v>
      </c>
      <c r="AT157">
        <v>132.80000000000001</v>
      </c>
    </row>
    <row r="158" spans="1:46" x14ac:dyDescent="0.3">
      <c r="A158" t="s">
        <v>33</v>
      </c>
      <c r="B158">
        <v>2017</v>
      </c>
      <c r="C158" t="s">
        <v>36</v>
      </c>
      <c r="D158">
        <v>132.69999999999999</v>
      </c>
      <c r="F158">
        <v>139.4</v>
      </c>
      <c r="H158">
        <v>128.4</v>
      </c>
      <c r="I158">
        <v>134.9</v>
      </c>
      <c r="J158">
        <v>114</v>
      </c>
      <c r="K158">
        <v>136.80000000000001</v>
      </c>
      <c r="L158">
        <v>122.2</v>
      </c>
      <c r="M158">
        <v>135.80000000000001</v>
      </c>
      <c r="N158">
        <v>120.3</v>
      </c>
      <c r="O158">
        <v>142.6</v>
      </c>
      <c r="P158">
        <v>123.6</v>
      </c>
      <c r="Q158">
        <v>142.4</v>
      </c>
      <c r="S158">
        <v>132.6</v>
      </c>
      <c r="T158">
        <v>147.5</v>
      </c>
      <c r="V158">
        <v>130.80000000000001</v>
      </c>
      <c r="X158">
        <v>122.8</v>
      </c>
      <c r="Z158">
        <v>129.6</v>
      </c>
      <c r="AB158">
        <v>131.1</v>
      </c>
      <c r="AC158">
        <f t="shared" ref="AC158:AC159" si="105">AB158</f>
        <v>131.1</v>
      </c>
      <c r="AE158">
        <v>120.8</v>
      </c>
      <c r="AG158">
        <v>125.6</v>
      </c>
      <c r="AI158">
        <v>123.1</v>
      </c>
      <c r="AJ158">
        <v>115.6</v>
      </c>
      <c r="AL158">
        <v>122.4</v>
      </c>
      <c r="AN158">
        <v>132.80000000000001</v>
      </c>
      <c r="AP158">
        <v>121.7</v>
      </c>
      <c r="AR158">
        <v>122.6</v>
      </c>
      <c r="AT158">
        <v>128.69999999999999</v>
      </c>
    </row>
    <row r="159" spans="1:46" x14ac:dyDescent="0.3">
      <c r="A159" t="s">
        <v>34</v>
      </c>
      <c r="B159">
        <v>2017</v>
      </c>
      <c r="C159" t="s">
        <v>36</v>
      </c>
      <c r="D159">
        <v>133.30000000000001</v>
      </c>
      <c r="F159">
        <v>139</v>
      </c>
      <c r="H159">
        <v>128.6</v>
      </c>
      <c r="I159">
        <v>136.30000000000001</v>
      </c>
      <c r="J159">
        <v>118.8</v>
      </c>
      <c r="K159">
        <v>138.30000000000001</v>
      </c>
      <c r="L159">
        <v>120.5</v>
      </c>
      <c r="M159">
        <v>143.9</v>
      </c>
      <c r="N159">
        <v>118</v>
      </c>
      <c r="O159">
        <v>137.9</v>
      </c>
      <c r="P159">
        <v>127.2</v>
      </c>
      <c r="Q159">
        <v>144</v>
      </c>
      <c r="S159">
        <v>133.1</v>
      </c>
      <c r="T159">
        <v>145.1</v>
      </c>
      <c r="V159">
        <v>137.30000000000001</v>
      </c>
      <c r="X159">
        <v>130.6</v>
      </c>
      <c r="Z159">
        <v>136.4</v>
      </c>
      <c r="AB159">
        <v>131.1</v>
      </c>
      <c r="AC159">
        <f t="shared" si="105"/>
        <v>131.1</v>
      </c>
      <c r="AE159">
        <v>129.1</v>
      </c>
      <c r="AG159">
        <v>130.1</v>
      </c>
      <c r="AI159">
        <v>127.8</v>
      </c>
      <c r="AJ159">
        <v>117.6</v>
      </c>
      <c r="AL159">
        <v>125</v>
      </c>
      <c r="AN159">
        <v>133.80000000000001</v>
      </c>
      <c r="AP159">
        <v>122.6</v>
      </c>
      <c r="AR159">
        <v>125.1</v>
      </c>
      <c r="AT159">
        <v>130.9</v>
      </c>
    </row>
    <row r="160" spans="1:46" x14ac:dyDescent="0.3">
      <c r="A160" t="s">
        <v>30</v>
      </c>
      <c r="B160">
        <v>2017</v>
      </c>
      <c r="C160" t="s">
        <v>37</v>
      </c>
      <c r="D160">
        <v>133.19999999999999</v>
      </c>
      <c r="F160">
        <v>138.69999999999999</v>
      </c>
      <c r="H160">
        <v>127.1</v>
      </c>
      <c r="I160">
        <v>137.69999999999999</v>
      </c>
      <c r="J160">
        <v>121.3</v>
      </c>
      <c r="K160">
        <v>141.80000000000001</v>
      </c>
      <c r="L160">
        <v>121.5</v>
      </c>
      <c r="M160">
        <v>144.5</v>
      </c>
      <c r="N160">
        <v>117.4</v>
      </c>
      <c r="O160">
        <v>134.1</v>
      </c>
      <c r="P160">
        <v>130</v>
      </c>
      <c r="Q160">
        <v>145.5</v>
      </c>
      <c r="S160">
        <v>133.5</v>
      </c>
      <c r="T160">
        <v>144.4</v>
      </c>
      <c r="V160">
        <v>142.4</v>
      </c>
      <c r="X160">
        <v>136.80000000000001</v>
      </c>
      <c r="Z160">
        <v>141.6</v>
      </c>
      <c r="AB160" t="s">
        <v>32</v>
      </c>
      <c r="AC160">
        <f t="shared" ref="AC160" si="106">AB161</f>
        <v>131.69999999999999</v>
      </c>
      <c r="AE160">
        <v>135</v>
      </c>
      <c r="AG160">
        <v>134.30000000000001</v>
      </c>
      <c r="AI160">
        <v>131</v>
      </c>
      <c r="AJ160">
        <v>119.2</v>
      </c>
      <c r="AL160">
        <v>128.30000000000001</v>
      </c>
      <c r="AN160">
        <v>135.69999999999999</v>
      </c>
      <c r="AP160">
        <v>123.7</v>
      </c>
      <c r="AR160">
        <v>127.5</v>
      </c>
      <c r="AT160">
        <v>132.9</v>
      </c>
    </row>
    <row r="161" spans="1:46" x14ac:dyDescent="0.3">
      <c r="A161" t="s">
        <v>33</v>
      </c>
      <c r="B161">
        <v>2017</v>
      </c>
      <c r="C161" t="s">
        <v>37</v>
      </c>
      <c r="D161">
        <v>132.69999999999999</v>
      </c>
      <c r="F161">
        <v>140.6</v>
      </c>
      <c r="H161">
        <v>124.5</v>
      </c>
      <c r="I161">
        <v>136.30000000000001</v>
      </c>
      <c r="J161">
        <v>113.5</v>
      </c>
      <c r="K161">
        <v>137.69999999999999</v>
      </c>
      <c r="L161">
        <v>127.1</v>
      </c>
      <c r="M161">
        <v>133.80000000000001</v>
      </c>
      <c r="N161">
        <v>120.8</v>
      </c>
      <c r="O161">
        <v>141.30000000000001</v>
      </c>
      <c r="P161">
        <v>123.8</v>
      </c>
      <c r="Q161">
        <v>142.6</v>
      </c>
      <c r="S161">
        <v>133.4</v>
      </c>
      <c r="T161">
        <v>148</v>
      </c>
      <c r="V161">
        <v>131.19999999999999</v>
      </c>
      <c r="X161">
        <v>123</v>
      </c>
      <c r="Z161">
        <v>130</v>
      </c>
      <c r="AB161">
        <v>131.69999999999999</v>
      </c>
      <c r="AC161">
        <f t="shared" ref="AC161:AC162" si="107">AB161</f>
        <v>131.69999999999999</v>
      </c>
      <c r="AE161">
        <v>121.4</v>
      </c>
      <c r="AG161">
        <v>126</v>
      </c>
      <c r="AI161">
        <v>123.4</v>
      </c>
      <c r="AJ161">
        <v>114.3</v>
      </c>
      <c r="AL161">
        <v>122.6</v>
      </c>
      <c r="AN161">
        <v>133.6</v>
      </c>
      <c r="AP161">
        <v>122.2</v>
      </c>
      <c r="AR161">
        <v>122.5</v>
      </c>
      <c r="AT161">
        <v>129.1</v>
      </c>
    </row>
    <row r="162" spans="1:46" x14ac:dyDescent="0.3">
      <c r="A162" t="s">
        <v>34</v>
      </c>
      <c r="B162">
        <v>2017</v>
      </c>
      <c r="C162" t="s">
        <v>37</v>
      </c>
      <c r="D162">
        <v>133</v>
      </c>
      <c r="F162">
        <v>139.4</v>
      </c>
      <c r="H162">
        <v>126.1</v>
      </c>
      <c r="I162">
        <v>137.19999999999999</v>
      </c>
      <c r="J162">
        <v>118.4</v>
      </c>
      <c r="K162">
        <v>139.9</v>
      </c>
      <c r="L162">
        <v>123.4</v>
      </c>
      <c r="M162">
        <v>140.9</v>
      </c>
      <c r="N162">
        <v>118.5</v>
      </c>
      <c r="O162">
        <v>136.5</v>
      </c>
      <c r="P162">
        <v>127.4</v>
      </c>
      <c r="Q162">
        <v>144.19999999999999</v>
      </c>
      <c r="S162">
        <v>133.5</v>
      </c>
      <c r="T162">
        <v>145.4</v>
      </c>
      <c r="V162">
        <v>138</v>
      </c>
      <c r="X162">
        <v>131.1</v>
      </c>
      <c r="Z162">
        <v>137</v>
      </c>
      <c r="AB162">
        <v>131.69999999999999</v>
      </c>
      <c r="AC162">
        <f t="shared" si="107"/>
        <v>131.69999999999999</v>
      </c>
      <c r="AE162">
        <v>129.80000000000001</v>
      </c>
      <c r="AG162">
        <v>130.4</v>
      </c>
      <c r="AI162">
        <v>128.1</v>
      </c>
      <c r="AJ162">
        <v>116.6</v>
      </c>
      <c r="AL162">
        <v>125.1</v>
      </c>
      <c r="AN162">
        <v>134.5</v>
      </c>
      <c r="AP162">
        <v>123.1</v>
      </c>
      <c r="AR162">
        <v>125.1</v>
      </c>
      <c r="AT162">
        <v>131.1</v>
      </c>
    </row>
    <row r="163" spans="1:46" x14ac:dyDescent="0.3">
      <c r="A163" t="s">
        <v>30</v>
      </c>
      <c r="B163">
        <v>2017</v>
      </c>
      <c r="C163" t="s">
        <v>38</v>
      </c>
      <c r="D163">
        <v>133.1</v>
      </c>
      <c r="F163">
        <v>140.30000000000001</v>
      </c>
      <c r="H163">
        <v>126.8</v>
      </c>
      <c r="I163">
        <v>138.19999999999999</v>
      </c>
      <c r="J163">
        <v>120.8</v>
      </c>
      <c r="K163">
        <v>140.19999999999999</v>
      </c>
      <c r="L163">
        <v>123.8</v>
      </c>
      <c r="M163">
        <v>141.80000000000001</v>
      </c>
      <c r="N163">
        <v>118.6</v>
      </c>
      <c r="O163">
        <v>134</v>
      </c>
      <c r="P163">
        <v>130.30000000000001</v>
      </c>
      <c r="Q163">
        <v>145.80000000000001</v>
      </c>
      <c r="S163">
        <v>133.80000000000001</v>
      </c>
      <c r="T163">
        <v>145.5</v>
      </c>
      <c r="V163">
        <v>142.5</v>
      </c>
      <c r="X163">
        <v>137.30000000000001</v>
      </c>
      <c r="Z163">
        <v>141.80000000000001</v>
      </c>
      <c r="AB163" t="s">
        <v>32</v>
      </c>
      <c r="AC163">
        <f t="shared" ref="AC163" si="108">AB164</f>
        <v>132.1</v>
      </c>
      <c r="AE163">
        <v>135</v>
      </c>
      <c r="AG163">
        <v>134.9</v>
      </c>
      <c r="AI163">
        <v>131.4</v>
      </c>
      <c r="AJ163">
        <v>119.4</v>
      </c>
      <c r="AL163">
        <v>129.4</v>
      </c>
      <c r="AN163">
        <v>136.30000000000001</v>
      </c>
      <c r="AP163">
        <v>123.7</v>
      </c>
      <c r="AR163">
        <v>127.9</v>
      </c>
      <c r="AT163">
        <v>133.30000000000001</v>
      </c>
    </row>
    <row r="164" spans="1:46" x14ac:dyDescent="0.3">
      <c r="A164" t="s">
        <v>33</v>
      </c>
      <c r="B164">
        <v>2017</v>
      </c>
      <c r="C164" t="s">
        <v>38</v>
      </c>
      <c r="D164">
        <v>132.6</v>
      </c>
      <c r="F164">
        <v>144.1</v>
      </c>
      <c r="H164">
        <v>125.6</v>
      </c>
      <c r="I164">
        <v>136.80000000000001</v>
      </c>
      <c r="J164">
        <v>113.4</v>
      </c>
      <c r="K164">
        <v>135.19999999999999</v>
      </c>
      <c r="L164">
        <v>129.19999999999999</v>
      </c>
      <c r="M164">
        <v>131.5</v>
      </c>
      <c r="N164">
        <v>121</v>
      </c>
      <c r="O164">
        <v>139.9</v>
      </c>
      <c r="P164">
        <v>123.8</v>
      </c>
      <c r="Q164">
        <v>142.9</v>
      </c>
      <c r="S164">
        <v>133.6</v>
      </c>
      <c r="T164">
        <v>148.30000000000001</v>
      </c>
      <c r="V164">
        <v>131.5</v>
      </c>
      <c r="X164">
        <v>123.2</v>
      </c>
      <c r="Z164">
        <v>130.19999999999999</v>
      </c>
      <c r="AB164">
        <v>132.1</v>
      </c>
      <c r="AC164">
        <f t="shared" ref="AC164:AC165" si="109">AB164</f>
        <v>132.1</v>
      </c>
      <c r="AE164">
        <v>120.1</v>
      </c>
      <c r="AG164">
        <v>126.5</v>
      </c>
      <c r="AI164">
        <v>123.6</v>
      </c>
      <c r="AJ164">
        <v>114.3</v>
      </c>
      <c r="AL164">
        <v>122.8</v>
      </c>
      <c r="AN164">
        <v>133.80000000000001</v>
      </c>
      <c r="AP164">
        <v>122</v>
      </c>
      <c r="AR164">
        <v>122.6</v>
      </c>
      <c r="AT164">
        <v>129.30000000000001</v>
      </c>
    </row>
    <row r="165" spans="1:46" x14ac:dyDescent="0.3">
      <c r="A165" t="s">
        <v>34</v>
      </c>
      <c r="B165">
        <v>2017</v>
      </c>
      <c r="C165" t="s">
        <v>38</v>
      </c>
      <c r="D165">
        <v>132.9</v>
      </c>
      <c r="F165">
        <v>141.6</v>
      </c>
      <c r="H165">
        <v>126.3</v>
      </c>
      <c r="I165">
        <v>137.69999999999999</v>
      </c>
      <c r="J165">
        <v>118.1</v>
      </c>
      <c r="K165">
        <v>137.9</v>
      </c>
      <c r="L165">
        <v>125.6</v>
      </c>
      <c r="M165">
        <v>138.30000000000001</v>
      </c>
      <c r="N165">
        <v>119.4</v>
      </c>
      <c r="O165">
        <v>136</v>
      </c>
      <c r="P165">
        <v>127.6</v>
      </c>
      <c r="Q165">
        <v>144.5</v>
      </c>
      <c r="S165">
        <v>133.69999999999999</v>
      </c>
      <c r="T165">
        <v>146.19999999999999</v>
      </c>
      <c r="V165">
        <v>138.19999999999999</v>
      </c>
      <c r="X165">
        <v>131.4</v>
      </c>
      <c r="Z165">
        <v>137.19999999999999</v>
      </c>
      <c r="AB165">
        <v>132.1</v>
      </c>
      <c r="AC165">
        <f t="shared" si="109"/>
        <v>132.1</v>
      </c>
      <c r="AE165">
        <v>129.4</v>
      </c>
      <c r="AG165">
        <v>130.9</v>
      </c>
      <c r="AI165">
        <v>128.4</v>
      </c>
      <c r="AJ165">
        <v>116.7</v>
      </c>
      <c r="AL165">
        <v>125.7</v>
      </c>
      <c r="AN165">
        <v>134.80000000000001</v>
      </c>
      <c r="AP165">
        <v>123</v>
      </c>
      <c r="AR165">
        <v>125.3</v>
      </c>
      <c r="AT165">
        <v>131.4</v>
      </c>
    </row>
    <row r="166" spans="1:46" x14ac:dyDescent="0.3">
      <c r="A166" t="s">
        <v>30</v>
      </c>
      <c r="B166">
        <v>2017</v>
      </c>
      <c r="C166" t="s">
        <v>39</v>
      </c>
      <c r="D166">
        <v>133.5</v>
      </c>
      <c r="F166">
        <v>143.69999999999999</v>
      </c>
      <c r="H166">
        <v>128</v>
      </c>
      <c r="I166">
        <v>138.6</v>
      </c>
      <c r="J166">
        <v>120.9</v>
      </c>
      <c r="K166">
        <v>140.9</v>
      </c>
      <c r="L166">
        <v>128.80000000000001</v>
      </c>
      <c r="M166">
        <v>140.19999999999999</v>
      </c>
      <c r="N166">
        <v>118.9</v>
      </c>
      <c r="O166">
        <v>133.5</v>
      </c>
      <c r="P166">
        <v>130.4</v>
      </c>
      <c r="Q166">
        <v>146.5</v>
      </c>
      <c r="S166">
        <v>134.9</v>
      </c>
      <c r="T166">
        <v>145.80000000000001</v>
      </c>
      <c r="V166">
        <v>143.1</v>
      </c>
      <c r="X166">
        <v>137.69999999999999</v>
      </c>
      <c r="Z166">
        <v>142.30000000000001</v>
      </c>
      <c r="AB166" t="s">
        <v>32</v>
      </c>
      <c r="AC166">
        <f t="shared" ref="AC166" si="110">AB167</f>
        <v>131.4</v>
      </c>
      <c r="AE166">
        <v>134.80000000000001</v>
      </c>
      <c r="AG166">
        <v>135.19999999999999</v>
      </c>
      <c r="AI166">
        <v>131.30000000000001</v>
      </c>
      <c r="AJ166">
        <v>119.4</v>
      </c>
      <c r="AL166">
        <v>129.80000000000001</v>
      </c>
      <c r="AN166">
        <v>136.9</v>
      </c>
      <c r="AP166">
        <v>124.1</v>
      </c>
      <c r="AR166">
        <v>128.1</v>
      </c>
      <c r="AT166">
        <v>133.9</v>
      </c>
    </row>
    <row r="167" spans="1:46" x14ac:dyDescent="0.3">
      <c r="A167" t="s">
        <v>33</v>
      </c>
      <c r="B167">
        <v>2017</v>
      </c>
      <c r="C167" t="s">
        <v>39</v>
      </c>
      <c r="D167">
        <v>132.9</v>
      </c>
      <c r="F167">
        <v>148.69999999999999</v>
      </c>
      <c r="H167">
        <v>128.30000000000001</v>
      </c>
      <c r="I167">
        <v>137.30000000000001</v>
      </c>
      <c r="J167">
        <v>113.5</v>
      </c>
      <c r="K167">
        <v>137.19999999999999</v>
      </c>
      <c r="L167">
        <v>142.19999999999999</v>
      </c>
      <c r="M167">
        <v>128.19999999999999</v>
      </c>
      <c r="N167">
        <v>120.9</v>
      </c>
      <c r="O167">
        <v>138.80000000000001</v>
      </c>
      <c r="P167">
        <v>124.2</v>
      </c>
      <c r="Q167">
        <v>143.1</v>
      </c>
      <c r="S167">
        <v>135.69999999999999</v>
      </c>
      <c r="T167">
        <v>148.6</v>
      </c>
      <c r="V167">
        <v>131.5</v>
      </c>
      <c r="X167">
        <v>123.2</v>
      </c>
      <c r="Z167">
        <v>130.19999999999999</v>
      </c>
      <c r="AB167">
        <v>131.4</v>
      </c>
      <c r="AC167">
        <f t="shared" ref="AC167:AC168" si="111">AB167</f>
        <v>131.4</v>
      </c>
      <c r="AE167">
        <v>119</v>
      </c>
      <c r="AG167">
        <v>126.8</v>
      </c>
      <c r="AI167">
        <v>123.8</v>
      </c>
      <c r="AJ167">
        <v>113.9</v>
      </c>
      <c r="AL167">
        <v>122.9</v>
      </c>
      <c r="AN167">
        <v>134.30000000000001</v>
      </c>
      <c r="AP167">
        <v>122.5</v>
      </c>
      <c r="AR167">
        <v>122.7</v>
      </c>
      <c r="AT167">
        <v>129.9</v>
      </c>
    </row>
    <row r="168" spans="1:46" x14ac:dyDescent="0.3">
      <c r="A168" t="s">
        <v>34</v>
      </c>
      <c r="B168">
        <v>2017</v>
      </c>
      <c r="C168" t="s">
        <v>39</v>
      </c>
      <c r="D168">
        <v>133.30000000000001</v>
      </c>
      <c r="F168">
        <v>145.5</v>
      </c>
      <c r="H168">
        <v>128.1</v>
      </c>
      <c r="I168">
        <v>138.1</v>
      </c>
      <c r="J168">
        <v>118.2</v>
      </c>
      <c r="K168">
        <v>139.19999999999999</v>
      </c>
      <c r="L168">
        <v>133.30000000000001</v>
      </c>
      <c r="M168">
        <v>136.19999999999999</v>
      </c>
      <c r="N168">
        <v>119.6</v>
      </c>
      <c r="O168">
        <v>135.30000000000001</v>
      </c>
      <c r="P168">
        <v>127.8</v>
      </c>
      <c r="Q168">
        <v>144.9</v>
      </c>
      <c r="S168">
        <v>135.19999999999999</v>
      </c>
      <c r="T168">
        <v>146.5</v>
      </c>
      <c r="V168">
        <v>138.5</v>
      </c>
      <c r="X168">
        <v>131.69999999999999</v>
      </c>
      <c r="Z168">
        <v>137.5</v>
      </c>
      <c r="AB168">
        <v>131.4</v>
      </c>
      <c r="AC168">
        <f t="shared" si="111"/>
        <v>131.4</v>
      </c>
      <c r="AE168">
        <v>128.80000000000001</v>
      </c>
      <c r="AG168">
        <v>131.19999999999999</v>
      </c>
      <c r="AI168">
        <v>128.5</v>
      </c>
      <c r="AJ168">
        <v>116.5</v>
      </c>
      <c r="AL168">
        <v>125.9</v>
      </c>
      <c r="AN168">
        <v>135.4</v>
      </c>
      <c r="AP168">
        <v>123.4</v>
      </c>
      <c r="AR168">
        <v>125.5</v>
      </c>
      <c r="AT168">
        <v>132</v>
      </c>
    </row>
    <row r="169" spans="1:46" x14ac:dyDescent="0.3">
      <c r="A169" t="s">
        <v>30</v>
      </c>
      <c r="B169">
        <v>2017</v>
      </c>
      <c r="C169" t="s">
        <v>40</v>
      </c>
      <c r="D169">
        <v>134</v>
      </c>
      <c r="F169">
        <v>144.19999999999999</v>
      </c>
      <c r="H169">
        <v>129.80000000000001</v>
      </c>
      <c r="I169">
        <v>139</v>
      </c>
      <c r="J169">
        <v>120.9</v>
      </c>
      <c r="K169">
        <v>143.9</v>
      </c>
      <c r="L169">
        <v>151.5</v>
      </c>
      <c r="M169">
        <v>138.1</v>
      </c>
      <c r="N169">
        <v>120</v>
      </c>
      <c r="O169">
        <v>133.9</v>
      </c>
      <c r="P169">
        <v>131.4</v>
      </c>
      <c r="Q169">
        <v>147.69999999999999</v>
      </c>
      <c r="S169">
        <v>138.5</v>
      </c>
      <c r="T169">
        <v>147.4</v>
      </c>
      <c r="V169">
        <v>144.30000000000001</v>
      </c>
      <c r="X169">
        <v>138.1</v>
      </c>
      <c r="Z169">
        <v>143.5</v>
      </c>
      <c r="AB169" t="s">
        <v>32</v>
      </c>
      <c r="AC169">
        <f t="shared" ref="AC169" si="112">AB170</f>
        <v>132.6</v>
      </c>
      <c r="AE169">
        <v>135.30000000000001</v>
      </c>
      <c r="AG169">
        <v>136.1</v>
      </c>
      <c r="AI169">
        <v>132.1</v>
      </c>
      <c r="AJ169">
        <v>119.1</v>
      </c>
      <c r="AL169">
        <v>130.6</v>
      </c>
      <c r="AN169">
        <v>138.6</v>
      </c>
      <c r="AP169">
        <v>124.4</v>
      </c>
      <c r="AR169">
        <v>128.6</v>
      </c>
      <c r="AT169">
        <v>136.19999999999999</v>
      </c>
    </row>
    <row r="170" spans="1:46" x14ac:dyDescent="0.3">
      <c r="A170" t="s">
        <v>33</v>
      </c>
      <c r="B170">
        <v>2017</v>
      </c>
      <c r="C170" t="s">
        <v>40</v>
      </c>
      <c r="D170">
        <v>132.80000000000001</v>
      </c>
      <c r="F170">
        <v>148.4</v>
      </c>
      <c r="H170">
        <v>129.4</v>
      </c>
      <c r="I170">
        <v>137.69999999999999</v>
      </c>
      <c r="J170">
        <v>113.4</v>
      </c>
      <c r="K170">
        <v>139.4</v>
      </c>
      <c r="L170">
        <v>175.1</v>
      </c>
      <c r="M170">
        <v>124.7</v>
      </c>
      <c r="N170">
        <v>121.5</v>
      </c>
      <c r="O170">
        <v>137.80000000000001</v>
      </c>
      <c r="P170">
        <v>124.4</v>
      </c>
      <c r="Q170">
        <v>143.69999999999999</v>
      </c>
      <c r="S170">
        <v>139.80000000000001</v>
      </c>
      <c r="T170">
        <v>150.5</v>
      </c>
      <c r="V170">
        <v>131.6</v>
      </c>
      <c r="X170">
        <v>123.7</v>
      </c>
      <c r="Z170">
        <v>130.4</v>
      </c>
      <c r="AB170">
        <v>132.6</v>
      </c>
      <c r="AC170">
        <f t="shared" ref="AC170:AC171" si="113">AB170</f>
        <v>132.6</v>
      </c>
      <c r="AE170">
        <v>119.7</v>
      </c>
      <c r="AG170">
        <v>127.2</v>
      </c>
      <c r="AI170">
        <v>125</v>
      </c>
      <c r="AJ170">
        <v>113.2</v>
      </c>
      <c r="AL170">
        <v>123.5</v>
      </c>
      <c r="AN170">
        <v>135.5</v>
      </c>
      <c r="AP170">
        <v>122.4</v>
      </c>
      <c r="AR170">
        <v>123</v>
      </c>
      <c r="AT170">
        <v>131.80000000000001</v>
      </c>
    </row>
    <row r="171" spans="1:46" x14ac:dyDescent="0.3">
      <c r="A171" t="s">
        <v>34</v>
      </c>
      <c r="B171">
        <v>2017</v>
      </c>
      <c r="C171" t="s">
        <v>40</v>
      </c>
      <c r="D171">
        <v>133.6</v>
      </c>
      <c r="F171">
        <v>145.69999999999999</v>
      </c>
      <c r="H171">
        <v>129.6</v>
      </c>
      <c r="I171">
        <v>138.5</v>
      </c>
      <c r="J171">
        <v>118.1</v>
      </c>
      <c r="K171">
        <v>141.80000000000001</v>
      </c>
      <c r="L171">
        <v>159.5</v>
      </c>
      <c r="M171">
        <v>133.6</v>
      </c>
      <c r="N171">
        <v>120.5</v>
      </c>
      <c r="O171">
        <v>135.19999999999999</v>
      </c>
      <c r="P171">
        <v>128.5</v>
      </c>
      <c r="Q171">
        <v>145.80000000000001</v>
      </c>
      <c r="S171">
        <v>139</v>
      </c>
      <c r="T171">
        <v>148.19999999999999</v>
      </c>
      <c r="V171">
        <v>139.30000000000001</v>
      </c>
      <c r="X171">
        <v>132.1</v>
      </c>
      <c r="Z171">
        <v>138.30000000000001</v>
      </c>
      <c r="AB171">
        <v>132.6</v>
      </c>
      <c r="AC171">
        <f t="shared" si="113"/>
        <v>132.6</v>
      </c>
      <c r="AE171">
        <v>129.4</v>
      </c>
      <c r="AG171">
        <v>131.9</v>
      </c>
      <c r="AI171">
        <v>129.4</v>
      </c>
      <c r="AJ171">
        <v>116</v>
      </c>
      <c r="AL171">
        <v>126.6</v>
      </c>
      <c r="AN171">
        <v>136.80000000000001</v>
      </c>
      <c r="AP171">
        <v>123.6</v>
      </c>
      <c r="AR171">
        <v>125.9</v>
      </c>
      <c r="AT171">
        <v>134.19999999999999</v>
      </c>
    </row>
    <row r="172" spans="1:46" x14ac:dyDescent="0.3">
      <c r="A172" t="s">
        <v>30</v>
      </c>
      <c r="B172">
        <v>2017</v>
      </c>
      <c r="C172" t="s">
        <v>41</v>
      </c>
      <c r="D172">
        <v>134.80000000000001</v>
      </c>
      <c r="F172">
        <v>143.1</v>
      </c>
      <c r="H172">
        <v>130</v>
      </c>
      <c r="I172">
        <v>139.4</v>
      </c>
      <c r="J172">
        <v>120.5</v>
      </c>
      <c r="K172">
        <v>148</v>
      </c>
      <c r="L172">
        <v>162.9</v>
      </c>
      <c r="M172">
        <v>137.4</v>
      </c>
      <c r="N172">
        <v>120.8</v>
      </c>
      <c r="O172">
        <v>134.69999999999999</v>
      </c>
      <c r="P172">
        <v>131.6</v>
      </c>
      <c r="Q172">
        <v>148.69999999999999</v>
      </c>
      <c r="S172">
        <v>140.6</v>
      </c>
      <c r="T172">
        <v>149</v>
      </c>
      <c r="V172">
        <v>145.30000000000001</v>
      </c>
      <c r="X172">
        <v>139.19999999999999</v>
      </c>
      <c r="Z172">
        <v>144.5</v>
      </c>
      <c r="AB172" t="s">
        <v>32</v>
      </c>
      <c r="AC172">
        <f t="shared" ref="AC172" si="114">AB173</f>
        <v>134.4</v>
      </c>
      <c r="AE172">
        <v>136.4</v>
      </c>
      <c r="AG172">
        <v>137.30000000000001</v>
      </c>
      <c r="AI172">
        <v>133</v>
      </c>
      <c r="AJ172">
        <v>120.3</v>
      </c>
      <c r="AL172">
        <v>131.5</v>
      </c>
      <c r="AN172">
        <v>140.19999999999999</v>
      </c>
      <c r="AP172">
        <v>125.4</v>
      </c>
      <c r="AR172">
        <v>129.69999999999999</v>
      </c>
      <c r="AT172">
        <v>137.80000000000001</v>
      </c>
    </row>
    <row r="173" spans="1:46" x14ac:dyDescent="0.3">
      <c r="A173" t="s">
        <v>33</v>
      </c>
      <c r="B173">
        <v>2017</v>
      </c>
      <c r="C173" t="s">
        <v>41</v>
      </c>
      <c r="D173">
        <v>133.19999999999999</v>
      </c>
      <c r="F173">
        <v>143.9</v>
      </c>
      <c r="H173">
        <v>128.30000000000001</v>
      </c>
      <c r="I173">
        <v>138.30000000000001</v>
      </c>
      <c r="J173">
        <v>114.1</v>
      </c>
      <c r="K173">
        <v>142.69999999999999</v>
      </c>
      <c r="L173">
        <v>179.8</v>
      </c>
      <c r="M173">
        <v>123.5</v>
      </c>
      <c r="N173">
        <v>122.1</v>
      </c>
      <c r="O173">
        <v>137.5</v>
      </c>
      <c r="P173">
        <v>124.6</v>
      </c>
      <c r="Q173">
        <v>144.5</v>
      </c>
      <c r="S173">
        <v>140.5</v>
      </c>
      <c r="T173">
        <v>152.1</v>
      </c>
      <c r="V173">
        <v>132.69999999999999</v>
      </c>
      <c r="X173">
        <v>124.3</v>
      </c>
      <c r="Z173">
        <v>131.4</v>
      </c>
      <c r="AB173">
        <v>134.4</v>
      </c>
      <c r="AC173">
        <f t="shared" ref="AC173:AC174" si="115">AB173</f>
        <v>134.4</v>
      </c>
      <c r="AE173">
        <v>118.9</v>
      </c>
      <c r="AG173">
        <v>127.7</v>
      </c>
      <c r="AI173">
        <v>125.7</v>
      </c>
      <c r="AJ173">
        <v>114.6</v>
      </c>
      <c r="AL173">
        <v>124.1</v>
      </c>
      <c r="AN173">
        <v>135.69999999999999</v>
      </c>
      <c r="AP173">
        <v>123.3</v>
      </c>
      <c r="AR173">
        <v>123.8</v>
      </c>
      <c r="AT173">
        <v>132.69999999999999</v>
      </c>
    </row>
    <row r="174" spans="1:46" x14ac:dyDescent="0.3">
      <c r="A174" t="s">
        <v>34</v>
      </c>
      <c r="B174">
        <v>2017</v>
      </c>
      <c r="C174" t="s">
        <v>41</v>
      </c>
      <c r="D174">
        <v>134.30000000000001</v>
      </c>
      <c r="F174">
        <v>143.4</v>
      </c>
      <c r="H174">
        <v>129.30000000000001</v>
      </c>
      <c r="I174">
        <v>139</v>
      </c>
      <c r="J174">
        <v>118.1</v>
      </c>
      <c r="K174">
        <v>145.5</v>
      </c>
      <c r="L174">
        <v>168.6</v>
      </c>
      <c r="M174">
        <v>132.69999999999999</v>
      </c>
      <c r="N174">
        <v>121.2</v>
      </c>
      <c r="O174">
        <v>135.6</v>
      </c>
      <c r="P174">
        <v>128.69999999999999</v>
      </c>
      <c r="Q174">
        <v>146.80000000000001</v>
      </c>
      <c r="S174">
        <v>140.6</v>
      </c>
      <c r="T174">
        <v>149.80000000000001</v>
      </c>
      <c r="V174">
        <v>140.30000000000001</v>
      </c>
      <c r="X174">
        <v>133</v>
      </c>
      <c r="Z174">
        <v>139.30000000000001</v>
      </c>
      <c r="AB174">
        <v>134.4</v>
      </c>
      <c r="AC174">
        <f t="shared" si="115"/>
        <v>134.4</v>
      </c>
      <c r="AE174">
        <v>129.80000000000001</v>
      </c>
      <c r="AG174">
        <v>132.80000000000001</v>
      </c>
      <c r="AI174">
        <v>130.19999999999999</v>
      </c>
      <c r="AJ174">
        <v>117.3</v>
      </c>
      <c r="AL174">
        <v>127.3</v>
      </c>
      <c r="AN174">
        <v>137.6</v>
      </c>
      <c r="AP174">
        <v>124.5</v>
      </c>
      <c r="AR174">
        <v>126.8</v>
      </c>
      <c r="AT174">
        <v>135.4</v>
      </c>
    </row>
    <row r="175" spans="1:46" x14ac:dyDescent="0.3">
      <c r="A175" t="s">
        <v>30</v>
      </c>
      <c r="B175">
        <v>2017</v>
      </c>
      <c r="C175" t="s">
        <v>42</v>
      </c>
      <c r="D175">
        <v>135.19999999999999</v>
      </c>
      <c r="F175">
        <v>142</v>
      </c>
      <c r="H175">
        <v>130.5</v>
      </c>
      <c r="I175">
        <v>140.19999999999999</v>
      </c>
      <c r="J175">
        <v>120.7</v>
      </c>
      <c r="K175">
        <v>147.80000000000001</v>
      </c>
      <c r="L175">
        <v>154.5</v>
      </c>
      <c r="M175">
        <v>137.1</v>
      </c>
      <c r="N175">
        <v>121</v>
      </c>
      <c r="O175">
        <v>134.69999999999999</v>
      </c>
      <c r="P175">
        <v>131.69999999999999</v>
      </c>
      <c r="Q175">
        <v>149.30000000000001</v>
      </c>
      <c r="S175">
        <v>139.6</v>
      </c>
      <c r="T175">
        <v>149.80000000000001</v>
      </c>
      <c r="V175">
        <v>146.1</v>
      </c>
      <c r="X175">
        <v>139.69999999999999</v>
      </c>
      <c r="Z175">
        <v>145.19999999999999</v>
      </c>
      <c r="AB175" t="s">
        <v>32</v>
      </c>
      <c r="AC175">
        <f t="shared" ref="AC175" si="116">AB176</f>
        <v>135.69999999999999</v>
      </c>
      <c r="AE175">
        <v>137.4</v>
      </c>
      <c r="AG175">
        <v>137.9</v>
      </c>
      <c r="AI175">
        <v>133.4</v>
      </c>
      <c r="AJ175">
        <v>121.2</v>
      </c>
      <c r="AL175">
        <v>132.30000000000001</v>
      </c>
      <c r="AN175">
        <v>139.6</v>
      </c>
      <c r="AP175">
        <v>126.7</v>
      </c>
      <c r="AR175">
        <v>130.30000000000001</v>
      </c>
      <c r="AT175">
        <v>137.6</v>
      </c>
    </row>
    <row r="176" spans="1:46" x14ac:dyDescent="0.3">
      <c r="A176" t="s">
        <v>33</v>
      </c>
      <c r="B176">
        <v>2017</v>
      </c>
      <c r="C176" t="s">
        <v>42</v>
      </c>
      <c r="D176">
        <v>133.6</v>
      </c>
      <c r="F176">
        <v>143</v>
      </c>
      <c r="H176">
        <v>129.69999999999999</v>
      </c>
      <c r="I176">
        <v>138.69999999999999</v>
      </c>
      <c r="J176">
        <v>114.5</v>
      </c>
      <c r="K176">
        <v>137.5</v>
      </c>
      <c r="L176">
        <v>160.69999999999999</v>
      </c>
      <c r="M176">
        <v>124.5</v>
      </c>
      <c r="N176">
        <v>122.4</v>
      </c>
      <c r="O176">
        <v>137.30000000000001</v>
      </c>
      <c r="P176">
        <v>124.8</v>
      </c>
      <c r="Q176">
        <v>145</v>
      </c>
      <c r="S176">
        <v>138</v>
      </c>
      <c r="T176">
        <v>153.6</v>
      </c>
      <c r="V176">
        <v>133.30000000000001</v>
      </c>
      <c r="X176">
        <v>124.6</v>
      </c>
      <c r="Z176">
        <v>132</v>
      </c>
      <c r="AB176">
        <v>135.69999999999999</v>
      </c>
      <c r="AC176">
        <f t="shared" ref="AC176:AC177" si="117">AB176</f>
        <v>135.69999999999999</v>
      </c>
      <c r="AE176">
        <v>120.6</v>
      </c>
      <c r="AG176">
        <v>128.1</v>
      </c>
      <c r="AI176">
        <v>126.1</v>
      </c>
      <c r="AJ176">
        <v>115.7</v>
      </c>
      <c r="AL176">
        <v>124.5</v>
      </c>
      <c r="AN176">
        <v>135.9</v>
      </c>
      <c r="AP176">
        <v>124.4</v>
      </c>
      <c r="AR176">
        <v>124.5</v>
      </c>
      <c r="AT176">
        <v>132.4</v>
      </c>
    </row>
    <row r="177" spans="1:46" x14ac:dyDescent="0.3">
      <c r="A177" t="s">
        <v>34</v>
      </c>
      <c r="B177">
        <v>2017</v>
      </c>
      <c r="C177" t="s">
        <v>42</v>
      </c>
      <c r="D177">
        <v>134.69999999999999</v>
      </c>
      <c r="F177">
        <v>142.4</v>
      </c>
      <c r="H177">
        <v>130.19999999999999</v>
      </c>
      <c r="I177">
        <v>139.6</v>
      </c>
      <c r="J177">
        <v>118.4</v>
      </c>
      <c r="K177">
        <v>143</v>
      </c>
      <c r="L177">
        <v>156.6</v>
      </c>
      <c r="M177">
        <v>132.9</v>
      </c>
      <c r="N177">
        <v>121.5</v>
      </c>
      <c r="O177">
        <v>135.6</v>
      </c>
      <c r="P177">
        <v>128.80000000000001</v>
      </c>
      <c r="Q177">
        <v>147.30000000000001</v>
      </c>
      <c r="S177">
        <v>139</v>
      </c>
      <c r="T177">
        <v>150.80000000000001</v>
      </c>
      <c r="V177">
        <v>141.1</v>
      </c>
      <c r="X177">
        <v>133.4</v>
      </c>
      <c r="Z177">
        <v>140</v>
      </c>
      <c r="AB177">
        <v>135.69999999999999</v>
      </c>
      <c r="AC177">
        <f t="shared" si="117"/>
        <v>135.69999999999999</v>
      </c>
      <c r="AE177">
        <v>131</v>
      </c>
      <c r="AG177">
        <v>133.30000000000001</v>
      </c>
      <c r="AI177">
        <v>130.6</v>
      </c>
      <c r="AJ177">
        <v>118.3</v>
      </c>
      <c r="AL177">
        <v>127.9</v>
      </c>
      <c r="AN177">
        <v>137.4</v>
      </c>
      <c r="AP177">
        <v>125.7</v>
      </c>
      <c r="AR177">
        <v>127.5</v>
      </c>
      <c r="AT177">
        <v>135.19999999999999</v>
      </c>
    </row>
    <row r="178" spans="1:46" x14ac:dyDescent="0.3">
      <c r="A178" t="s">
        <v>30</v>
      </c>
      <c r="B178">
        <v>2017</v>
      </c>
      <c r="C178" t="s">
        <v>43</v>
      </c>
      <c r="D178">
        <v>135.9</v>
      </c>
      <c r="F178">
        <v>141.9</v>
      </c>
      <c r="H178">
        <v>131</v>
      </c>
      <c r="I178">
        <v>141.5</v>
      </c>
      <c r="J178">
        <v>121.4</v>
      </c>
      <c r="K178">
        <v>146.69999999999999</v>
      </c>
      <c r="L178">
        <v>157.1</v>
      </c>
      <c r="M178">
        <v>136.4</v>
      </c>
      <c r="N178">
        <v>121.4</v>
      </c>
      <c r="O178">
        <v>135.6</v>
      </c>
      <c r="P178">
        <v>131.30000000000001</v>
      </c>
      <c r="Q178">
        <v>150.30000000000001</v>
      </c>
      <c r="S178">
        <v>140.4</v>
      </c>
      <c r="T178">
        <v>150.5</v>
      </c>
      <c r="V178">
        <v>147.19999999999999</v>
      </c>
      <c r="X178">
        <v>140.6</v>
      </c>
      <c r="Z178">
        <v>146.19999999999999</v>
      </c>
      <c r="AB178" t="s">
        <v>32</v>
      </c>
      <c r="AC178">
        <f t="shared" ref="AC178" si="118">AB179</f>
        <v>137.30000000000001</v>
      </c>
      <c r="AE178">
        <v>138.1</v>
      </c>
      <c r="AG178">
        <v>138.4</v>
      </c>
      <c r="AI178">
        <v>134.19999999999999</v>
      </c>
      <c r="AJ178">
        <v>121</v>
      </c>
      <c r="AL178">
        <v>133</v>
      </c>
      <c r="AN178">
        <v>140.1</v>
      </c>
      <c r="AP178">
        <v>127.4</v>
      </c>
      <c r="AR178">
        <v>130.69999999999999</v>
      </c>
      <c r="AT178">
        <v>138.30000000000001</v>
      </c>
    </row>
    <row r="179" spans="1:46" x14ac:dyDescent="0.3">
      <c r="A179" t="s">
        <v>33</v>
      </c>
      <c r="B179">
        <v>2017</v>
      </c>
      <c r="C179" t="s">
        <v>43</v>
      </c>
      <c r="D179">
        <v>133.9</v>
      </c>
      <c r="F179">
        <v>142.80000000000001</v>
      </c>
      <c r="H179">
        <v>131.4</v>
      </c>
      <c r="I179">
        <v>139.1</v>
      </c>
      <c r="J179">
        <v>114.9</v>
      </c>
      <c r="K179">
        <v>135.6</v>
      </c>
      <c r="L179">
        <v>173.2</v>
      </c>
      <c r="M179">
        <v>124.1</v>
      </c>
      <c r="N179">
        <v>122.6</v>
      </c>
      <c r="O179">
        <v>137.80000000000001</v>
      </c>
      <c r="P179">
        <v>125.1</v>
      </c>
      <c r="Q179">
        <v>145.5</v>
      </c>
      <c r="S179">
        <v>139.69999999999999</v>
      </c>
      <c r="T179">
        <v>154.6</v>
      </c>
      <c r="V179">
        <v>134</v>
      </c>
      <c r="X179">
        <v>124.9</v>
      </c>
      <c r="Z179">
        <v>132.6</v>
      </c>
      <c r="AB179">
        <v>137.30000000000001</v>
      </c>
      <c r="AC179">
        <f t="shared" ref="AC179:AC180" si="119">AB179</f>
        <v>137.30000000000001</v>
      </c>
      <c r="AE179">
        <v>122.6</v>
      </c>
      <c r="AG179">
        <v>128.30000000000001</v>
      </c>
      <c r="AI179">
        <v>126.6</v>
      </c>
      <c r="AJ179">
        <v>115</v>
      </c>
      <c r="AL179">
        <v>124.8</v>
      </c>
      <c r="AN179">
        <v>136.30000000000001</v>
      </c>
      <c r="AP179">
        <v>124.6</v>
      </c>
      <c r="AR179">
        <v>124.5</v>
      </c>
      <c r="AT179">
        <v>133.5</v>
      </c>
    </row>
    <row r="180" spans="1:46" x14ac:dyDescent="0.3">
      <c r="A180" t="s">
        <v>34</v>
      </c>
      <c r="B180">
        <v>2017</v>
      </c>
      <c r="C180" t="s">
        <v>43</v>
      </c>
      <c r="D180">
        <v>135.30000000000001</v>
      </c>
      <c r="F180">
        <v>142.19999999999999</v>
      </c>
      <c r="H180">
        <v>131.19999999999999</v>
      </c>
      <c r="I180">
        <v>140.6</v>
      </c>
      <c r="J180">
        <v>119</v>
      </c>
      <c r="K180">
        <v>141.5</v>
      </c>
      <c r="L180">
        <v>162.6</v>
      </c>
      <c r="M180">
        <v>132.30000000000001</v>
      </c>
      <c r="N180">
        <v>121.8</v>
      </c>
      <c r="O180">
        <v>136.30000000000001</v>
      </c>
      <c r="P180">
        <v>128.69999999999999</v>
      </c>
      <c r="Q180">
        <v>148.1</v>
      </c>
      <c r="S180">
        <v>140.1</v>
      </c>
      <c r="T180">
        <v>151.6</v>
      </c>
      <c r="V180">
        <v>142</v>
      </c>
      <c r="X180">
        <v>134.1</v>
      </c>
      <c r="Z180">
        <v>140.80000000000001</v>
      </c>
      <c r="AB180">
        <v>137.30000000000001</v>
      </c>
      <c r="AC180">
        <f t="shared" si="119"/>
        <v>137.30000000000001</v>
      </c>
      <c r="AE180">
        <v>132.19999999999999</v>
      </c>
      <c r="AG180">
        <v>133.6</v>
      </c>
      <c r="AI180">
        <v>131.30000000000001</v>
      </c>
      <c r="AJ180">
        <v>117.8</v>
      </c>
      <c r="AL180">
        <v>128.4</v>
      </c>
      <c r="AN180">
        <v>137.9</v>
      </c>
      <c r="AP180">
        <v>126.2</v>
      </c>
      <c r="AR180">
        <v>127.7</v>
      </c>
      <c r="AT180">
        <v>136.1</v>
      </c>
    </row>
    <row r="181" spans="1:46" x14ac:dyDescent="0.3">
      <c r="A181" t="s">
        <v>30</v>
      </c>
      <c r="B181">
        <v>2017</v>
      </c>
      <c r="C181" t="s">
        <v>45</v>
      </c>
      <c r="D181">
        <v>136.30000000000001</v>
      </c>
      <c r="F181">
        <v>142.5</v>
      </c>
      <c r="H181">
        <v>140.5</v>
      </c>
      <c r="I181">
        <v>141.5</v>
      </c>
      <c r="J181">
        <v>121.6</v>
      </c>
      <c r="K181">
        <v>147.30000000000001</v>
      </c>
      <c r="L181">
        <v>168</v>
      </c>
      <c r="M181">
        <v>135.80000000000001</v>
      </c>
      <c r="N181">
        <v>122.5</v>
      </c>
      <c r="O181">
        <v>136</v>
      </c>
      <c r="P181">
        <v>131.9</v>
      </c>
      <c r="Q181">
        <v>151.4</v>
      </c>
      <c r="S181">
        <v>142.4</v>
      </c>
      <c r="T181">
        <v>152.1</v>
      </c>
      <c r="V181">
        <v>148.19999999999999</v>
      </c>
      <c r="X181">
        <v>141.5</v>
      </c>
      <c r="Z181">
        <v>147.30000000000001</v>
      </c>
      <c r="AB181" t="s">
        <v>32</v>
      </c>
      <c r="AC181">
        <f t="shared" ref="AC181" si="120">AB182</f>
        <v>138.6</v>
      </c>
      <c r="AE181">
        <v>141.1</v>
      </c>
      <c r="AG181">
        <v>139.4</v>
      </c>
      <c r="AI181">
        <v>135.80000000000001</v>
      </c>
      <c r="AJ181">
        <v>121.6</v>
      </c>
      <c r="AL181">
        <v>133.69999999999999</v>
      </c>
      <c r="AN181">
        <v>141.5</v>
      </c>
      <c r="AP181">
        <v>128.1</v>
      </c>
      <c r="AR181">
        <v>131.69999999999999</v>
      </c>
      <c r="AT181">
        <v>140</v>
      </c>
    </row>
    <row r="182" spans="1:46" x14ac:dyDescent="0.3">
      <c r="A182" t="s">
        <v>33</v>
      </c>
      <c r="B182">
        <v>2017</v>
      </c>
      <c r="C182" t="s">
        <v>45</v>
      </c>
      <c r="D182">
        <v>134.30000000000001</v>
      </c>
      <c r="F182">
        <v>142.1</v>
      </c>
      <c r="H182">
        <v>146.69999999999999</v>
      </c>
      <c r="I182">
        <v>139.5</v>
      </c>
      <c r="J182">
        <v>115.2</v>
      </c>
      <c r="K182">
        <v>136.4</v>
      </c>
      <c r="L182">
        <v>185.2</v>
      </c>
      <c r="M182">
        <v>122.2</v>
      </c>
      <c r="N182">
        <v>123.9</v>
      </c>
      <c r="O182">
        <v>138.30000000000001</v>
      </c>
      <c r="P182">
        <v>125.4</v>
      </c>
      <c r="Q182">
        <v>146</v>
      </c>
      <c r="S182">
        <v>141.5</v>
      </c>
      <c r="T182">
        <v>156.19999999999999</v>
      </c>
      <c r="V182">
        <v>135</v>
      </c>
      <c r="X182">
        <v>125.4</v>
      </c>
      <c r="Z182">
        <v>133.5</v>
      </c>
      <c r="AB182">
        <v>138.6</v>
      </c>
      <c r="AC182">
        <f t="shared" ref="AC182:AC183" si="121">AB182</f>
        <v>138.6</v>
      </c>
      <c r="AE182">
        <v>125.7</v>
      </c>
      <c r="AG182">
        <v>128.80000000000001</v>
      </c>
      <c r="AI182">
        <v>127.4</v>
      </c>
      <c r="AJ182">
        <v>115.3</v>
      </c>
      <c r="AL182">
        <v>125.1</v>
      </c>
      <c r="AN182">
        <v>136.6</v>
      </c>
      <c r="AP182">
        <v>124.9</v>
      </c>
      <c r="AR182">
        <v>124.9</v>
      </c>
      <c r="AT182">
        <v>134.80000000000001</v>
      </c>
    </row>
    <row r="183" spans="1:46" x14ac:dyDescent="0.3">
      <c r="A183" t="s">
        <v>34</v>
      </c>
      <c r="B183">
        <v>2017</v>
      </c>
      <c r="C183" t="s">
        <v>45</v>
      </c>
      <c r="D183">
        <v>135.69999999999999</v>
      </c>
      <c r="F183">
        <v>142.4</v>
      </c>
      <c r="H183">
        <v>142.9</v>
      </c>
      <c r="I183">
        <v>140.80000000000001</v>
      </c>
      <c r="J183">
        <v>119.2</v>
      </c>
      <c r="K183">
        <v>142.19999999999999</v>
      </c>
      <c r="L183">
        <v>173.8</v>
      </c>
      <c r="M183">
        <v>131.19999999999999</v>
      </c>
      <c r="N183">
        <v>123</v>
      </c>
      <c r="O183">
        <v>136.80000000000001</v>
      </c>
      <c r="P183">
        <v>129.19999999999999</v>
      </c>
      <c r="Q183">
        <v>148.9</v>
      </c>
      <c r="S183">
        <v>142.1</v>
      </c>
      <c r="T183">
        <v>153.19999999999999</v>
      </c>
      <c r="V183">
        <v>143</v>
      </c>
      <c r="X183">
        <v>134.80000000000001</v>
      </c>
      <c r="Z183">
        <v>141.80000000000001</v>
      </c>
      <c r="AB183">
        <v>138.6</v>
      </c>
      <c r="AC183">
        <f t="shared" si="121"/>
        <v>138.6</v>
      </c>
      <c r="AE183">
        <v>135.30000000000001</v>
      </c>
      <c r="AG183">
        <v>134.4</v>
      </c>
      <c r="AI183">
        <v>132.6</v>
      </c>
      <c r="AJ183">
        <v>118.3</v>
      </c>
      <c r="AL183">
        <v>128.9</v>
      </c>
      <c r="AN183">
        <v>138.6</v>
      </c>
      <c r="AP183">
        <v>126.8</v>
      </c>
      <c r="AR183">
        <v>128.4</v>
      </c>
      <c r="AT183">
        <v>137.6</v>
      </c>
    </row>
    <row r="184" spans="1:46" x14ac:dyDescent="0.3">
      <c r="A184" t="s">
        <v>30</v>
      </c>
      <c r="B184">
        <v>2017</v>
      </c>
      <c r="C184" t="s">
        <v>46</v>
      </c>
      <c r="D184">
        <v>136.4</v>
      </c>
      <c r="F184">
        <v>143.69999999999999</v>
      </c>
      <c r="H184">
        <v>144.80000000000001</v>
      </c>
      <c r="I184">
        <v>141.9</v>
      </c>
      <c r="J184">
        <v>123.1</v>
      </c>
      <c r="K184">
        <v>147.19999999999999</v>
      </c>
      <c r="L184">
        <v>161</v>
      </c>
      <c r="M184">
        <v>133.80000000000001</v>
      </c>
      <c r="N184">
        <v>121.9</v>
      </c>
      <c r="O184">
        <v>135.80000000000001</v>
      </c>
      <c r="P184">
        <v>131.1</v>
      </c>
      <c r="Q184">
        <v>151.4</v>
      </c>
      <c r="S184">
        <v>141.5</v>
      </c>
      <c r="T184">
        <v>153.19999999999999</v>
      </c>
      <c r="V184">
        <v>148</v>
      </c>
      <c r="X184">
        <v>141.9</v>
      </c>
      <c r="Z184">
        <v>147.19999999999999</v>
      </c>
      <c r="AB184" t="s">
        <v>32</v>
      </c>
      <c r="AC184">
        <f t="shared" ref="AC184" si="122">AB185</f>
        <v>139.1</v>
      </c>
      <c r="AE184">
        <v>142.6</v>
      </c>
      <c r="AG184">
        <v>139.5</v>
      </c>
      <c r="AI184">
        <v>136.1</v>
      </c>
      <c r="AJ184">
        <v>122</v>
      </c>
      <c r="AL184">
        <v>133.4</v>
      </c>
      <c r="AN184">
        <v>141.1</v>
      </c>
      <c r="AP184">
        <v>127.8</v>
      </c>
      <c r="AR184">
        <v>131.9</v>
      </c>
      <c r="AT184">
        <v>139.80000000000001</v>
      </c>
    </row>
    <row r="185" spans="1:46" x14ac:dyDescent="0.3">
      <c r="A185" t="s">
        <v>33</v>
      </c>
      <c r="B185">
        <v>2017</v>
      </c>
      <c r="C185" t="s">
        <v>46</v>
      </c>
      <c r="D185">
        <v>134.4</v>
      </c>
      <c r="F185">
        <v>142.6</v>
      </c>
      <c r="H185">
        <v>145.9</v>
      </c>
      <c r="I185">
        <v>139.5</v>
      </c>
      <c r="J185">
        <v>115.9</v>
      </c>
      <c r="K185">
        <v>135</v>
      </c>
      <c r="L185">
        <v>163.19999999999999</v>
      </c>
      <c r="M185">
        <v>119.8</v>
      </c>
      <c r="N185">
        <v>120.7</v>
      </c>
      <c r="O185">
        <v>139.69999999999999</v>
      </c>
      <c r="P185">
        <v>125.7</v>
      </c>
      <c r="Q185">
        <v>146.30000000000001</v>
      </c>
      <c r="S185">
        <v>138.80000000000001</v>
      </c>
      <c r="T185">
        <v>157</v>
      </c>
      <c r="V185">
        <v>135.6</v>
      </c>
      <c r="X185">
        <v>125.6</v>
      </c>
      <c r="Z185">
        <v>134</v>
      </c>
      <c r="AB185">
        <v>139.1</v>
      </c>
      <c r="AC185">
        <f t="shared" ref="AC185:AC186" si="123">AB185</f>
        <v>139.1</v>
      </c>
      <c r="AE185">
        <v>126.8</v>
      </c>
      <c r="AG185">
        <v>129.30000000000001</v>
      </c>
      <c r="AI185">
        <v>128.19999999999999</v>
      </c>
      <c r="AJ185">
        <v>115.3</v>
      </c>
      <c r="AL185">
        <v>125.6</v>
      </c>
      <c r="AN185">
        <v>136.69999999999999</v>
      </c>
      <c r="AP185">
        <v>124.6</v>
      </c>
      <c r="AR185">
        <v>125.1</v>
      </c>
      <c r="AT185">
        <v>134.1</v>
      </c>
    </row>
    <row r="186" spans="1:46" x14ac:dyDescent="0.3">
      <c r="A186" t="s">
        <v>34</v>
      </c>
      <c r="B186">
        <v>2017</v>
      </c>
      <c r="C186" t="s">
        <v>46</v>
      </c>
      <c r="D186">
        <v>135.80000000000001</v>
      </c>
      <c r="F186">
        <v>143.30000000000001</v>
      </c>
      <c r="H186">
        <v>145.19999999999999</v>
      </c>
      <c r="I186">
        <v>141</v>
      </c>
      <c r="J186">
        <v>120.5</v>
      </c>
      <c r="K186">
        <v>141.5</v>
      </c>
      <c r="L186">
        <v>161.69999999999999</v>
      </c>
      <c r="M186">
        <v>129.1</v>
      </c>
      <c r="N186">
        <v>121.5</v>
      </c>
      <c r="O186">
        <v>137.1</v>
      </c>
      <c r="P186">
        <v>128.80000000000001</v>
      </c>
      <c r="Q186">
        <v>149</v>
      </c>
      <c r="S186">
        <v>140.5</v>
      </c>
      <c r="T186">
        <v>154.19999999999999</v>
      </c>
      <c r="V186">
        <v>143.1</v>
      </c>
      <c r="X186">
        <v>135.1</v>
      </c>
      <c r="Z186">
        <v>142</v>
      </c>
      <c r="AB186">
        <v>139.1</v>
      </c>
      <c r="AC186">
        <f t="shared" si="123"/>
        <v>139.1</v>
      </c>
      <c r="AE186">
        <v>136.6</v>
      </c>
      <c r="AG186">
        <v>134.69999999999999</v>
      </c>
      <c r="AI186">
        <v>133.1</v>
      </c>
      <c r="AJ186">
        <v>118.5</v>
      </c>
      <c r="AL186">
        <v>129</v>
      </c>
      <c r="AN186">
        <v>138.5</v>
      </c>
      <c r="AP186">
        <v>126.5</v>
      </c>
      <c r="AR186">
        <v>128.6</v>
      </c>
      <c r="AT186">
        <v>137.19999999999999</v>
      </c>
    </row>
    <row r="187" spans="1:46" x14ac:dyDescent="0.3">
      <c r="A187" t="s">
        <v>30</v>
      </c>
      <c r="B187">
        <v>2018</v>
      </c>
      <c r="C187" t="s">
        <v>31</v>
      </c>
      <c r="D187">
        <v>136.6</v>
      </c>
      <c r="F187">
        <v>144.4</v>
      </c>
      <c r="H187">
        <v>143.80000000000001</v>
      </c>
      <c r="I187">
        <v>142</v>
      </c>
      <c r="J187">
        <v>123.2</v>
      </c>
      <c r="K187">
        <v>147.9</v>
      </c>
      <c r="L187">
        <v>152.1</v>
      </c>
      <c r="M187">
        <v>131.80000000000001</v>
      </c>
      <c r="N187">
        <v>119.5</v>
      </c>
      <c r="O187">
        <v>136</v>
      </c>
      <c r="P187">
        <v>131.19999999999999</v>
      </c>
      <c r="Q187">
        <v>151.80000000000001</v>
      </c>
      <c r="S187">
        <v>140.4</v>
      </c>
      <c r="T187">
        <v>153.6</v>
      </c>
      <c r="V187">
        <v>148.30000000000001</v>
      </c>
      <c r="X187">
        <v>142.30000000000001</v>
      </c>
      <c r="Z187">
        <v>147.5</v>
      </c>
      <c r="AB187" t="s">
        <v>32</v>
      </c>
      <c r="AC187">
        <f t="shared" ref="AC187" si="124">AB188</f>
        <v>140.4</v>
      </c>
      <c r="AE187">
        <v>142.30000000000001</v>
      </c>
      <c r="AG187">
        <v>139.80000000000001</v>
      </c>
      <c r="AI187">
        <v>136</v>
      </c>
      <c r="AJ187">
        <v>122.7</v>
      </c>
      <c r="AL187">
        <v>134.30000000000001</v>
      </c>
      <c r="AN187">
        <v>141.6</v>
      </c>
      <c r="AP187">
        <v>128.6</v>
      </c>
      <c r="AR187">
        <v>132.30000000000001</v>
      </c>
      <c r="AT187">
        <v>139.30000000000001</v>
      </c>
    </row>
    <row r="188" spans="1:46" x14ac:dyDescent="0.3">
      <c r="A188" t="s">
        <v>33</v>
      </c>
      <c r="B188">
        <v>2018</v>
      </c>
      <c r="C188" t="s">
        <v>31</v>
      </c>
      <c r="D188">
        <v>134.6</v>
      </c>
      <c r="F188">
        <v>143.69999999999999</v>
      </c>
      <c r="H188">
        <v>143.6</v>
      </c>
      <c r="I188">
        <v>139.6</v>
      </c>
      <c r="J188">
        <v>116.4</v>
      </c>
      <c r="K188">
        <v>133.80000000000001</v>
      </c>
      <c r="L188">
        <v>150.5</v>
      </c>
      <c r="M188">
        <v>118.4</v>
      </c>
      <c r="N188">
        <v>117.3</v>
      </c>
      <c r="O188">
        <v>140.5</v>
      </c>
      <c r="P188">
        <v>125.9</v>
      </c>
      <c r="Q188">
        <v>146.80000000000001</v>
      </c>
      <c r="S188">
        <v>137.19999999999999</v>
      </c>
      <c r="T188">
        <v>157.69999999999999</v>
      </c>
      <c r="V188">
        <v>136</v>
      </c>
      <c r="X188">
        <v>125.9</v>
      </c>
      <c r="Z188">
        <v>134.4</v>
      </c>
      <c r="AB188">
        <v>140.4</v>
      </c>
      <c r="AC188">
        <f t="shared" ref="AC188:AC189" si="125">AB188</f>
        <v>140.4</v>
      </c>
      <c r="AE188">
        <v>127.3</v>
      </c>
      <c r="AG188">
        <v>129.5</v>
      </c>
      <c r="AI188">
        <v>129</v>
      </c>
      <c r="AJ188">
        <v>116.3</v>
      </c>
      <c r="AL188">
        <v>126.2</v>
      </c>
      <c r="AN188">
        <v>137.1</v>
      </c>
      <c r="AP188">
        <v>125.5</v>
      </c>
      <c r="AR188">
        <v>125.8</v>
      </c>
      <c r="AT188">
        <v>134.1</v>
      </c>
    </row>
    <row r="189" spans="1:46" x14ac:dyDescent="0.3">
      <c r="A189" t="s">
        <v>34</v>
      </c>
      <c r="B189">
        <v>2018</v>
      </c>
      <c r="C189" t="s">
        <v>31</v>
      </c>
      <c r="D189">
        <v>136</v>
      </c>
      <c r="F189">
        <v>144.19999999999999</v>
      </c>
      <c r="H189">
        <v>143.69999999999999</v>
      </c>
      <c r="I189">
        <v>141.1</v>
      </c>
      <c r="J189">
        <v>120.7</v>
      </c>
      <c r="K189">
        <v>141.30000000000001</v>
      </c>
      <c r="L189">
        <v>151.6</v>
      </c>
      <c r="M189">
        <v>127.3</v>
      </c>
      <c r="N189">
        <v>118.8</v>
      </c>
      <c r="O189">
        <v>137.5</v>
      </c>
      <c r="P189">
        <v>129</v>
      </c>
      <c r="Q189">
        <v>149.5</v>
      </c>
      <c r="S189">
        <v>139.19999999999999</v>
      </c>
      <c r="T189">
        <v>154.69999999999999</v>
      </c>
      <c r="V189">
        <v>143.5</v>
      </c>
      <c r="X189">
        <v>135.5</v>
      </c>
      <c r="Z189">
        <v>142.30000000000001</v>
      </c>
      <c r="AB189">
        <v>140.4</v>
      </c>
      <c r="AC189">
        <f t="shared" si="125"/>
        <v>140.4</v>
      </c>
      <c r="AE189">
        <v>136.6</v>
      </c>
      <c r="AG189">
        <v>134.9</v>
      </c>
      <c r="AI189">
        <v>133.30000000000001</v>
      </c>
      <c r="AJ189">
        <v>119.3</v>
      </c>
      <c r="AL189">
        <v>129.69999999999999</v>
      </c>
      <c r="AN189">
        <v>139</v>
      </c>
      <c r="AP189">
        <v>127.3</v>
      </c>
      <c r="AR189">
        <v>129.1</v>
      </c>
      <c r="AT189">
        <v>136.9</v>
      </c>
    </row>
    <row r="190" spans="1:46" x14ac:dyDescent="0.3">
      <c r="A190" t="s">
        <v>30</v>
      </c>
      <c r="B190">
        <v>2018</v>
      </c>
      <c r="C190" t="s">
        <v>35</v>
      </c>
      <c r="D190">
        <v>136.4</v>
      </c>
      <c r="F190">
        <v>143.69999999999999</v>
      </c>
      <c r="H190">
        <v>140.6</v>
      </c>
      <c r="I190">
        <v>141.5</v>
      </c>
      <c r="J190">
        <v>122.9</v>
      </c>
      <c r="K190">
        <v>149.4</v>
      </c>
      <c r="L190">
        <v>142.4</v>
      </c>
      <c r="M190">
        <v>130.19999999999999</v>
      </c>
      <c r="N190">
        <v>117.9</v>
      </c>
      <c r="O190">
        <v>135.6</v>
      </c>
      <c r="P190">
        <v>130.5</v>
      </c>
      <c r="Q190">
        <v>151.69999999999999</v>
      </c>
      <c r="S190">
        <v>138.69999999999999</v>
      </c>
      <c r="T190">
        <v>153.30000000000001</v>
      </c>
      <c r="V190">
        <v>148.69999999999999</v>
      </c>
      <c r="X190">
        <v>142.4</v>
      </c>
      <c r="Z190">
        <v>147.80000000000001</v>
      </c>
      <c r="AB190" t="s">
        <v>32</v>
      </c>
      <c r="AC190">
        <f t="shared" ref="AC190" si="126">AB191</f>
        <v>141.30000000000001</v>
      </c>
      <c r="AE190">
        <v>142.4</v>
      </c>
      <c r="AG190">
        <v>139.9</v>
      </c>
      <c r="AI190">
        <v>136.19999999999999</v>
      </c>
      <c r="AJ190">
        <v>123.3</v>
      </c>
      <c r="AL190">
        <v>134.30000000000001</v>
      </c>
      <c r="AN190">
        <v>141.5</v>
      </c>
      <c r="AP190">
        <v>128.80000000000001</v>
      </c>
      <c r="AR190">
        <v>132.5</v>
      </c>
      <c r="AT190">
        <v>138.5</v>
      </c>
    </row>
    <row r="191" spans="1:46" x14ac:dyDescent="0.3">
      <c r="A191" t="s">
        <v>33</v>
      </c>
      <c r="B191">
        <v>2018</v>
      </c>
      <c r="C191" t="s">
        <v>35</v>
      </c>
      <c r="D191">
        <v>134.80000000000001</v>
      </c>
      <c r="F191">
        <v>143</v>
      </c>
      <c r="H191">
        <v>139.9</v>
      </c>
      <c r="I191">
        <v>139.9</v>
      </c>
      <c r="J191">
        <v>116.2</v>
      </c>
      <c r="K191">
        <v>135.5</v>
      </c>
      <c r="L191">
        <v>136.9</v>
      </c>
      <c r="M191">
        <v>117</v>
      </c>
      <c r="N191">
        <v>115.4</v>
      </c>
      <c r="O191">
        <v>140.69999999999999</v>
      </c>
      <c r="P191">
        <v>125.9</v>
      </c>
      <c r="Q191">
        <v>147.1</v>
      </c>
      <c r="S191">
        <v>135.6</v>
      </c>
      <c r="T191">
        <v>159.30000000000001</v>
      </c>
      <c r="V191">
        <v>136.30000000000001</v>
      </c>
      <c r="X191">
        <v>126.1</v>
      </c>
      <c r="Z191">
        <v>134.69999999999999</v>
      </c>
      <c r="AB191">
        <v>141.30000000000001</v>
      </c>
      <c r="AC191">
        <f t="shared" ref="AC191:AC192" si="127">AB191</f>
        <v>141.30000000000001</v>
      </c>
      <c r="AE191">
        <v>127.3</v>
      </c>
      <c r="AG191">
        <v>129.9</v>
      </c>
      <c r="AI191">
        <v>129.80000000000001</v>
      </c>
      <c r="AJ191">
        <v>117.4</v>
      </c>
      <c r="AL191">
        <v>126.5</v>
      </c>
      <c r="AN191">
        <v>137.19999999999999</v>
      </c>
      <c r="AP191">
        <v>126.2</v>
      </c>
      <c r="AR191">
        <v>126.5</v>
      </c>
      <c r="AT191">
        <v>134</v>
      </c>
    </row>
    <row r="192" spans="1:46" x14ac:dyDescent="0.3">
      <c r="A192" t="s">
        <v>34</v>
      </c>
      <c r="B192">
        <v>2018</v>
      </c>
      <c r="C192" t="s">
        <v>35</v>
      </c>
      <c r="D192">
        <v>135.9</v>
      </c>
      <c r="F192">
        <v>143.5</v>
      </c>
      <c r="H192">
        <v>140.30000000000001</v>
      </c>
      <c r="I192">
        <v>140.9</v>
      </c>
      <c r="J192">
        <v>120.4</v>
      </c>
      <c r="K192">
        <v>142.9</v>
      </c>
      <c r="L192">
        <v>140.5</v>
      </c>
      <c r="M192">
        <v>125.8</v>
      </c>
      <c r="N192">
        <v>117.1</v>
      </c>
      <c r="O192">
        <v>137.30000000000001</v>
      </c>
      <c r="P192">
        <v>128.6</v>
      </c>
      <c r="Q192">
        <v>149.6</v>
      </c>
      <c r="S192">
        <v>137.6</v>
      </c>
      <c r="T192">
        <v>154.9</v>
      </c>
      <c r="V192">
        <v>143.80000000000001</v>
      </c>
      <c r="X192">
        <v>135.6</v>
      </c>
      <c r="Z192">
        <v>142.6</v>
      </c>
      <c r="AB192">
        <v>141.30000000000001</v>
      </c>
      <c r="AC192">
        <f t="shared" si="127"/>
        <v>141.30000000000001</v>
      </c>
      <c r="AE192">
        <v>136.69999999999999</v>
      </c>
      <c r="AG192">
        <v>135.19999999999999</v>
      </c>
      <c r="AI192">
        <v>133.80000000000001</v>
      </c>
      <c r="AJ192">
        <v>120.2</v>
      </c>
      <c r="AL192">
        <v>129.9</v>
      </c>
      <c r="AN192">
        <v>139</v>
      </c>
      <c r="AP192">
        <v>127.7</v>
      </c>
      <c r="AR192">
        <v>129.6</v>
      </c>
      <c r="AT192">
        <v>136.4</v>
      </c>
    </row>
    <row r="193" spans="1:46" x14ac:dyDescent="0.3">
      <c r="A193" t="s">
        <v>30</v>
      </c>
      <c r="B193">
        <v>2018</v>
      </c>
      <c r="C193" t="s">
        <v>36</v>
      </c>
      <c r="D193">
        <v>136.80000000000001</v>
      </c>
      <c r="F193">
        <v>143.80000000000001</v>
      </c>
      <c r="H193">
        <v>140</v>
      </c>
      <c r="I193">
        <v>142</v>
      </c>
      <c r="J193">
        <v>123.2</v>
      </c>
      <c r="K193">
        <v>152.9</v>
      </c>
      <c r="L193">
        <v>138</v>
      </c>
      <c r="M193">
        <v>129.30000000000001</v>
      </c>
      <c r="N193">
        <v>117.1</v>
      </c>
      <c r="O193">
        <v>136.30000000000001</v>
      </c>
      <c r="P193">
        <v>131.19999999999999</v>
      </c>
      <c r="Q193">
        <v>152.80000000000001</v>
      </c>
      <c r="S193">
        <v>138.6</v>
      </c>
      <c r="T193">
        <v>155.1</v>
      </c>
      <c r="V193">
        <v>149.19999999999999</v>
      </c>
      <c r="X193">
        <v>143</v>
      </c>
      <c r="Z193">
        <v>148.30000000000001</v>
      </c>
      <c r="AB193" t="s">
        <v>32</v>
      </c>
      <c r="AC193">
        <f t="shared" ref="AC193" si="128">AB194</f>
        <v>142</v>
      </c>
      <c r="AE193">
        <v>142.6</v>
      </c>
      <c r="AG193">
        <v>139.9</v>
      </c>
      <c r="AI193">
        <v>136.69999999999999</v>
      </c>
      <c r="AJ193">
        <v>124.6</v>
      </c>
      <c r="AL193">
        <v>135.1</v>
      </c>
      <c r="AN193">
        <v>142.69999999999999</v>
      </c>
      <c r="AP193">
        <v>129.30000000000001</v>
      </c>
      <c r="AR193">
        <v>133.30000000000001</v>
      </c>
      <c r="AT193">
        <v>138.69999999999999</v>
      </c>
    </row>
    <row r="194" spans="1:46" x14ac:dyDescent="0.3">
      <c r="A194" t="s">
        <v>33</v>
      </c>
      <c r="B194">
        <v>2018</v>
      </c>
      <c r="C194" t="s">
        <v>36</v>
      </c>
      <c r="D194">
        <v>135</v>
      </c>
      <c r="F194">
        <v>143.1</v>
      </c>
      <c r="H194">
        <v>135.5</v>
      </c>
      <c r="I194">
        <v>139.9</v>
      </c>
      <c r="J194">
        <v>116.5</v>
      </c>
      <c r="K194">
        <v>138.5</v>
      </c>
      <c r="L194">
        <v>128</v>
      </c>
      <c r="M194">
        <v>115.5</v>
      </c>
      <c r="N194">
        <v>114.2</v>
      </c>
      <c r="O194">
        <v>140.69999999999999</v>
      </c>
      <c r="P194">
        <v>126.2</v>
      </c>
      <c r="Q194">
        <v>147.6</v>
      </c>
      <c r="S194">
        <v>134.80000000000001</v>
      </c>
      <c r="T194">
        <v>159.69999999999999</v>
      </c>
      <c r="V194">
        <v>136.69999999999999</v>
      </c>
      <c r="X194">
        <v>126.7</v>
      </c>
      <c r="Z194">
        <v>135.19999999999999</v>
      </c>
      <c r="AB194">
        <v>142</v>
      </c>
      <c r="AC194">
        <f t="shared" ref="AC194:AC195" si="129">AB194</f>
        <v>142</v>
      </c>
      <c r="AE194">
        <v>126.4</v>
      </c>
      <c r="AG194">
        <v>130.80000000000001</v>
      </c>
      <c r="AI194">
        <v>130.5</v>
      </c>
      <c r="AJ194">
        <v>117.8</v>
      </c>
      <c r="AL194">
        <v>126.8</v>
      </c>
      <c r="AN194">
        <v>137.80000000000001</v>
      </c>
      <c r="AP194">
        <v>126.7</v>
      </c>
      <c r="AR194">
        <v>127.1</v>
      </c>
      <c r="AT194">
        <v>134</v>
      </c>
    </row>
    <row r="195" spans="1:46" x14ac:dyDescent="0.3">
      <c r="A195" t="s">
        <v>34</v>
      </c>
      <c r="B195">
        <v>2018</v>
      </c>
      <c r="C195" t="s">
        <v>36</v>
      </c>
      <c r="D195">
        <v>136.19999999999999</v>
      </c>
      <c r="F195">
        <v>143.6</v>
      </c>
      <c r="H195">
        <v>138.30000000000001</v>
      </c>
      <c r="I195">
        <v>141.19999999999999</v>
      </c>
      <c r="J195">
        <v>120.7</v>
      </c>
      <c r="K195">
        <v>146.19999999999999</v>
      </c>
      <c r="L195">
        <v>134.6</v>
      </c>
      <c r="M195">
        <v>124.6</v>
      </c>
      <c r="N195">
        <v>116.1</v>
      </c>
      <c r="O195">
        <v>137.80000000000001</v>
      </c>
      <c r="P195">
        <v>129.1</v>
      </c>
      <c r="Q195">
        <v>150.4</v>
      </c>
      <c r="S195">
        <v>137.19999999999999</v>
      </c>
      <c r="T195">
        <v>156.30000000000001</v>
      </c>
      <c r="V195">
        <v>144.30000000000001</v>
      </c>
      <c r="X195">
        <v>136.19999999999999</v>
      </c>
      <c r="Z195">
        <v>143.1</v>
      </c>
      <c r="AB195">
        <v>142</v>
      </c>
      <c r="AC195">
        <f t="shared" si="129"/>
        <v>142</v>
      </c>
      <c r="AE195">
        <v>136.5</v>
      </c>
      <c r="AG195">
        <v>135.6</v>
      </c>
      <c r="AI195">
        <v>134.30000000000001</v>
      </c>
      <c r="AJ195">
        <v>121</v>
      </c>
      <c r="AL195">
        <v>130.4</v>
      </c>
      <c r="AN195">
        <v>139.80000000000001</v>
      </c>
      <c r="AP195">
        <v>128.19999999999999</v>
      </c>
      <c r="AR195">
        <v>130.30000000000001</v>
      </c>
      <c r="AT195">
        <v>136.5</v>
      </c>
    </row>
    <row r="196" spans="1:46" x14ac:dyDescent="0.3">
      <c r="A196" t="s">
        <v>30</v>
      </c>
      <c r="B196">
        <v>2018</v>
      </c>
      <c r="C196" t="s">
        <v>37</v>
      </c>
      <c r="D196">
        <v>137.1</v>
      </c>
      <c r="F196">
        <v>144.5</v>
      </c>
      <c r="H196">
        <v>135.9</v>
      </c>
      <c r="I196">
        <v>142.4</v>
      </c>
      <c r="J196">
        <v>123.5</v>
      </c>
      <c r="K196">
        <v>156.4</v>
      </c>
      <c r="L196">
        <v>135.1</v>
      </c>
      <c r="M196">
        <v>128.4</v>
      </c>
      <c r="N196">
        <v>115.2</v>
      </c>
      <c r="O196">
        <v>137.19999999999999</v>
      </c>
      <c r="P196">
        <v>131.9</v>
      </c>
      <c r="Q196">
        <v>153.80000000000001</v>
      </c>
      <c r="S196">
        <v>138.6</v>
      </c>
      <c r="T196">
        <v>156.1</v>
      </c>
      <c r="V196">
        <v>150.1</v>
      </c>
      <c r="X196">
        <v>143.30000000000001</v>
      </c>
      <c r="Z196">
        <v>149.1</v>
      </c>
      <c r="AB196" t="s">
        <v>32</v>
      </c>
      <c r="AC196">
        <f t="shared" ref="AC196" si="130">AB197</f>
        <v>142.9</v>
      </c>
      <c r="AE196">
        <v>143.80000000000001</v>
      </c>
      <c r="AG196">
        <v>140.9</v>
      </c>
      <c r="AI196">
        <v>137.6</v>
      </c>
      <c r="AJ196">
        <v>125.3</v>
      </c>
      <c r="AL196">
        <v>136</v>
      </c>
      <c r="AN196">
        <v>143.69999999999999</v>
      </c>
      <c r="AP196">
        <v>130.4</v>
      </c>
      <c r="AR196">
        <v>134.19999999999999</v>
      </c>
      <c r="AT196">
        <v>139.1</v>
      </c>
    </row>
    <row r="197" spans="1:46" x14ac:dyDescent="0.3">
      <c r="A197" t="s">
        <v>33</v>
      </c>
      <c r="B197">
        <v>2018</v>
      </c>
      <c r="C197" t="s">
        <v>37</v>
      </c>
      <c r="D197">
        <v>135</v>
      </c>
      <c r="F197">
        <v>144.30000000000001</v>
      </c>
      <c r="H197">
        <v>130.80000000000001</v>
      </c>
      <c r="I197">
        <v>140.30000000000001</v>
      </c>
      <c r="J197">
        <v>116.6</v>
      </c>
      <c r="K197">
        <v>150.1</v>
      </c>
      <c r="L197">
        <v>127.6</v>
      </c>
      <c r="M197">
        <v>114</v>
      </c>
      <c r="N197">
        <v>110.6</v>
      </c>
      <c r="O197">
        <v>140.19999999999999</v>
      </c>
      <c r="P197">
        <v>126.5</v>
      </c>
      <c r="Q197">
        <v>148.30000000000001</v>
      </c>
      <c r="S197">
        <v>135.69999999999999</v>
      </c>
      <c r="T197">
        <v>159.19999999999999</v>
      </c>
      <c r="V197">
        <v>137.80000000000001</v>
      </c>
      <c r="X197">
        <v>127.4</v>
      </c>
      <c r="Z197">
        <v>136.19999999999999</v>
      </c>
      <c r="AB197">
        <v>142.9</v>
      </c>
      <c r="AC197">
        <f t="shared" ref="AC197:AC198" si="131">AB197</f>
        <v>142.9</v>
      </c>
      <c r="AE197">
        <v>124.6</v>
      </c>
      <c r="AG197">
        <v>131.80000000000001</v>
      </c>
      <c r="AI197">
        <v>131.30000000000001</v>
      </c>
      <c r="AJ197">
        <v>118.9</v>
      </c>
      <c r="AL197">
        <v>127.6</v>
      </c>
      <c r="AN197">
        <v>139.69999999999999</v>
      </c>
      <c r="AP197">
        <v>127.6</v>
      </c>
      <c r="AR197">
        <v>128.19999999999999</v>
      </c>
      <c r="AT197">
        <v>134.80000000000001</v>
      </c>
    </row>
    <row r="198" spans="1:46" x14ac:dyDescent="0.3">
      <c r="A198" t="s">
        <v>34</v>
      </c>
      <c r="B198">
        <v>2018</v>
      </c>
      <c r="C198" t="s">
        <v>37</v>
      </c>
      <c r="D198">
        <v>136.4</v>
      </c>
      <c r="F198">
        <v>144.4</v>
      </c>
      <c r="H198">
        <v>133.9</v>
      </c>
      <c r="I198">
        <v>141.6</v>
      </c>
      <c r="J198">
        <v>121</v>
      </c>
      <c r="K198">
        <v>153.5</v>
      </c>
      <c r="L198">
        <v>132.6</v>
      </c>
      <c r="M198">
        <v>123.5</v>
      </c>
      <c r="N198">
        <v>113.7</v>
      </c>
      <c r="O198">
        <v>138.19999999999999</v>
      </c>
      <c r="P198">
        <v>129.6</v>
      </c>
      <c r="Q198">
        <v>151.19999999999999</v>
      </c>
      <c r="S198">
        <v>137.5</v>
      </c>
      <c r="T198">
        <v>156.9</v>
      </c>
      <c r="V198">
        <v>145.30000000000001</v>
      </c>
      <c r="X198">
        <v>136.69999999999999</v>
      </c>
      <c r="Z198">
        <v>144</v>
      </c>
      <c r="AB198">
        <v>142.9</v>
      </c>
      <c r="AC198">
        <f t="shared" si="131"/>
        <v>142.9</v>
      </c>
      <c r="AE198">
        <v>136.5</v>
      </c>
      <c r="AG198">
        <v>136.6</v>
      </c>
      <c r="AI198">
        <v>135.19999999999999</v>
      </c>
      <c r="AJ198">
        <v>121.9</v>
      </c>
      <c r="AL198">
        <v>131.30000000000001</v>
      </c>
      <c r="AN198">
        <v>141.4</v>
      </c>
      <c r="AP198">
        <v>129.19999999999999</v>
      </c>
      <c r="AR198">
        <v>131.30000000000001</v>
      </c>
      <c r="AT198">
        <v>137.1</v>
      </c>
    </row>
    <row r="199" spans="1:46" x14ac:dyDescent="0.3">
      <c r="A199" t="s">
        <v>30</v>
      </c>
      <c r="B199">
        <v>2018</v>
      </c>
      <c r="C199" t="s">
        <v>38</v>
      </c>
      <c r="D199">
        <v>137.4</v>
      </c>
      <c r="F199">
        <v>145.69999999999999</v>
      </c>
      <c r="H199">
        <v>135.5</v>
      </c>
      <c r="I199">
        <v>142.9</v>
      </c>
      <c r="J199">
        <v>123.6</v>
      </c>
      <c r="K199">
        <v>157.5</v>
      </c>
      <c r="L199">
        <v>137.80000000000001</v>
      </c>
      <c r="M199">
        <v>127.2</v>
      </c>
      <c r="N199">
        <v>111.8</v>
      </c>
      <c r="O199">
        <v>137.4</v>
      </c>
      <c r="P199">
        <v>132.19999999999999</v>
      </c>
      <c r="Q199">
        <v>154.30000000000001</v>
      </c>
      <c r="S199">
        <v>139.1</v>
      </c>
      <c r="T199">
        <v>157</v>
      </c>
      <c r="V199">
        <v>150.80000000000001</v>
      </c>
      <c r="X199">
        <v>144.1</v>
      </c>
      <c r="Z199">
        <v>149.80000000000001</v>
      </c>
      <c r="AB199" t="s">
        <v>32</v>
      </c>
      <c r="AC199">
        <f t="shared" ref="AC199" si="132">AB200</f>
        <v>143.19999999999999</v>
      </c>
      <c r="AE199">
        <v>144.30000000000001</v>
      </c>
      <c r="AG199">
        <v>141.80000000000001</v>
      </c>
      <c r="AI199">
        <v>138.4</v>
      </c>
      <c r="AJ199">
        <v>126.4</v>
      </c>
      <c r="AL199">
        <v>136.80000000000001</v>
      </c>
      <c r="AN199">
        <v>144.4</v>
      </c>
      <c r="AP199">
        <v>131.19999999999999</v>
      </c>
      <c r="AR199">
        <v>135.1</v>
      </c>
      <c r="AT199">
        <v>139.80000000000001</v>
      </c>
    </row>
    <row r="200" spans="1:46" x14ac:dyDescent="0.3">
      <c r="A200" t="s">
        <v>33</v>
      </c>
      <c r="B200">
        <v>2018</v>
      </c>
      <c r="C200" t="s">
        <v>38</v>
      </c>
      <c r="D200">
        <v>135</v>
      </c>
      <c r="F200">
        <v>148.19999999999999</v>
      </c>
      <c r="H200">
        <v>130.5</v>
      </c>
      <c r="I200">
        <v>140.69999999999999</v>
      </c>
      <c r="J200">
        <v>116.4</v>
      </c>
      <c r="K200">
        <v>151.30000000000001</v>
      </c>
      <c r="L200">
        <v>131.4</v>
      </c>
      <c r="M200">
        <v>112.8</v>
      </c>
      <c r="N200">
        <v>105.3</v>
      </c>
      <c r="O200">
        <v>139.6</v>
      </c>
      <c r="P200">
        <v>126.6</v>
      </c>
      <c r="Q200">
        <v>148.69999999999999</v>
      </c>
      <c r="S200">
        <v>136.4</v>
      </c>
      <c r="T200">
        <v>160.30000000000001</v>
      </c>
      <c r="V200">
        <v>138.6</v>
      </c>
      <c r="X200">
        <v>127.9</v>
      </c>
      <c r="Z200">
        <v>137</v>
      </c>
      <c r="AB200">
        <v>143.19999999999999</v>
      </c>
      <c r="AC200">
        <f t="shared" ref="AC200:AC201" si="133">AB200</f>
        <v>143.19999999999999</v>
      </c>
      <c r="AE200">
        <v>124.7</v>
      </c>
      <c r="AG200">
        <v>132.5</v>
      </c>
      <c r="AI200">
        <v>132</v>
      </c>
      <c r="AJ200">
        <v>119.8</v>
      </c>
      <c r="AL200">
        <v>128</v>
      </c>
      <c r="AN200">
        <v>140.4</v>
      </c>
      <c r="AP200">
        <v>128.1</v>
      </c>
      <c r="AR200">
        <v>128.9</v>
      </c>
      <c r="AT200">
        <v>135.4</v>
      </c>
    </row>
    <row r="201" spans="1:46" x14ac:dyDescent="0.3">
      <c r="A201" t="s">
        <v>34</v>
      </c>
      <c r="B201">
        <v>2018</v>
      </c>
      <c r="C201" t="s">
        <v>38</v>
      </c>
      <c r="D201">
        <v>136.6</v>
      </c>
      <c r="F201">
        <v>146.6</v>
      </c>
      <c r="H201">
        <v>133.6</v>
      </c>
      <c r="I201">
        <v>142.1</v>
      </c>
      <c r="J201">
        <v>121</v>
      </c>
      <c r="K201">
        <v>154.6</v>
      </c>
      <c r="L201">
        <v>135.6</v>
      </c>
      <c r="M201">
        <v>122.3</v>
      </c>
      <c r="N201">
        <v>109.6</v>
      </c>
      <c r="O201">
        <v>138.1</v>
      </c>
      <c r="P201">
        <v>129.9</v>
      </c>
      <c r="Q201">
        <v>151.69999999999999</v>
      </c>
      <c r="S201">
        <v>138.1</v>
      </c>
      <c r="T201">
        <v>157.9</v>
      </c>
      <c r="V201">
        <v>146</v>
      </c>
      <c r="X201">
        <v>137.4</v>
      </c>
      <c r="Z201">
        <v>144.69999999999999</v>
      </c>
      <c r="AB201">
        <v>143.19999999999999</v>
      </c>
      <c r="AC201">
        <f t="shared" si="133"/>
        <v>143.19999999999999</v>
      </c>
      <c r="AE201">
        <v>136.9</v>
      </c>
      <c r="AG201">
        <v>137.4</v>
      </c>
      <c r="AI201">
        <v>136</v>
      </c>
      <c r="AJ201">
        <v>122.9</v>
      </c>
      <c r="AL201">
        <v>131.80000000000001</v>
      </c>
      <c r="AN201">
        <v>142.1</v>
      </c>
      <c r="AP201">
        <v>129.9</v>
      </c>
      <c r="AR201">
        <v>132.1</v>
      </c>
      <c r="AT201">
        <v>137.80000000000001</v>
      </c>
    </row>
    <row r="202" spans="1:46" x14ac:dyDescent="0.3">
      <c r="A202" t="s">
        <v>30</v>
      </c>
      <c r="B202">
        <v>2018</v>
      </c>
      <c r="C202" t="s">
        <v>39</v>
      </c>
      <c r="D202">
        <v>137.6</v>
      </c>
      <c r="F202">
        <v>148.1</v>
      </c>
      <c r="H202">
        <v>136.69999999999999</v>
      </c>
      <c r="I202">
        <v>143.19999999999999</v>
      </c>
      <c r="J202">
        <v>124</v>
      </c>
      <c r="K202">
        <v>154.1</v>
      </c>
      <c r="L202">
        <v>143.5</v>
      </c>
      <c r="M202">
        <v>126</v>
      </c>
      <c r="N202">
        <v>112.4</v>
      </c>
      <c r="O202">
        <v>137.6</v>
      </c>
      <c r="P202">
        <v>132.80000000000001</v>
      </c>
      <c r="Q202">
        <v>154.30000000000001</v>
      </c>
      <c r="S202">
        <v>140</v>
      </c>
      <c r="T202">
        <v>157.30000000000001</v>
      </c>
      <c r="V202">
        <v>151.30000000000001</v>
      </c>
      <c r="X202">
        <v>144.69999999999999</v>
      </c>
      <c r="Z202">
        <v>150.30000000000001</v>
      </c>
      <c r="AB202" t="s">
        <v>32</v>
      </c>
      <c r="AC202">
        <f t="shared" ref="AC202" si="134">AB203</f>
        <v>142.5</v>
      </c>
      <c r="AE202">
        <v>145.1</v>
      </c>
      <c r="AG202">
        <v>142.19999999999999</v>
      </c>
      <c r="AI202">
        <v>138.4</v>
      </c>
      <c r="AJ202">
        <v>127.4</v>
      </c>
      <c r="AL202">
        <v>137.80000000000001</v>
      </c>
      <c r="AN202">
        <v>145.1</v>
      </c>
      <c r="AP202">
        <v>131.4</v>
      </c>
      <c r="AR202">
        <v>135.6</v>
      </c>
      <c r="AT202">
        <v>140.5</v>
      </c>
    </row>
    <row r="203" spans="1:46" x14ac:dyDescent="0.3">
      <c r="A203" t="s">
        <v>33</v>
      </c>
      <c r="B203">
        <v>2018</v>
      </c>
      <c r="C203" t="s">
        <v>39</v>
      </c>
      <c r="D203">
        <v>135.30000000000001</v>
      </c>
      <c r="F203">
        <v>149.69999999999999</v>
      </c>
      <c r="H203">
        <v>133.9</v>
      </c>
      <c r="I203">
        <v>140.80000000000001</v>
      </c>
      <c r="J203">
        <v>116.6</v>
      </c>
      <c r="K203">
        <v>152.19999999999999</v>
      </c>
      <c r="L203">
        <v>144</v>
      </c>
      <c r="M203">
        <v>112.3</v>
      </c>
      <c r="N203">
        <v>108.4</v>
      </c>
      <c r="O203">
        <v>140</v>
      </c>
      <c r="P203">
        <v>126.7</v>
      </c>
      <c r="Q203">
        <v>149</v>
      </c>
      <c r="S203">
        <v>138.4</v>
      </c>
      <c r="T203">
        <v>161</v>
      </c>
      <c r="V203">
        <v>138.9</v>
      </c>
      <c r="X203">
        <v>128.69999999999999</v>
      </c>
      <c r="Z203">
        <v>137.4</v>
      </c>
      <c r="AB203">
        <v>142.5</v>
      </c>
      <c r="AC203">
        <f t="shared" ref="AC203:AC204" si="135">AB203</f>
        <v>142.5</v>
      </c>
      <c r="AE203">
        <v>126.5</v>
      </c>
      <c r="AG203">
        <v>133.1</v>
      </c>
      <c r="AI203">
        <v>132.6</v>
      </c>
      <c r="AJ203">
        <v>120.4</v>
      </c>
      <c r="AL203">
        <v>128.5</v>
      </c>
      <c r="AN203">
        <v>141.19999999999999</v>
      </c>
      <c r="AP203">
        <v>128.19999999999999</v>
      </c>
      <c r="AR203">
        <v>129.5</v>
      </c>
      <c r="AT203">
        <v>136.19999999999999</v>
      </c>
    </row>
    <row r="204" spans="1:46" x14ac:dyDescent="0.3">
      <c r="A204" t="s">
        <v>34</v>
      </c>
      <c r="B204">
        <v>2018</v>
      </c>
      <c r="C204" t="s">
        <v>39</v>
      </c>
      <c r="D204">
        <v>136.9</v>
      </c>
      <c r="F204">
        <v>148.69999999999999</v>
      </c>
      <c r="H204">
        <v>135.6</v>
      </c>
      <c r="I204">
        <v>142.30000000000001</v>
      </c>
      <c r="J204">
        <v>121.3</v>
      </c>
      <c r="K204">
        <v>153.19999999999999</v>
      </c>
      <c r="L204">
        <v>143.69999999999999</v>
      </c>
      <c r="M204">
        <v>121.4</v>
      </c>
      <c r="N204">
        <v>111.1</v>
      </c>
      <c r="O204">
        <v>138.4</v>
      </c>
      <c r="P204">
        <v>130.30000000000001</v>
      </c>
      <c r="Q204">
        <v>151.80000000000001</v>
      </c>
      <c r="S204">
        <v>139.4</v>
      </c>
      <c r="T204">
        <v>158.30000000000001</v>
      </c>
      <c r="V204">
        <v>146.4</v>
      </c>
      <c r="X204">
        <v>138.1</v>
      </c>
      <c r="Z204">
        <v>145.19999999999999</v>
      </c>
      <c r="AB204">
        <v>142.5</v>
      </c>
      <c r="AC204">
        <f t="shared" si="135"/>
        <v>142.5</v>
      </c>
      <c r="AE204">
        <v>138.1</v>
      </c>
      <c r="AG204">
        <v>137.9</v>
      </c>
      <c r="AI204">
        <v>136.19999999999999</v>
      </c>
      <c r="AJ204">
        <v>123.7</v>
      </c>
      <c r="AL204">
        <v>132.6</v>
      </c>
      <c r="AN204">
        <v>142.80000000000001</v>
      </c>
      <c r="AP204">
        <v>130.1</v>
      </c>
      <c r="AR204">
        <v>132.6</v>
      </c>
      <c r="AT204">
        <v>138.5</v>
      </c>
    </row>
    <row r="205" spans="1:46" x14ac:dyDescent="0.3">
      <c r="A205" t="s">
        <v>30</v>
      </c>
      <c r="B205">
        <v>2018</v>
      </c>
      <c r="C205" t="s">
        <v>40</v>
      </c>
      <c r="D205">
        <v>138.4</v>
      </c>
      <c r="F205">
        <v>149.30000000000001</v>
      </c>
      <c r="H205">
        <v>139.30000000000001</v>
      </c>
      <c r="I205">
        <v>143.4</v>
      </c>
      <c r="J205">
        <v>124.1</v>
      </c>
      <c r="K205">
        <v>153.30000000000001</v>
      </c>
      <c r="L205">
        <v>154.19999999999999</v>
      </c>
      <c r="M205">
        <v>126.4</v>
      </c>
      <c r="N205">
        <v>114.3</v>
      </c>
      <c r="O205">
        <v>138.19999999999999</v>
      </c>
      <c r="P205">
        <v>132.80000000000001</v>
      </c>
      <c r="Q205">
        <v>154.80000000000001</v>
      </c>
      <c r="S205">
        <v>142</v>
      </c>
      <c r="T205">
        <v>156.1</v>
      </c>
      <c r="V205">
        <v>151.5</v>
      </c>
      <c r="X205">
        <v>145.1</v>
      </c>
      <c r="Z205">
        <v>150.6</v>
      </c>
      <c r="AB205" t="s">
        <v>32</v>
      </c>
      <c r="AC205">
        <f t="shared" ref="AC205" si="136">AB206</f>
        <v>143.6</v>
      </c>
      <c r="AE205">
        <v>146.80000000000001</v>
      </c>
      <c r="AG205">
        <v>143.1</v>
      </c>
      <c r="AI205">
        <v>139</v>
      </c>
      <c r="AJ205">
        <v>127.5</v>
      </c>
      <c r="AL205">
        <v>138.4</v>
      </c>
      <c r="AN205">
        <v>145.80000000000001</v>
      </c>
      <c r="AP205">
        <v>131.4</v>
      </c>
      <c r="AR205">
        <v>136</v>
      </c>
      <c r="AT205">
        <v>141.80000000000001</v>
      </c>
    </row>
    <row r="206" spans="1:46" x14ac:dyDescent="0.3">
      <c r="A206" t="s">
        <v>33</v>
      </c>
      <c r="B206">
        <v>2018</v>
      </c>
      <c r="C206" t="s">
        <v>40</v>
      </c>
      <c r="D206">
        <v>135.6</v>
      </c>
      <c r="F206">
        <v>148.6</v>
      </c>
      <c r="H206">
        <v>139.1</v>
      </c>
      <c r="I206">
        <v>141</v>
      </c>
      <c r="J206">
        <v>116.7</v>
      </c>
      <c r="K206">
        <v>149.69999999999999</v>
      </c>
      <c r="L206">
        <v>159.19999999999999</v>
      </c>
      <c r="M206">
        <v>112.6</v>
      </c>
      <c r="N206">
        <v>111.8</v>
      </c>
      <c r="O206">
        <v>140.30000000000001</v>
      </c>
      <c r="P206">
        <v>126.8</v>
      </c>
      <c r="Q206">
        <v>149.4</v>
      </c>
      <c r="S206">
        <v>140.30000000000001</v>
      </c>
      <c r="T206">
        <v>161.4</v>
      </c>
      <c r="V206">
        <v>139.6</v>
      </c>
      <c r="X206">
        <v>128.9</v>
      </c>
      <c r="Z206">
        <v>137.9</v>
      </c>
      <c r="AB206">
        <v>143.6</v>
      </c>
      <c r="AC206">
        <f t="shared" ref="AC206:AC207" si="137">AB206</f>
        <v>143.6</v>
      </c>
      <c r="AE206">
        <v>128.1</v>
      </c>
      <c r="AG206">
        <v>133.6</v>
      </c>
      <c r="AI206">
        <v>133.6</v>
      </c>
      <c r="AJ206">
        <v>120.1</v>
      </c>
      <c r="AL206">
        <v>129</v>
      </c>
      <c r="AN206">
        <v>144</v>
      </c>
      <c r="AP206">
        <v>128.19999999999999</v>
      </c>
      <c r="AR206">
        <v>130.19999999999999</v>
      </c>
      <c r="AT206">
        <v>137.5</v>
      </c>
    </row>
    <row r="207" spans="1:46" x14ac:dyDescent="0.3">
      <c r="A207" t="s">
        <v>34</v>
      </c>
      <c r="B207">
        <v>2018</v>
      </c>
      <c r="C207" t="s">
        <v>40</v>
      </c>
      <c r="D207">
        <v>137.5</v>
      </c>
      <c r="F207">
        <v>149.1</v>
      </c>
      <c r="H207">
        <v>139.19999999999999</v>
      </c>
      <c r="I207">
        <v>142.5</v>
      </c>
      <c r="J207">
        <v>121.4</v>
      </c>
      <c r="K207">
        <v>151.6</v>
      </c>
      <c r="L207">
        <v>155.9</v>
      </c>
      <c r="M207">
        <v>121.7</v>
      </c>
      <c r="N207">
        <v>113.5</v>
      </c>
      <c r="O207">
        <v>138.9</v>
      </c>
      <c r="P207">
        <v>130.30000000000001</v>
      </c>
      <c r="Q207">
        <v>152.30000000000001</v>
      </c>
      <c r="S207">
        <v>141.4</v>
      </c>
      <c r="T207">
        <v>157.5</v>
      </c>
      <c r="V207">
        <v>146.80000000000001</v>
      </c>
      <c r="X207">
        <v>138.4</v>
      </c>
      <c r="Z207">
        <v>145.6</v>
      </c>
      <c r="AB207">
        <v>143.6</v>
      </c>
      <c r="AC207">
        <f t="shared" si="137"/>
        <v>143.6</v>
      </c>
      <c r="AE207">
        <v>139.69999999999999</v>
      </c>
      <c r="AG207">
        <v>138.6</v>
      </c>
      <c r="AI207">
        <v>137</v>
      </c>
      <c r="AJ207">
        <v>123.6</v>
      </c>
      <c r="AL207">
        <v>133.1</v>
      </c>
      <c r="AN207">
        <v>144.69999999999999</v>
      </c>
      <c r="AP207">
        <v>130.1</v>
      </c>
      <c r="AR207">
        <v>133.19999999999999</v>
      </c>
      <c r="AT207">
        <v>139.80000000000001</v>
      </c>
    </row>
    <row r="208" spans="1:46" x14ac:dyDescent="0.3">
      <c r="A208" t="s">
        <v>30</v>
      </c>
      <c r="B208">
        <v>2018</v>
      </c>
      <c r="C208" t="s">
        <v>41</v>
      </c>
      <c r="D208">
        <v>139.19999999999999</v>
      </c>
      <c r="F208">
        <v>148.80000000000001</v>
      </c>
      <c r="H208">
        <v>139.1</v>
      </c>
      <c r="I208">
        <v>143.5</v>
      </c>
      <c r="J208">
        <v>125</v>
      </c>
      <c r="K208">
        <v>154.4</v>
      </c>
      <c r="L208">
        <v>156.30000000000001</v>
      </c>
      <c r="M208">
        <v>126.8</v>
      </c>
      <c r="N208">
        <v>115.4</v>
      </c>
      <c r="O208">
        <v>138.6</v>
      </c>
      <c r="P208">
        <v>133.80000000000001</v>
      </c>
      <c r="Q208">
        <v>155.19999999999999</v>
      </c>
      <c r="S208">
        <v>142.69999999999999</v>
      </c>
      <c r="T208">
        <v>156.4</v>
      </c>
      <c r="V208">
        <v>152.1</v>
      </c>
      <c r="X208">
        <v>145.80000000000001</v>
      </c>
      <c r="Z208">
        <v>151.30000000000001</v>
      </c>
      <c r="AB208" t="s">
        <v>32</v>
      </c>
      <c r="AC208">
        <f t="shared" ref="AC208" si="138">AB209</f>
        <v>144.6</v>
      </c>
      <c r="AE208">
        <v>147.69999999999999</v>
      </c>
      <c r="AG208">
        <v>143.80000000000001</v>
      </c>
      <c r="AI208">
        <v>139.4</v>
      </c>
      <c r="AJ208">
        <v>128.30000000000001</v>
      </c>
      <c r="AL208">
        <v>138.6</v>
      </c>
      <c r="AN208">
        <v>146.9</v>
      </c>
      <c r="AP208">
        <v>131.30000000000001</v>
      </c>
      <c r="AR208">
        <v>136.6</v>
      </c>
      <c r="AT208">
        <v>142.5</v>
      </c>
    </row>
    <row r="209" spans="1:46" x14ac:dyDescent="0.3">
      <c r="A209" t="s">
        <v>33</v>
      </c>
      <c r="B209">
        <v>2018</v>
      </c>
      <c r="C209" t="s">
        <v>41</v>
      </c>
      <c r="D209">
        <v>136.5</v>
      </c>
      <c r="F209">
        <v>146.4</v>
      </c>
      <c r="H209">
        <v>136.6</v>
      </c>
      <c r="I209">
        <v>141.19999999999999</v>
      </c>
      <c r="J209">
        <v>117.4</v>
      </c>
      <c r="K209">
        <v>146.30000000000001</v>
      </c>
      <c r="L209">
        <v>157.30000000000001</v>
      </c>
      <c r="M209">
        <v>113.6</v>
      </c>
      <c r="N209">
        <v>113.3</v>
      </c>
      <c r="O209">
        <v>141.1</v>
      </c>
      <c r="P209">
        <v>127.4</v>
      </c>
      <c r="Q209">
        <v>150.4</v>
      </c>
      <c r="S209">
        <v>140.1</v>
      </c>
      <c r="T209">
        <v>162.1</v>
      </c>
      <c r="V209">
        <v>140</v>
      </c>
      <c r="X209">
        <v>129</v>
      </c>
      <c r="Z209">
        <v>138.30000000000001</v>
      </c>
      <c r="AB209">
        <v>144.6</v>
      </c>
      <c r="AC209">
        <f t="shared" ref="AC209:AC210" si="139">AB209</f>
        <v>144.6</v>
      </c>
      <c r="AE209">
        <v>129.80000000000001</v>
      </c>
      <c r="AG209">
        <v>134.4</v>
      </c>
      <c r="AI209">
        <v>134.9</v>
      </c>
      <c r="AJ209">
        <v>120.7</v>
      </c>
      <c r="AL209">
        <v>129.80000000000001</v>
      </c>
      <c r="AN209">
        <v>145.30000000000001</v>
      </c>
      <c r="AP209">
        <v>128.30000000000001</v>
      </c>
      <c r="AR209">
        <v>131</v>
      </c>
      <c r="AT209">
        <v>138</v>
      </c>
    </row>
    <row r="210" spans="1:46" x14ac:dyDescent="0.3">
      <c r="A210" t="s">
        <v>34</v>
      </c>
      <c r="B210">
        <v>2018</v>
      </c>
      <c r="C210" t="s">
        <v>41</v>
      </c>
      <c r="D210">
        <v>138.30000000000001</v>
      </c>
      <c r="F210">
        <v>148</v>
      </c>
      <c r="H210">
        <v>138.1</v>
      </c>
      <c r="I210">
        <v>142.6</v>
      </c>
      <c r="J210">
        <v>122.2</v>
      </c>
      <c r="K210">
        <v>150.6</v>
      </c>
      <c r="L210">
        <v>156.6</v>
      </c>
      <c r="M210">
        <v>122.4</v>
      </c>
      <c r="N210">
        <v>114.7</v>
      </c>
      <c r="O210">
        <v>139.4</v>
      </c>
      <c r="P210">
        <v>131.1</v>
      </c>
      <c r="Q210">
        <v>153</v>
      </c>
      <c r="S210">
        <v>141.69999999999999</v>
      </c>
      <c r="T210">
        <v>157.9</v>
      </c>
      <c r="V210">
        <v>147.30000000000001</v>
      </c>
      <c r="X210">
        <v>138.80000000000001</v>
      </c>
      <c r="Z210">
        <v>146.1</v>
      </c>
      <c r="AB210">
        <v>144.6</v>
      </c>
      <c r="AC210">
        <f t="shared" si="139"/>
        <v>144.6</v>
      </c>
      <c r="AE210">
        <v>140.9</v>
      </c>
      <c r="AG210">
        <v>139.4</v>
      </c>
      <c r="AI210">
        <v>137.69999999999999</v>
      </c>
      <c r="AJ210">
        <v>124.3</v>
      </c>
      <c r="AL210">
        <v>133.6</v>
      </c>
      <c r="AN210">
        <v>146</v>
      </c>
      <c r="AP210">
        <v>130.1</v>
      </c>
      <c r="AR210">
        <v>133.9</v>
      </c>
      <c r="AT210">
        <v>140.4</v>
      </c>
    </row>
    <row r="211" spans="1:46" x14ac:dyDescent="0.3">
      <c r="A211" t="s">
        <v>30</v>
      </c>
      <c r="B211">
        <v>2018</v>
      </c>
      <c r="C211" t="s">
        <v>42</v>
      </c>
      <c r="D211">
        <v>139.4</v>
      </c>
      <c r="F211">
        <v>147.19999999999999</v>
      </c>
      <c r="H211">
        <v>136.6</v>
      </c>
      <c r="I211">
        <v>143.69999999999999</v>
      </c>
      <c r="J211">
        <v>124.6</v>
      </c>
      <c r="K211">
        <v>150.1</v>
      </c>
      <c r="L211">
        <v>149.4</v>
      </c>
      <c r="M211">
        <v>125.4</v>
      </c>
      <c r="N211">
        <v>114.4</v>
      </c>
      <c r="O211">
        <v>138.69999999999999</v>
      </c>
      <c r="P211">
        <v>133.1</v>
      </c>
      <c r="Q211">
        <v>155.9</v>
      </c>
      <c r="S211">
        <v>141.30000000000001</v>
      </c>
      <c r="T211">
        <v>157.69999999999999</v>
      </c>
      <c r="V211">
        <v>152.1</v>
      </c>
      <c r="X211">
        <v>146.1</v>
      </c>
      <c r="Z211">
        <v>151.30000000000001</v>
      </c>
      <c r="AB211" t="s">
        <v>32</v>
      </c>
      <c r="AC211">
        <f t="shared" ref="AC211" si="140">AB212</f>
        <v>145.30000000000001</v>
      </c>
      <c r="AE211">
        <v>149</v>
      </c>
      <c r="AG211">
        <v>144</v>
      </c>
      <c r="AI211">
        <v>140</v>
      </c>
      <c r="AJ211">
        <v>129.9</v>
      </c>
      <c r="AL211">
        <v>140</v>
      </c>
      <c r="AN211">
        <v>147.6</v>
      </c>
      <c r="AP211">
        <v>132</v>
      </c>
      <c r="AR211">
        <v>137.4</v>
      </c>
      <c r="AT211">
        <v>142.1</v>
      </c>
    </row>
    <row r="212" spans="1:46" x14ac:dyDescent="0.3">
      <c r="A212" t="s">
        <v>33</v>
      </c>
      <c r="B212">
        <v>2018</v>
      </c>
      <c r="C212" t="s">
        <v>42</v>
      </c>
      <c r="D212">
        <v>137</v>
      </c>
      <c r="F212">
        <v>143.1</v>
      </c>
      <c r="H212">
        <v>132.80000000000001</v>
      </c>
      <c r="I212">
        <v>141.5</v>
      </c>
      <c r="J212">
        <v>117.8</v>
      </c>
      <c r="K212">
        <v>140</v>
      </c>
      <c r="L212">
        <v>151.30000000000001</v>
      </c>
      <c r="M212">
        <v>113.5</v>
      </c>
      <c r="N212">
        <v>112.3</v>
      </c>
      <c r="O212">
        <v>141.19999999999999</v>
      </c>
      <c r="P212">
        <v>127.7</v>
      </c>
      <c r="Q212">
        <v>151.30000000000001</v>
      </c>
      <c r="S212">
        <v>138.9</v>
      </c>
      <c r="T212">
        <v>163.30000000000001</v>
      </c>
      <c r="V212">
        <v>140.80000000000001</v>
      </c>
      <c r="X212">
        <v>129.30000000000001</v>
      </c>
      <c r="Z212">
        <v>139.1</v>
      </c>
      <c r="AB212">
        <v>145.30000000000001</v>
      </c>
      <c r="AC212">
        <f t="shared" ref="AC212:AC213" si="141">AB212</f>
        <v>145.30000000000001</v>
      </c>
      <c r="AE212">
        <v>131.19999999999999</v>
      </c>
      <c r="AG212">
        <v>134.9</v>
      </c>
      <c r="AI212">
        <v>135.69999999999999</v>
      </c>
      <c r="AJ212">
        <v>122.5</v>
      </c>
      <c r="AL212">
        <v>130.19999999999999</v>
      </c>
      <c r="AN212">
        <v>145.19999999999999</v>
      </c>
      <c r="AP212">
        <v>129.30000000000001</v>
      </c>
      <c r="AR212">
        <v>131.9</v>
      </c>
      <c r="AT212">
        <v>138.1</v>
      </c>
    </row>
    <row r="213" spans="1:46" x14ac:dyDescent="0.3">
      <c r="A213" t="s">
        <v>34</v>
      </c>
      <c r="B213">
        <v>2018</v>
      </c>
      <c r="C213" t="s">
        <v>42</v>
      </c>
      <c r="D213">
        <v>138.6</v>
      </c>
      <c r="F213">
        <v>145.80000000000001</v>
      </c>
      <c r="H213">
        <v>135.1</v>
      </c>
      <c r="I213">
        <v>142.9</v>
      </c>
      <c r="J213">
        <v>122.1</v>
      </c>
      <c r="K213">
        <v>145.4</v>
      </c>
      <c r="L213">
        <v>150</v>
      </c>
      <c r="M213">
        <v>121.4</v>
      </c>
      <c r="N213">
        <v>113.7</v>
      </c>
      <c r="O213">
        <v>139.5</v>
      </c>
      <c r="P213">
        <v>130.80000000000001</v>
      </c>
      <c r="Q213">
        <v>153.80000000000001</v>
      </c>
      <c r="S213">
        <v>140.4</v>
      </c>
      <c r="T213">
        <v>159.19999999999999</v>
      </c>
      <c r="V213">
        <v>147.69999999999999</v>
      </c>
      <c r="X213">
        <v>139.1</v>
      </c>
      <c r="Z213">
        <v>146.5</v>
      </c>
      <c r="AB213">
        <v>145.30000000000001</v>
      </c>
      <c r="AC213">
        <f t="shared" si="141"/>
        <v>145.30000000000001</v>
      </c>
      <c r="AE213">
        <v>142.30000000000001</v>
      </c>
      <c r="AG213">
        <v>139.69999999999999</v>
      </c>
      <c r="AI213">
        <v>138.4</v>
      </c>
      <c r="AJ213">
        <v>126</v>
      </c>
      <c r="AL213">
        <v>134.5</v>
      </c>
      <c r="AN213">
        <v>146.19999999999999</v>
      </c>
      <c r="AP213">
        <v>130.9</v>
      </c>
      <c r="AR213">
        <v>134.69999999999999</v>
      </c>
      <c r="AT213">
        <v>140.19999999999999</v>
      </c>
    </row>
    <row r="214" spans="1:46" x14ac:dyDescent="0.3">
      <c r="A214" t="s">
        <v>30</v>
      </c>
      <c r="B214">
        <v>2018</v>
      </c>
      <c r="C214" t="s">
        <v>43</v>
      </c>
      <c r="D214">
        <v>139.30000000000001</v>
      </c>
      <c r="F214">
        <v>147.6</v>
      </c>
      <c r="H214">
        <v>134.6</v>
      </c>
      <c r="I214">
        <v>141.9</v>
      </c>
      <c r="J214">
        <v>123.5</v>
      </c>
      <c r="K214">
        <v>144.5</v>
      </c>
      <c r="L214">
        <v>147.6</v>
      </c>
      <c r="M214">
        <v>121.4</v>
      </c>
      <c r="N214">
        <v>112.3</v>
      </c>
      <c r="O214">
        <v>139.5</v>
      </c>
      <c r="P214">
        <v>134.6</v>
      </c>
      <c r="Q214">
        <v>155.19999999999999</v>
      </c>
      <c r="S214">
        <v>140.19999999999999</v>
      </c>
      <c r="T214">
        <v>159.6</v>
      </c>
      <c r="V214">
        <v>150.69999999999999</v>
      </c>
      <c r="X214">
        <v>144.5</v>
      </c>
      <c r="Z214">
        <v>149.80000000000001</v>
      </c>
      <c r="AB214" t="s">
        <v>32</v>
      </c>
      <c r="AC214">
        <f t="shared" ref="AC214" si="142">AB215</f>
        <v>146.30000000000001</v>
      </c>
      <c r="AE214">
        <v>149.69999999999999</v>
      </c>
      <c r="AG214">
        <v>147.5</v>
      </c>
      <c r="AI214">
        <v>144.80000000000001</v>
      </c>
      <c r="AJ214">
        <v>130.80000000000001</v>
      </c>
      <c r="AL214">
        <v>140.1</v>
      </c>
      <c r="AN214">
        <v>148</v>
      </c>
      <c r="AP214">
        <v>134.4</v>
      </c>
      <c r="AR214">
        <v>139.80000000000001</v>
      </c>
      <c r="AT214">
        <v>142.19999999999999</v>
      </c>
    </row>
    <row r="215" spans="1:46" x14ac:dyDescent="0.3">
      <c r="A215" t="s">
        <v>33</v>
      </c>
      <c r="B215">
        <v>2018</v>
      </c>
      <c r="C215" t="s">
        <v>43</v>
      </c>
      <c r="D215">
        <v>137.6</v>
      </c>
      <c r="F215">
        <v>144.9</v>
      </c>
      <c r="H215">
        <v>133.5</v>
      </c>
      <c r="I215">
        <v>141.5</v>
      </c>
      <c r="J215">
        <v>118</v>
      </c>
      <c r="K215">
        <v>139.5</v>
      </c>
      <c r="L215">
        <v>153</v>
      </c>
      <c r="M215">
        <v>113.2</v>
      </c>
      <c r="N215">
        <v>112.8</v>
      </c>
      <c r="O215">
        <v>141.1</v>
      </c>
      <c r="P215">
        <v>127.6</v>
      </c>
      <c r="Q215">
        <v>152</v>
      </c>
      <c r="S215">
        <v>139.4</v>
      </c>
      <c r="T215">
        <v>164</v>
      </c>
      <c r="V215">
        <v>141.5</v>
      </c>
      <c r="X215">
        <v>129.80000000000001</v>
      </c>
      <c r="Z215">
        <v>139.69999999999999</v>
      </c>
      <c r="AB215">
        <v>146.30000000000001</v>
      </c>
      <c r="AC215">
        <f t="shared" ref="AC215:AC216" si="143">AB215</f>
        <v>146.30000000000001</v>
      </c>
      <c r="AE215">
        <v>133.4</v>
      </c>
      <c r="AG215">
        <v>135.1</v>
      </c>
      <c r="AI215">
        <v>136.19999999999999</v>
      </c>
      <c r="AJ215">
        <v>123.3</v>
      </c>
      <c r="AL215">
        <v>130.69999999999999</v>
      </c>
      <c r="AN215">
        <v>145.5</v>
      </c>
      <c r="AP215">
        <v>130.4</v>
      </c>
      <c r="AR215">
        <v>132.5</v>
      </c>
      <c r="AT215">
        <v>138.9</v>
      </c>
    </row>
    <row r="216" spans="1:46" x14ac:dyDescent="0.3">
      <c r="A216" t="s">
        <v>34</v>
      </c>
      <c r="B216">
        <v>2018</v>
      </c>
      <c r="C216" t="s">
        <v>43</v>
      </c>
      <c r="D216">
        <v>137.4</v>
      </c>
      <c r="F216">
        <v>149.5</v>
      </c>
      <c r="H216">
        <v>137.30000000000001</v>
      </c>
      <c r="I216">
        <v>141.9</v>
      </c>
      <c r="J216">
        <v>121.1</v>
      </c>
      <c r="K216">
        <v>142.5</v>
      </c>
      <c r="L216">
        <v>146.69999999999999</v>
      </c>
      <c r="M216">
        <v>119.1</v>
      </c>
      <c r="N216">
        <v>111.9</v>
      </c>
      <c r="O216">
        <v>141</v>
      </c>
      <c r="P216">
        <v>133.6</v>
      </c>
      <c r="Q216">
        <v>154.5</v>
      </c>
      <c r="S216">
        <v>139.69999999999999</v>
      </c>
      <c r="T216">
        <v>162.6</v>
      </c>
      <c r="V216">
        <v>148</v>
      </c>
      <c r="X216">
        <v>139.19999999999999</v>
      </c>
      <c r="Z216">
        <v>146.80000000000001</v>
      </c>
      <c r="AB216">
        <v>146.9</v>
      </c>
      <c r="AC216">
        <f t="shared" si="143"/>
        <v>146.9</v>
      </c>
      <c r="AE216">
        <v>145.30000000000001</v>
      </c>
      <c r="AG216">
        <v>142.19999999999999</v>
      </c>
      <c r="AI216">
        <v>142.1</v>
      </c>
      <c r="AJ216">
        <v>125.5</v>
      </c>
      <c r="AL216">
        <v>136.5</v>
      </c>
      <c r="AN216">
        <v>147.80000000000001</v>
      </c>
      <c r="AP216">
        <v>132</v>
      </c>
      <c r="AR216">
        <v>136.30000000000001</v>
      </c>
      <c r="AT216">
        <v>140.80000000000001</v>
      </c>
    </row>
    <row r="217" spans="1:46" x14ac:dyDescent="0.3">
      <c r="A217" t="s">
        <v>30</v>
      </c>
      <c r="B217">
        <v>2018</v>
      </c>
      <c r="C217" t="s">
        <v>45</v>
      </c>
      <c r="D217">
        <v>137.1</v>
      </c>
      <c r="F217">
        <v>150.80000000000001</v>
      </c>
      <c r="H217">
        <v>136.69999999999999</v>
      </c>
      <c r="I217">
        <v>141.9</v>
      </c>
      <c r="J217">
        <v>122.8</v>
      </c>
      <c r="K217">
        <v>143.9</v>
      </c>
      <c r="L217">
        <v>147.5</v>
      </c>
      <c r="M217">
        <v>121</v>
      </c>
      <c r="N217">
        <v>111.6</v>
      </c>
      <c r="O217">
        <v>140.6</v>
      </c>
      <c r="P217">
        <v>137.5</v>
      </c>
      <c r="Q217">
        <v>156.1</v>
      </c>
      <c r="S217">
        <v>140</v>
      </c>
      <c r="T217">
        <v>161.9</v>
      </c>
      <c r="V217">
        <v>151.69999999999999</v>
      </c>
      <c r="X217">
        <v>145.5</v>
      </c>
      <c r="Z217">
        <v>150.80000000000001</v>
      </c>
      <c r="AB217" t="s">
        <v>32</v>
      </c>
      <c r="AC217">
        <f t="shared" ref="AC217" si="144">AB218</f>
        <v>146.9</v>
      </c>
      <c r="AE217">
        <v>150.30000000000001</v>
      </c>
      <c r="AG217">
        <v>148</v>
      </c>
      <c r="AI217">
        <v>145.4</v>
      </c>
      <c r="AJ217">
        <v>130.30000000000001</v>
      </c>
      <c r="AL217">
        <v>143.1</v>
      </c>
      <c r="AN217">
        <v>150.19999999999999</v>
      </c>
      <c r="AP217">
        <v>133.1</v>
      </c>
      <c r="AR217">
        <v>140.1</v>
      </c>
      <c r="AT217">
        <v>142.4</v>
      </c>
    </row>
    <row r="218" spans="1:46" x14ac:dyDescent="0.3">
      <c r="A218" t="s">
        <v>33</v>
      </c>
      <c r="B218">
        <v>2018</v>
      </c>
      <c r="C218" t="s">
        <v>45</v>
      </c>
      <c r="D218">
        <v>138.1</v>
      </c>
      <c r="F218">
        <v>146.30000000000001</v>
      </c>
      <c r="H218">
        <v>137.80000000000001</v>
      </c>
      <c r="I218">
        <v>141.6</v>
      </c>
      <c r="J218">
        <v>118.1</v>
      </c>
      <c r="K218">
        <v>141.5</v>
      </c>
      <c r="L218">
        <v>145.19999999999999</v>
      </c>
      <c r="M218">
        <v>115.3</v>
      </c>
      <c r="N218">
        <v>112.5</v>
      </c>
      <c r="O218">
        <v>141.4</v>
      </c>
      <c r="P218">
        <v>128</v>
      </c>
      <c r="Q218">
        <v>152.6</v>
      </c>
      <c r="S218">
        <v>139.1</v>
      </c>
      <c r="T218">
        <v>164.4</v>
      </c>
      <c r="V218">
        <v>142.4</v>
      </c>
      <c r="X218">
        <v>130.19999999999999</v>
      </c>
      <c r="Z218">
        <v>140.5</v>
      </c>
      <c r="AB218">
        <v>146.9</v>
      </c>
      <c r="AC218">
        <f t="shared" ref="AC218:AC219" si="145">AB218</f>
        <v>146.9</v>
      </c>
      <c r="AE218">
        <v>136.69999999999999</v>
      </c>
      <c r="AG218">
        <v>135.80000000000001</v>
      </c>
      <c r="AI218">
        <v>136.80000000000001</v>
      </c>
      <c r="AJ218">
        <v>121.2</v>
      </c>
      <c r="AL218">
        <v>131.30000000000001</v>
      </c>
      <c r="AN218">
        <v>146.1</v>
      </c>
      <c r="AP218">
        <v>130.5</v>
      </c>
      <c r="AR218">
        <v>132.19999999999999</v>
      </c>
      <c r="AT218">
        <v>139</v>
      </c>
    </row>
    <row r="219" spans="1:46" x14ac:dyDescent="0.3">
      <c r="A219" t="s">
        <v>34</v>
      </c>
      <c r="B219">
        <v>2018</v>
      </c>
      <c r="C219" t="s">
        <v>45</v>
      </c>
      <c r="D219">
        <v>137.4</v>
      </c>
      <c r="F219">
        <v>149.19999999999999</v>
      </c>
      <c r="H219">
        <v>137.1</v>
      </c>
      <c r="I219">
        <v>141.80000000000001</v>
      </c>
      <c r="J219">
        <v>121.1</v>
      </c>
      <c r="K219">
        <v>142.80000000000001</v>
      </c>
      <c r="L219">
        <v>146.69999999999999</v>
      </c>
      <c r="M219">
        <v>119.1</v>
      </c>
      <c r="N219">
        <v>111.9</v>
      </c>
      <c r="O219">
        <v>140.9</v>
      </c>
      <c r="P219">
        <v>133.5</v>
      </c>
      <c r="Q219">
        <v>154.5</v>
      </c>
      <c r="S219">
        <v>139.69999999999999</v>
      </c>
      <c r="T219">
        <v>162.6</v>
      </c>
      <c r="V219">
        <v>148</v>
      </c>
      <c r="X219">
        <v>139.1</v>
      </c>
      <c r="Z219">
        <v>146.69999999999999</v>
      </c>
      <c r="AB219">
        <v>146.9</v>
      </c>
      <c r="AC219">
        <f t="shared" si="145"/>
        <v>146.9</v>
      </c>
      <c r="AE219">
        <v>145.1</v>
      </c>
      <c r="AG219">
        <v>142.19999999999999</v>
      </c>
      <c r="AI219">
        <v>142.1</v>
      </c>
      <c r="AJ219">
        <v>125.5</v>
      </c>
      <c r="AL219">
        <v>136.5</v>
      </c>
      <c r="AN219">
        <v>147.80000000000001</v>
      </c>
      <c r="AP219">
        <v>132</v>
      </c>
      <c r="AR219">
        <v>136.30000000000001</v>
      </c>
      <c r="AT219">
        <v>140.80000000000001</v>
      </c>
    </row>
    <row r="220" spans="1:46" x14ac:dyDescent="0.3">
      <c r="A220" t="s">
        <v>30</v>
      </c>
      <c r="B220">
        <v>2018</v>
      </c>
      <c r="C220" t="s">
        <v>46</v>
      </c>
      <c r="D220">
        <v>137.1</v>
      </c>
      <c r="F220">
        <v>151.9</v>
      </c>
      <c r="H220">
        <v>137.4</v>
      </c>
      <c r="I220">
        <v>142.4</v>
      </c>
      <c r="J220">
        <v>124.2</v>
      </c>
      <c r="K220">
        <v>140.19999999999999</v>
      </c>
      <c r="L220">
        <v>136.6</v>
      </c>
      <c r="M220">
        <v>120.9</v>
      </c>
      <c r="N220">
        <v>109.9</v>
      </c>
      <c r="O220">
        <v>140.19999999999999</v>
      </c>
      <c r="P220">
        <v>137.80000000000001</v>
      </c>
      <c r="Q220">
        <v>156</v>
      </c>
      <c r="S220">
        <v>138.5</v>
      </c>
      <c r="T220">
        <v>162.4</v>
      </c>
      <c r="V220">
        <v>151.6</v>
      </c>
      <c r="X220">
        <v>145.9</v>
      </c>
      <c r="Z220">
        <v>150.80000000000001</v>
      </c>
      <c r="AB220" t="s">
        <v>32</v>
      </c>
      <c r="AC220">
        <f t="shared" ref="AC220" si="146">AB221</f>
        <v>146.5</v>
      </c>
      <c r="AE220">
        <v>149</v>
      </c>
      <c r="AG220">
        <v>149.5</v>
      </c>
      <c r="AI220">
        <v>149.6</v>
      </c>
      <c r="AJ220">
        <v>128.9</v>
      </c>
      <c r="AL220">
        <v>143.30000000000001</v>
      </c>
      <c r="AN220">
        <v>155.1</v>
      </c>
      <c r="AP220">
        <v>133.19999999999999</v>
      </c>
      <c r="AR220">
        <v>141.6</v>
      </c>
      <c r="AT220">
        <v>141.9</v>
      </c>
    </row>
    <row r="221" spans="1:46" x14ac:dyDescent="0.3">
      <c r="A221" t="s">
        <v>33</v>
      </c>
      <c r="B221">
        <v>2018</v>
      </c>
      <c r="C221" t="s">
        <v>46</v>
      </c>
      <c r="D221">
        <v>138.5</v>
      </c>
      <c r="F221">
        <v>147.80000000000001</v>
      </c>
      <c r="H221">
        <v>141.1</v>
      </c>
      <c r="I221">
        <v>141.6</v>
      </c>
      <c r="J221">
        <v>118.1</v>
      </c>
      <c r="K221">
        <v>138.5</v>
      </c>
      <c r="L221">
        <v>132.4</v>
      </c>
      <c r="M221">
        <v>117.5</v>
      </c>
      <c r="N221">
        <v>111</v>
      </c>
      <c r="O221">
        <v>141.5</v>
      </c>
      <c r="P221">
        <v>128.1</v>
      </c>
      <c r="Q221">
        <v>152.9</v>
      </c>
      <c r="S221">
        <v>137.6</v>
      </c>
      <c r="T221">
        <v>164.6</v>
      </c>
      <c r="V221">
        <v>142.69999999999999</v>
      </c>
      <c r="X221">
        <v>130.30000000000001</v>
      </c>
      <c r="Z221">
        <v>140.80000000000001</v>
      </c>
      <c r="AB221">
        <v>146.5</v>
      </c>
      <c r="AC221">
        <f t="shared" ref="AC221:AC222" si="147">AB221</f>
        <v>146.5</v>
      </c>
      <c r="AE221">
        <v>132.4</v>
      </c>
      <c r="AG221">
        <v>136.19999999999999</v>
      </c>
      <c r="AI221">
        <v>137.30000000000001</v>
      </c>
      <c r="AJ221">
        <v>118.8</v>
      </c>
      <c r="AL221">
        <v>131.69999999999999</v>
      </c>
      <c r="AN221">
        <v>146.5</v>
      </c>
      <c r="AP221">
        <v>130.80000000000001</v>
      </c>
      <c r="AR221">
        <v>131.69999999999999</v>
      </c>
      <c r="AT221">
        <v>138</v>
      </c>
    </row>
    <row r="222" spans="1:46" x14ac:dyDescent="0.3">
      <c r="A222" t="s">
        <v>34</v>
      </c>
      <c r="B222">
        <v>2018</v>
      </c>
      <c r="C222" t="s">
        <v>46</v>
      </c>
      <c r="D222">
        <v>137.5</v>
      </c>
      <c r="F222">
        <v>150.5</v>
      </c>
      <c r="H222">
        <v>138.80000000000001</v>
      </c>
      <c r="I222">
        <v>142.1</v>
      </c>
      <c r="J222">
        <v>122</v>
      </c>
      <c r="K222">
        <v>139.4</v>
      </c>
      <c r="L222">
        <v>135.19999999999999</v>
      </c>
      <c r="M222">
        <v>119.8</v>
      </c>
      <c r="N222">
        <v>110.3</v>
      </c>
      <c r="O222">
        <v>140.6</v>
      </c>
      <c r="P222">
        <v>133.80000000000001</v>
      </c>
      <c r="Q222">
        <v>154.6</v>
      </c>
      <c r="S222">
        <v>138.19999999999999</v>
      </c>
      <c r="T222">
        <v>163</v>
      </c>
      <c r="V222">
        <v>148.1</v>
      </c>
      <c r="X222">
        <v>139.4</v>
      </c>
      <c r="Z222">
        <v>146.80000000000001</v>
      </c>
      <c r="AB222">
        <v>146.5</v>
      </c>
      <c r="AC222">
        <f t="shared" si="147"/>
        <v>146.5</v>
      </c>
      <c r="AE222">
        <v>142.69999999999999</v>
      </c>
      <c r="AG222">
        <v>143.19999999999999</v>
      </c>
      <c r="AI222">
        <v>144.9</v>
      </c>
      <c r="AJ222">
        <v>123.6</v>
      </c>
      <c r="AL222">
        <v>136.80000000000001</v>
      </c>
      <c r="AN222">
        <v>150.1</v>
      </c>
      <c r="AP222">
        <v>132.19999999999999</v>
      </c>
      <c r="AR222">
        <v>136.80000000000001</v>
      </c>
      <c r="AT222">
        <v>140.1</v>
      </c>
    </row>
    <row r="223" spans="1:46" x14ac:dyDescent="0.3">
      <c r="A223" t="s">
        <v>30</v>
      </c>
      <c r="B223">
        <v>2019</v>
      </c>
      <c r="C223" t="s">
        <v>31</v>
      </c>
      <c r="D223">
        <v>136.6</v>
      </c>
      <c r="F223">
        <v>152.5</v>
      </c>
      <c r="H223">
        <v>138.19999999999999</v>
      </c>
      <c r="I223">
        <v>142.4</v>
      </c>
      <c r="J223">
        <v>123.9</v>
      </c>
      <c r="K223">
        <v>135.5</v>
      </c>
      <c r="L223">
        <v>131.69999999999999</v>
      </c>
      <c r="M223">
        <v>121.3</v>
      </c>
      <c r="N223">
        <v>108.4</v>
      </c>
      <c r="O223">
        <v>138.9</v>
      </c>
      <c r="P223">
        <v>137</v>
      </c>
      <c r="Q223">
        <v>155.80000000000001</v>
      </c>
      <c r="S223">
        <v>137.4</v>
      </c>
      <c r="T223">
        <v>162.69999999999999</v>
      </c>
      <c r="V223">
        <v>150.6</v>
      </c>
      <c r="X223">
        <v>145.1</v>
      </c>
      <c r="Z223">
        <v>149.9</v>
      </c>
      <c r="AB223" t="s">
        <v>32</v>
      </c>
      <c r="AC223">
        <f t="shared" ref="AC223" si="148">AB224</f>
        <v>147.69999999999999</v>
      </c>
      <c r="AE223">
        <v>146.19999999999999</v>
      </c>
      <c r="AG223">
        <v>150.1</v>
      </c>
      <c r="AI223">
        <v>149.6</v>
      </c>
      <c r="AJ223">
        <v>128.6</v>
      </c>
      <c r="AL223">
        <v>142.9</v>
      </c>
      <c r="AN223">
        <v>155.19999999999999</v>
      </c>
      <c r="AP223">
        <v>133.5</v>
      </c>
      <c r="AR223">
        <v>141.69999999999999</v>
      </c>
      <c r="AT223">
        <v>141</v>
      </c>
    </row>
    <row r="224" spans="1:46" x14ac:dyDescent="0.3">
      <c r="A224" t="s">
        <v>33</v>
      </c>
      <c r="B224">
        <v>2019</v>
      </c>
      <c r="C224" t="s">
        <v>31</v>
      </c>
      <c r="D224">
        <v>138.30000000000001</v>
      </c>
      <c r="F224">
        <v>149.4</v>
      </c>
      <c r="H224">
        <v>143.5</v>
      </c>
      <c r="I224">
        <v>141.69999999999999</v>
      </c>
      <c r="J224">
        <v>118.1</v>
      </c>
      <c r="K224">
        <v>135.19999999999999</v>
      </c>
      <c r="L224">
        <v>130.5</v>
      </c>
      <c r="M224">
        <v>118.2</v>
      </c>
      <c r="N224">
        <v>110.4</v>
      </c>
      <c r="O224">
        <v>140.4</v>
      </c>
      <c r="P224">
        <v>128.1</v>
      </c>
      <c r="Q224">
        <v>153.19999999999999</v>
      </c>
      <c r="S224">
        <v>137.30000000000001</v>
      </c>
      <c r="T224">
        <v>164.7</v>
      </c>
      <c r="V224">
        <v>143</v>
      </c>
      <c r="X224">
        <v>130.4</v>
      </c>
      <c r="Z224">
        <v>141.1</v>
      </c>
      <c r="AB224">
        <v>147.69999999999999</v>
      </c>
      <c r="AC224">
        <f t="shared" ref="AC224:AC225" si="149">AB224</f>
        <v>147.69999999999999</v>
      </c>
      <c r="AE224">
        <v>128.6</v>
      </c>
      <c r="AG224">
        <v>136.30000000000001</v>
      </c>
      <c r="AI224">
        <v>137.80000000000001</v>
      </c>
      <c r="AJ224">
        <v>118.6</v>
      </c>
      <c r="AL224">
        <v>131.9</v>
      </c>
      <c r="AN224">
        <v>146.6</v>
      </c>
      <c r="AP224">
        <v>131.69999999999999</v>
      </c>
      <c r="AR224">
        <v>131.80000000000001</v>
      </c>
      <c r="AT224">
        <v>138</v>
      </c>
    </row>
    <row r="225" spans="1:46" x14ac:dyDescent="0.3">
      <c r="A225" t="s">
        <v>34</v>
      </c>
      <c r="B225">
        <v>2019</v>
      </c>
      <c r="C225" t="s">
        <v>31</v>
      </c>
      <c r="D225">
        <v>137.1</v>
      </c>
      <c r="F225">
        <v>151.4</v>
      </c>
      <c r="H225">
        <v>140.19999999999999</v>
      </c>
      <c r="I225">
        <v>142.1</v>
      </c>
      <c r="J225">
        <v>121.8</v>
      </c>
      <c r="K225">
        <v>135.4</v>
      </c>
      <c r="L225">
        <v>131.30000000000001</v>
      </c>
      <c r="M225">
        <v>120.3</v>
      </c>
      <c r="N225">
        <v>109.1</v>
      </c>
      <c r="O225">
        <v>139.4</v>
      </c>
      <c r="P225">
        <v>133.30000000000001</v>
      </c>
      <c r="Q225">
        <v>154.6</v>
      </c>
      <c r="S225">
        <v>137.4</v>
      </c>
      <c r="T225">
        <v>163.19999999999999</v>
      </c>
      <c r="V225">
        <v>147.6</v>
      </c>
      <c r="X225">
        <v>139</v>
      </c>
      <c r="Z225">
        <v>146.4</v>
      </c>
      <c r="AB225">
        <v>147.69999999999999</v>
      </c>
      <c r="AC225">
        <f t="shared" si="149"/>
        <v>147.69999999999999</v>
      </c>
      <c r="AE225">
        <v>139.5</v>
      </c>
      <c r="AG225">
        <v>143.6</v>
      </c>
      <c r="AI225">
        <v>145.1</v>
      </c>
      <c r="AJ225">
        <v>123.3</v>
      </c>
      <c r="AL225">
        <v>136.69999999999999</v>
      </c>
      <c r="AN225">
        <v>150.19999999999999</v>
      </c>
      <c r="AP225">
        <v>132.80000000000001</v>
      </c>
      <c r="AR225">
        <v>136.9</v>
      </c>
      <c r="AT225">
        <v>139.6</v>
      </c>
    </row>
    <row r="226" spans="1:46" x14ac:dyDescent="0.3">
      <c r="A226" t="s">
        <v>30</v>
      </c>
      <c r="B226">
        <v>2019</v>
      </c>
      <c r="C226" t="s">
        <v>35</v>
      </c>
      <c r="D226">
        <v>136.80000000000001</v>
      </c>
      <c r="F226">
        <v>153</v>
      </c>
      <c r="H226">
        <v>139.1</v>
      </c>
      <c r="I226">
        <v>142.5</v>
      </c>
      <c r="J226">
        <v>124.1</v>
      </c>
      <c r="K226">
        <v>135.80000000000001</v>
      </c>
      <c r="L226">
        <v>128.69999999999999</v>
      </c>
      <c r="M226">
        <v>121.5</v>
      </c>
      <c r="N226">
        <v>108.3</v>
      </c>
      <c r="O226">
        <v>139.19999999999999</v>
      </c>
      <c r="P226">
        <v>137.4</v>
      </c>
      <c r="Q226">
        <v>156.19999999999999</v>
      </c>
      <c r="S226">
        <v>137.19999999999999</v>
      </c>
      <c r="T226">
        <v>162.80000000000001</v>
      </c>
      <c r="V226">
        <v>150.5</v>
      </c>
      <c r="X226">
        <v>146.1</v>
      </c>
      <c r="Z226">
        <v>149.9</v>
      </c>
      <c r="AB226" t="s">
        <v>32</v>
      </c>
      <c r="AC226">
        <f t="shared" ref="AC226" si="150">AB227</f>
        <v>148.5</v>
      </c>
      <c r="AE226">
        <v>145.30000000000001</v>
      </c>
      <c r="AG226">
        <v>150.1</v>
      </c>
      <c r="AI226">
        <v>149.9</v>
      </c>
      <c r="AJ226">
        <v>129.19999999999999</v>
      </c>
      <c r="AL226">
        <v>143.4</v>
      </c>
      <c r="AN226">
        <v>155.5</v>
      </c>
      <c r="AP226">
        <v>134.9</v>
      </c>
      <c r="AR226">
        <v>142.19999999999999</v>
      </c>
      <c r="AT226">
        <v>141</v>
      </c>
    </row>
    <row r="227" spans="1:46" x14ac:dyDescent="0.3">
      <c r="A227" t="s">
        <v>33</v>
      </c>
      <c r="B227">
        <v>2019</v>
      </c>
      <c r="C227" t="s">
        <v>35</v>
      </c>
      <c r="D227">
        <v>139.4</v>
      </c>
      <c r="F227">
        <v>150.1</v>
      </c>
      <c r="H227">
        <v>145.30000000000001</v>
      </c>
      <c r="I227">
        <v>141.69999999999999</v>
      </c>
      <c r="J227">
        <v>118.4</v>
      </c>
      <c r="K227">
        <v>137</v>
      </c>
      <c r="L227">
        <v>131.6</v>
      </c>
      <c r="M227">
        <v>119.9</v>
      </c>
      <c r="N227">
        <v>110.4</v>
      </c>
      <c r="O227">
        <v>140.80000000000001</v>
      </c>
      <c r="P227">
        <v>128.30000000000001</v>
      </c>
      <c r="Q227">
        <v>153.5</v>
      </c>
      <c r="S227">
        <v>138</v>
      </c>
      <c r="T227">
        <v>164.9</v>
      </c>
      <c r="V227">
        <v>143.30000000000001</v>
      </c>
      <c r="X227">
        <v>130.80000000000001</v>
      </c>
      <c r="Z227">
        <v>141.4</v>
      </c>
      <c r="AB227">
        <v>148.5</v>
      </c>
      <c r="AC227">
        <f t="shared" ref="AC227:AC228" si="151">AB227</f>
        <v>148.5</v>
      </c>
      <c r="AE227">
        <v>127.1</v>
      </c>
      <c r="AG227">
        <v>136.6</v>
      </c>
      <c r="AI227">
        <v>138.5</v>
      </c>
      <c r="AJ227">
        <v>119.2</v>
      </c>
      <c r="AL227">
        <v>132.19999999999999</v>
      </c>
      <c r="AN227">
        <v>146.6</v>
      </c>
      <c r="AP227">
        <v>133</v>
      </c>
      <c r="AR227">
        <v>132.4</v>
      </c>
      <c r="AT227">
        <v>138.6</v>
      </c>
    </row>
    <row r="228" spans="1:46" x14ac:dyDescent="0.3">
      <c r="A228" t="s">
        <v>34</v>
      </c>
      <c r="B228">
        <v>2019</v>
      </c>
      <c r="C228" t="s">
        <v>35</v>
      </c>
      <c r="D228">
        <v>137.6</v>
      </c>
      <c r="F228">
        <v>152</v>
      </c>
      <c r="H228">
        <v>141.5</v>
      </c>
      <c r="I228">
        <v>142.19999999999999</v>
      </c>
      <c r="J228">
        <v>122</v>
      </c>
      <c r="K228">
        <v>136.4</v>
      </c>
      <c r="L228">
        <v>129.69999999999999</v>
      </c>
      <c r="M228">
        <v>121</v>
      </c>
      <c r="N228">
        <v>109</v>
      </c>
      <c r="O228">
        <v>139.69999999999999</v>
      </c>
      <c r="P228">
        <v>133.6</v>
      </c>
      <c r="Q228">
        <v>154.9</v>
      </c>
      <c r="S228">
        <v>137.5</v>
      </c>
      <c r="T228">
        <v>163.4</v>
      </c>
      <c r="V228">
        <v>147.69999999999999</v>
      </c>
      <c r="X228">
        <v>139.69999999999999</v>
      </c>
      <c r="Z228">
        <v>146.5</v>
      </c>
      <c r="AB228">
        <v>148.5</v>
      </c>
      <c r="AC228">
        <f t="shared" si="151"/>
        <v>148.5</v>
      </c>
      <c r="AE228">
        <v>138.4</v>
      </c>
      <c r="AG228">
        <v>143.69999999999999</v>
      </c>
      <c r="AI228">
        <v>145.6</v>
      </c>
      <c r="AJ228">
        <v>123.9</v>
      </c>
      <c r="AL228">
        <v>137.1</v>
      </c>
      <c r="AN228">
        <v>150.30000000000001</v>
      </c>
      <c r="AP228">
        <v>134.1</v>
      </c>
      <c r="AR228">
        <v>137.4</v>
      </c>
      <c r="AT228">
        <v>139.9</v>
      </c>
    </row>
    <row r="229" spans="1:46" x14ac:dyDescent="0.3">
      <c r="A229" t="s">
        <v>30</v>
      </c>
      <c r="B229">
        <v>2019</v>
      </c>
      <c r="C229" t="s">
        <v>36</v>
      </c>
      <c r="D229">
        <v>136.9</v>
      </c>
      <c r="F229">
        <v>154.1</v>
      </c>
      <c r="H229">
        <v>138.69999999999999</v>
      </c>
      <c r="I229">
        <v>142.5</v>
      </c>
      <c r="J229">
        <v>124.1</v>
      </c>
      <c r="K229">
        <v>136.1</v>
      </c>
      <c r="L229">
        <v>128.19999999999999</v>
      </c>
      <c r="M229">
        <v>122.3</v>
      </c>
      <c r="N229">
        <v>108.3</v>
      </c>
      <c r="O229">
        <v>138.9</v>
      </c>
      <c r="P229">
        <v>137.4</v>
      </c>
      <c r="Q229">
        <v>156.4</v>
      </c>
      <c r="S229">
        <v>137.30000000000001</v>
      </c>
      <c r="T229">
        <v>162.9</v>
      </c>
      <c r="V229">
        <v>150.80000000000001</v>
      </c>
      <c r="X229">
        <v>146.1</v>
      </c>
      <c r="Z229">
        <v>150.1</v>
      </c>
      <c r="AB229" t="s">
        <v>32</v>
      </c>
      <c r="AC229">
        <f t="shared" ref="AC229" si="152">AB230</f>
        <v>149</v>
      </c>
      <c r="AE229">
        <v>146.4</v>
      </c>
      <c r="AG229">
        <v>150</v>
      </c>
      <c r="AI229">
        <v>150.4</v>
      </c>
      <c r="AJ229">
        <v>129.9</v>
      </c>
      <c r="AL229">
        <v>143.80000000000001</v>
      </c>
      <c r="AN229">
        <v>155.5</v>
      </c>
      <c r="AP229">
        <v>134</v>
      </c>
      <c r="AR229">
        <v>142.4</v>
      </c>
      <c r="AT229">
        <v>141.19999999999999</v>
      </c>
    </row>
    <row r="230" spans="1:46" x14ac:dyDescent="0.3">
      <c r="A230" t="s">
        <v>33</v>
      </c>
      <c r="B230">
        <v>2019</v>
      </c>
      <c r="C230" t="s">
        <v>36</v>
      </c>
      <c r="D230">
        <v>139.69999999999999</v>
      </c>
      <c r="F230">
        <v>151.1</v>
      </c>
      <c r="H230">
        <v>142.9</v>
      </c>
      <c r="I230">
        <v>141.9</v>
      </c>
      <c r="J230">
        <v>118.4</v>
      </c>
      <c r="K230">
        <v>139.4</v>
      </c>
      <c r="L230">
        <v>141.19999999999999</v>
      </c>
      <c r="M230">
        <v>120.7</v>
      </c>
      <c r="N230">
        <v>110.4</v>
      </c>
      <c r="O230">
        <v>140.69999999999999</v>
      </c>
      <c r="P230">
        <v>128.5</v>
      </c>
      <c r="Q230">
        <v>153.9</v>
      </c>
      <c r="S230">
        <v>139.6</v>
      </c>
      <c r="T230">
        <v>165.3</v>
      </c>
      <c r="V230">
        <v>143.5</v>
      </c>
      <c r="X230">
        <v>131.19999999999999</v>
      </c>
      <c r="Z230">
        <v>141.6</v>
      </c>
      <c r="AB230">
        <v>149</v>
      </c>
      <c r="AC230">
        <f t="shared" ref="AC230:AC231" si="153">AB230</f>
        <v>149</v>
      </c>
      <c r="AE230">
        <v>128.80000000000001</v>
      </c>
      <c r="AG230">
        <v>136.80000000000001</v>
      </c>
      <c r="AI230">
        <v>139.19999999999999</v>
      </c>
      <c r="AJ230">
        <v>119.9</v>
      </c>
      <c r="AL230">
        <v>133</v>
      </c>
      <c r="AN230">
        <v>146.69999999999999</v>
      </c>
      <c r="AP230">
        <v>132.5</v>
      </c>
      <c r="AR230">
        <v>132.80000000000001</v>
      </c>
      <c r="AT230">
        <v>139.5</v>
      </c>
    </row>
    <row r="231" spans="1:46" x14ac:dyDescent="0.3">
      <c r="A231" t="s">
        <v>34</v>
      </c>
      <c r="B231">
        <v>2019</v>
      </c>
      <c r="C231" t="s">
        <v>36</v>
      </c>
      <c r="D231">
        <v>137.80000000000001</v>
      </c>
      <c r="F231">
        <v>153</v>
      </c>
      <c r="H231">
        <v>140.30000000000001</v>
      </c>
      <c r="I231">
        <v>142.30000000000001</v>
      </c>
      <c r="J231">
        <v>122</v>
      </c>
      <c r="K231">
        <v>137.6</v>
      </c>
      <c r="L231">
        <v>132.6</v>
      </c>
      <c r="M231">
        <v>121.8</v>
      </c>
      <c r="N231">
        <v>109</v>
      </c>
      <c r="O231">
        <v>139.5</v>
      </c>
      <c r="P231">
        <v>133.69999999999999</v>
      </c>
      <c r="Q231">
        <v>155.19999999999999</v>
      </c>
      <c r="S231">
        <v>138.1</v>
      </c>
      <c r="T231">
        <v>163.5</v>
      </c>
      <c r="V231">
        <v>147.9</v>
      </c>
      <c r="X231">
        <v>139.9</v>
      </c>
      <c r="Z231">
        <v>146.69999999999999</v>
      </c>
      <c r="AB231">
        <v>149</v>
      </c>
      <c r="AC231">
        <f t="shared" si="153"/>
        <v>149</v>
      </c>
      <c r="AE231">
        <v>139.69999999999999</v>
      </c>
      <c r="AG231">
        <v>143.80000000000001</v>
      </c>
      <c r="AI231">
        <v>146.19999999999999</v>
      </c>
      <c r="AJ231">
        <v>124.6</v>
      </c>
      <c r="AL231">
        <v>137.69999999999999</v>
      </c>
      <c r="AN231">
        <v>150.30000000000001</v>
      </c>
      <c r="AP231">
        <v>133.4</v>
      </c>
      <c r="AR231">
        <v>137.69999999999999</v>
      </c>
      <c r="AT231">
        <v>140.4</v>
      </c>
    </row>
    <row r="232" spans="1:46" x14ac:dyDescent="0.3">
      <c r="A232" t="s">
        <v>30</v>
      </c>
      <c r="B232">
        <v>2019</v>
      </c>
      <c r="C232" t="s">
        <v>38</v>
      </c>
      <c r="D232">
        <v>137.4</v>
      </c>
      <c r="F232">
        <v>159.5</v>
      </c>
      <c r="H232">
        <v>134.5</v>
      </c>
      <c r="I232">
        <v>142.6</v>
      </c>
      <c r="J232">
        <v>124</v>
      </c>
      <c r="K232">
        <v>143.69999999999999</v>
      </c>
      <c r="L232">
        <v>133.4</v>
      </c>
      <c r="M232">
        <v>125.1</v>
      </c>
      <c r="N232">
        <v>109.3</v>
      </c>
      <c r="O232">
        <v>139.30000000000001</v>
      </c>
      <c r="P232">
        <v>137.69999999999999</v>
      </c>
      <c r="Q232">
        <v>156.4</v>
      </c>
      <c r="S232">
        <v>139.19999999999999</v>
      </c>
      <c r="T232">
        <v>163.30000000000001</v>
      </c>
      <c r="V232">
        <v>151.30000000000001</v>
      </c>
      <c r="X232">
        <v>146.6</v>
      </c>
      <c r="Z232">
        <v>150.69999999999999</v>
      </c>
      <c r="AB232" t="s">
        <v>32</v>
      </c>
      <c r="AC232">
        <f t="shared" ref="AC232" si="154">AB233</f>
        <v>150.1</v>
      </c>
      <c r="AE232">
        <v>146.9</v>
      </c>
      <c r="AG232">
        <v>149.5</v>
      </c>
      <c r="AI232">
        <v>151.30000000000001</v>
      </c>
      <c r="AJ232">
        <v>130.19999999999999</v>
      </c>
      <c r="AL232">
        <v>145.9</v>
      </c>
      <c r="AN232">
        <v>156.69999999999999</v>
      </c>
      <c r="AP232">
        <v>133.9</v>
      </c>
      <c r="AR232">
        <v>142.9</v>
      </c>
      <c r="AT232">
        <v>142.4</v>
      </c>
    </row>
    <row r="233" spans="1:46" x14ac:dyDescent="0.3">
      <c r="A233" t="s">
        <v>33</v>
      </c>
      <c r="B233">
        <v>2019</v>
      </c>
      <c r="C233" t="s">
        <v>38</v>
      </c>
      <c r="D233">
        <v>140.4</v>
      </c>
      <c r="F233">
        <v>156.69999999999999</v>
      </c>
      <c r="H233">
        <v>138.30000000000001</v>
      </c>
      <c r="I233">
        <v>142.4</v>
      </c>
      <c r="J233">
        <v>118.6</v>
      </c>
      <c r="K233">
        <v>149.69999999999999</v>
      </c>
      <c r="L233">
        <v>161.6</v>
      </c>
      <c r="M233">
        <v>124.4</v>
      </c>
      <c r="N233">
        <v>111.2</v>
      </c>
      <c r="O233">
        <v>141</v>
      </c>
      <c r="P233">
        <v>128.9</v>
      </c>
      <c r="Q233">
        <v>154.5</v>
      </c>
      <c r="S233">
        <v>143.80000000000001</v>
      </c>
      <c r="T233">
        <v>166.2</v>
      </c>
      <c r="V233">
        <v>144</v>
      </c>
      <c r="X233">
        <v>131.69999999999999</v>
      </c>
      <c r="Z233">
        <v>142.19999999999999</v>
      </c>
      <c r="AB233">
        <v>150.1</v>
      </c>
      <c r="AC233">
        <f t="shared" ref="AC233:AC234" si="155">AB233</f>
        <v>150.1</v>
      </c>
      <c r="AE233">
        <v>129.4</v>
      </c>
      <c r="AG233">
        <v>137.19999999999999</v>
      </c>
      <c r="AI233">
        <v>139.80000000000001</v>
      </c>
      <c r="AJ233">
        <v>120.1</v>
      </c>
      <c r="AL233">
        <v>134</v>
      </c>
      <c r="AN233">
        <v>148</v>
      </c>
      <c r="AP233">
        <v>132.6</v>
      </c>
      <c r="AR233">
        <v>133.30000000000001</v>
      </c>
      <c r="AT233">
        <v>141.5</v>
      </c>
    </row>
    <row r="234" spans="1:46" x14ac:dyDescent="0.3">
      <c r="A234" t="s">
        <v>34</v>
      </c>
      <c r="B234">
        <v>2019</v>
      </c>
      <c r="C234" t="s">
        <v>38</v>
      </c>
      <c r="D234">
        <v>138.30000000000001</v>
      </c>
      <c r="F234">
        <v>158.5</v>
      </c>
      <c r="H234">
        <v>136</v>
      </c>
      <c r="I234">
        <v>142.5</v>
      </c>
      <c r="J234">
        <v>122</v>
      </c>
      <c r="K234">
        <v>146.5</v>
      </c>
      <c r="L234">
        <v>143</v>
      </c>
      <c r="M234">
        <v>124.9</v>
      </c>
      <c r="N234">
        <v>109.9</v>
      </c>
      <c r="O234">
        <v>139.9</v>
      </c>
      <c r="P234">
        <v>134</v>
      </c>
      <c r="Q234">
        <v>155.5</v>
      </c>
      <c r="S234">
        <v>140.9</v>
      </c>
      <c r="T234">
        <v>164.1</v>
      </c>
      <c r="V234">
        <v>148.4</v>
      </c>
      <c r="X234">
        <v>140.4</v>
      </c>
      <c r="Z234">
        <v>147.30000000000001</v>
      </c>
      <c r="AB234">
        <v>150.1</v>
      </c>
      <c r="AC234">
        <f t="shared" si="155"/>
        <v>150.1</v>
      </c>
      <c r="AE234">
        <v>140.30000000000001</v>
      </c>
      <c r="AG234">
        <v>143.69999999999999</v>
      </c>
      <c r="AI234">
        <v>146.9</v>
      </c>
      <c r="AJ234">
        <v>124.9</v>
      </c>
      <c r="AL234">
        <v>139.19999999999999</v>
      </c>
      <c r="AN234">
        <v>151.6</v>
      </c>
      <c r="AP234">
        <v>133.4</v>
      </c>
      <c r="AR234">
        <v>138.19999999999999</v>
      </c>
      <c r="AT234">
        <v>142</v>
      </c>
    </row>
    <row r="235" spans="1:46" x14ac:dyDescent="0.3">
      <c r="A235" t="s">
        <v>30</v>
      </c>
      <c r="B235">
        <v>2019</v>
      </c>
      <c r="C235" t="s">
        <v>39</v>
      </c>
      <c r="D235">
        <v>137.80000000000001</v>
      </c>
      <c r="F235">
        <v>163.5</v>
      </c>
      <c r="H235">
        <v>136.19999999999999</v>
      </c>
      <c r="I235">
        <v>143.19999999999999</v>
      </c>
      <c r="J235">
        <v>124.3</v>
      </c>
      <c r="K235">
        <v>143.30000000000001</v>
      </c>
      <c r="L235">
        <v>140.6</v>
      </c>
      <c r="M235">
        <v>128.69999999999999</v>
      </c>
      <c r="N235">
        <v>110.6</v>
      </c>
      <c r="O235">
        <v>140.4</v>
      </c>
      <c r="P235">
        <v>138</v>
      </c>
      <c r="Q235">
        <v>156.6</v>
      </c>
      <c r="S235">
        <v>141</v>
      </c>
      <c r="T235">
        <v>164.2</v>
      </c>
      <c r="V235">
        <v>151.4</v>
      </c>
      <c r="X235">
        <v>146.5</v>
      </c>
      <c r="Z235">
        <v>150.69999999999999</v>
      </c>
      <c r="AB235" t="s">
        <v>32</v>
      </c>
      <c r="AC235">
        <f t="shared" ref="AC235" si="156">AB236</f>
        <v>149.4</v>
      </c>
      <c r="AE235">
        <v>147.80000000000001</v>
      </c>
      <c r="AG235">
        <v>149.6</v>
      </c>
      <c r="AI235">
        <v>151.69999999999999</v>
      </c>
      <c r="AJ235">
        <v>130.19999999999999</v>
      </c>
      <c r="AL235">
        <v>146.4</v>
      </c>
      <c r="AN235">
        <v>157.69999999999999</v>
      </c>
      <c r="AP235">
        <v>134.80000000000001</v>
      </c>
      <c r="AR235">
        <v>143.30000000000001</v>
      </c>
      <c r="AT235">
        <v>143.6</v>
      </c>
    </row>
    <row r="236" spans="1:46" x14ac:dyDescent="0.3">
      <c r="A236" t="s">
        <v>33</v>
      </c>
      <c r="B236">
        <v>2019</v>
      </c>
      <c r="C236" t="s">
        <v>39</v>
      </c>
      <c r="D236">
        <v>140.69999999999999</v>
      </c>
      <c r="F236">
        <v>159.6</v>
      </c>
      <c r="H236">
        <v>140.4</v>
      </c>
      <c r="I236">
        <v>143.4</v>
      </c>
      <c r="J236">
        <v>118.6</v>
      </c>
      <c r="K236">
        <v>150.9</v>
      </c>
      <c r="L236">
        <v>169.8</v>
      </c>
      <c r="M236">
        <v>127.4</v>
      </c>
      <c r="N236">
        <v>111.8</v>
      </c>
      <c r="O236">
        <v>141</v>
      </c>
      <c r="P236">
        <v>129</v>
      </c>
      <c r="Q236">
        <v>155.1</v>
      </c>
      <c r="S236">
        <v>145.6</v>
      </c>
      <c r="T236">
        <v>166.7</v>
      </c>
      <c r="V236">
        <v>144.30000000000001</v>
      </c>
      <c r="X236">
        <v>131.69999999999999</v>
      </c>
      <c r="Z236">
        <v>142.4</v>
      </c>
      <c r="AB236">
        <v>149.4</v>
      </c>
      <c r="AC236">
        <f t="shared" ref="AC236:AC237" si="157">AB236</f>
        <v>149.4</v>
      </c>
      <c r="AE236">
        <v>130.5</v>
      </c>
      <c r="AG236">
        <v>137.4</v>
      </c>
      <c r="AI236">
        <v>140.30000000000001</v>
      </c>
      <c r="AJ236">
        <v>119.6</v>
      </c>
      <c r="AL236">
        <v>134.30000000000001</v>
      </c>
      <c r="AN236">
        <v>148.9</v>
      </c>
      <c r="AP236">
        <v>133.69999999999999</v>
      </c>
      <c r="AR236">
        <v>133.6</v>
      </c>
      <c r="AT236">
        <v>142.1</v>
      </c>
    </row>
    <row r="237" spans="1:46" x14ac:dyDescent="0.3">
      <c r="A237" t="s">
        <v>34</v>
      </c>
      <c r="B237">
        <v>2019</v>
      </c>
      <c r="C237" t="s">
        <v>39</v>
      </c>
      <c r="D237">
        <v>138.69999999999999</v>
      </c>
      <c r="F237">
        <v>162.1</v>
      </c>
      <c r="H237">
        <v>137.80000000000001</v>
      </c>
      <c r="I237">
        <v>143.30000000000001</v>
      </c>
      <c r="J237">
        <v>122.2</v>
      </c>
      <c r="K237">
        <v>146.80000000000001</v>
      </c>
      <c r="L237">
        <v>150.5</v>
      </c>
      <c r="M237">
        <v>128.30000000000001</v>
      </c>
      <c r="N237">
        <v>111</v>
      </c>
      <c r="O237">
        <v>140.6</v>
      </c>
      <c r="P237">
        <v>134.19999999999999</v>
      </c>
      <c r="Q237">
        <v>155.9</v>
      </c>
      <c r="S237">
        <v>142.69999999999999</v>
      </c>
      <c r="T237">
        <v>164.9</v>
      </c>
      <c r="V237">
        <v>148.6</v>
      </c>
      <c r="X237">
        <v>140.4</v>
      </c>
      <c r="Z237">
        <v>147.4</v>
      </c>
      <c r="AB237">
        <v>149.4</v>
      </c>
      <c r="AC237">
        <f t="shared" si="157"/>
        <v>149.4</v>
      </c>
      <c r="AE237">
        <v>141.19999999999999</v>
      </c>
      <c r="AG237">
        <v>143.80000000000001</v>
      </c>
      <c r="AI237">
        <v>147.4</v>
      </c>
      <c r="AJ237">
        <v>124.6</v>
      </c>
      <c r="AL237">
        <v>139.6</v>
      </c>
      <c r="AN237">
        <v>152.5</v>
      </c>
      <c r="AP237">
        <v>134.30000000000001</v>
      </c>
      <c r="AR237">
        <v>138.6</v>
      </c>
      <c r="AT237">
        <v>142.9</v>
      </c>
    </row>
    <row r="238" spans="1:46" x14ac:dyDescent="0.3">
      <c r="A238" t="s">
        <v>30</v>
      </c>
      <c r="B238">
        <v>2019</v>
      </c>
      <c r="C238" t="s">
        <v>40</v>
      </c>
      <c r="D238">
        <v>138.4</v>
      </c>
      <c r="F238">
        <v>164</v>
      </c>
      <c r="H238">
        <v>138.4</v>
      </c>
      <c r="I238">
        <v>143.9</v>
      </c>
      <c r="J238">
        <v>124.4</v>
      </c>
      <c r="K238">
        <v>146.4</v>
      </c>
      <c r="L238">
        <v>150.1</v>
      </c>
      <c r="M238">
        <v>130.6</v>
      </c>
      <c r="N238">
        <v>110.8</v>
      </c>
      <c r="O238">
        <v>141.69999999999999</v>
      </c>
      <c r="P238">
        <v>138.5</v>
      </c>
      <c r="Q238">
        <v>156.69999999999999</v>
      </c>
      <c r="S238">
        <v>143</v>
      </c>
      <c r="T238">
        <v>164.5</v>
      </c>
      <c r="V238">
        <v>151.6</v>
      </c>
      <c r="X238">
        <v>146.6</v>
      </c>
      <c r="Z238">
        <v>150.9</v>
      </c>
      <c r="AB238" t="s">
        <v>32</v>
      </c>
      <c r="AC238">
        <f t="shared" ref="AC238" si="158">AB239</f>
        <v>150.6</v>
      </c>
      <c r="AE238">
        <v>146.80000000000001</v>
      </c>
      <c r="AG238">
        <v>150</v>
      </c>
      <c r="AI238">
        <v>152.19999999999999</v>
      </c>
      <c r="AJ238">
        <v>131.19999999999999</v>
      </c>
      <c r="AL238">
        <v>147.5</v>
      </c>
      <c r="AN238">
        <v>159.1</v>
      </c>
      <c r="AP238">
        <v>136.1</v>
      </c>
      <c r="AR238">
        <v>144.19999999999999</v>
      </c>
      <c r="AT238">
        <v>144.9</v>
      </c>
    </row>
    <row r="239" spans="1:46" x14ac:dyDescent="0.3">
      <c r="A239" t="s">
        <v>33</v>
      </c>
      <c r="B239">
        <v>2019</v>
      </c>
      <c r="C239" t="s">
        <v>40</v>
      </c>
      <c r="D239">
        <v>141.4</v>
      </c>
      <c r="F239">
        <v>160.19999999999999</v>
      </c>
      <c r="H239">
        <v>142.5</v>
      </c>
      <c r="I239">
        <v>144.1</v>
      </c>
      <c r="J239">
        <v>119.3</v>
      </c>
      <c r="K239">
        <v>154.69999999999999</v>
      </c>
      <c r="L239">
        <v>180.1</v>
      </c>
      <c r="M239">
        <v>128.9</v>
      </c>
      <c r="N239">
        <v>111.8</v>
      </c>
      <c r="O239">
        <v>141.6</v>
      </c>
      <c r="P239">
        <v>129.5</v>
      </c>
      <c r="Q239">
        <v>155.6</v>
      </c>
      <c r="S239">
        <v>147.69999999999999</v>
      </c>
      <c r="T239">
        <v>167.2</v>
      </c>
      <c r="V239">
        <v>144.69999999999999</v>
      </c>
      <c r="X239">
        <v>131.9</v>
      </c>
      <c r="Z239">
        <v>142.69999999999999</v>
      </c>
      <c r="AB239">
        <v>150.6</v>
      </c>
      <c r="AC239">
        <f t="shared" ref="AC239:AC240" si="159">AB239</f>
        <v>150.6</v>
      </c>
      <c r="AE239">
        <v>127</v>
      </c>
      <c r="AG239">
        <v>137.69999999999999</v>
      </c>
      <c r="AI239">
        <v>140.80000000000001</v>
      </c>
      <c r="AJ239">
        <v>120.6</v>
      </c>
      <c r="AL239">
        <v>135</v>
      </c>
      <c r="AN239">
        <v>150.4</v>
      </c>
      <c r="AP239">
        <v>135.1</v>
      </c>
      <c r="AR239">
        <v>134.5</v>
      </c>
      <c r="AT239">
        <v>143.30000000000001</v>
      </c>
    </row>
    <row r="240" spans="1:46" x14ac:dyDescent="0.3">
      <c r="A240" t="s">
        <v>34</v>
      </c>
      <c r="B240">
        <v>2019</v>
      </c>
      <c r="C240" t="s">
        <v>40</v>
      </c>
      <c r="D240">
        <v>139.30000000000001</v>
      </c>
      <c r="F240">
        <v>162.69999999999999</v>
      </c>
      <c r="H240">
        <v>140</v>
      </c>
      <c r="I240">
        <v>144</v>
      </c>
      <c r="J240">
        <v>122.5</v>
      </c>
      <c r="K240">
        <v>150.30000000000001</v>
      </c>
      <c r="L240">
        <v>160.30000000000001</v>
      </c>
      <c r="M240">
        <v>130</v>
      </c>
      <c r="N240">
        <v>111.1</v>
      </c>
      <c r="O240">
        <v>141.69999999999999</v>
      </c>
      <c r="P240">
        <v>134.69999999999999</v>
      </c>
      <c r="Q240">
        <v>156.19999999999999</v>
      </c>
      <c r="S240">
        <v>144.69999999999999</v>
      </c>
      <c r="T240">
        <v>165.2</v>
      </c>
      <c r="V240">
        <v>148.9</v>
      </c>
      <c r="X240">
        <v>140.5</v>
      </c>
      <c r="Z240">
        <v>147.6</v>
      </c>
      <c r="AB240">
        <v>150.6</v>
      </c>
      <c r="AC240">
        <f t="shared" si="159"/>
        <v>150.6</v>
      </c>
      <c r="AE240">
        <v>139.30000000000001</v>
      </c>
      <c r="AG240">
        <v>144.19999999999999</v>
      </c>
      <c r="AI240">
        <v>147.9</v>
      </c>
      <c r="AJ240">
        <v>125.6</v>
      </c>
      <c r="AL240">
        <v>140.5</v>
      </c>
      <c r="AN240">
        <v>154</v>
      </c>
      <c r="AP240">
        <v>135.69999999999999</v>
      </c>
      <c r="AR240">
        <v>139.5</v>
      </c>
      <c r="AT240">
        <v>144.19999999999999</v>
      </c>
    </row>
    <row r="241" spans="1:46" x14ac:dyDescent="0.3">
      <c r="A241" t="s">
        <v>30</v>
      </c>
      <c r="B241">
        <v>2019</v>
      </c>
      <c r="C241" t="s">
        <v>41</v>
      </c>
      <c r="D241">
        <v>139.19999999999999</v>
      </c>
      <c r="F241">
        <v>161.9</v>
      </c>
      <c r="H241">
        <v>137.1</v>
      </c>
      <c r="I241">
        <v>144.6</v>
      </c>
      <c r="J241">
        <v>124.7</v>
      </c>
      <c r="K241">
        <v>145.5</v>
      </c>
      <c r="L241">
        <v>156.19999999999999</v>
      </c>
      <c r="M241">
        <v>131.5</v>
      </c>
      <c r="N241">
        <v>111.7</v>
      </c>
      <c r="O241">
        <v>142.69999999999999</v>
      </c>
      <c r="P241">
        <v>138.5</v>
      </c>
      <c r="Q241">
        <v>156.9</v>
      </c>
      <c r="S241">
        <v>144</v>
      </c>
      <c r="T241">
        <v>165.1</v>
      </c>
      <c r="V241">
        <v>151.80000000000001</v>
      </c>
      <c r="X241">
        <v>146.6</v>
      </c>
      <c r="Z241">
        <v>151.1</v>
      </c>
      <c r="AB241" t="s">
        <v>32</v>
      </c>
      <c r="AC241">
        <f t="shared" ref="AC241" si="160">AB242</f>
        <v>151.6</v>
      </c>
      <c r="AE241">
        <v>146.4</v>
      </c>
      <c r="AG241">
        <v>150.19999999999999</v>
      </c>
      <c r="AI241">
        <v>152.69999999999999</v>
      </c>
      <c r="AJ241">
        <v>131.4</v>
      </c>
      <c r="AL241">
        <v>148</v>
      </c>
      <c r="AN241">
        <v>159.69999999999999</v>
      </c>
      <c r="AP241">
        <v>138.80000000000001</v>
      </c>
      <c r="AR241">
        <v>144.9</v>
      </c>
      <c r="AT241">
        <v>145.69999999999999</v>
      </c>
    </row>
    <row r="242" spans="1:46" x14ac:dyDescent="0.3">
      <c r="A242" t="s">
        <v>33</v>
      </c>
      <c r="B242">
        <v>2019</v>
      </c>
      <c r="C242" t="s">
        <v>41</v>
      </c>
      <c r="D242">
        <v>142.1</v>
      </c>
      <c r="F242">
        <v>158.30000000000001</v>
      </c>
      <c r="H242">
        <v>140.80000000000001</v>
      </c>
      <c r="I242">
        <v>144.9</v>
      </c>
      <c r="J242">
        <v>119.9</v>
      </c>
      <c r="K242">
        <v>153.9</v>
      </c>
      <c r="L242">
        <v>189.1</v>
      </c>
      <c r="M242">
        <v>129.80000000000001</v>
      </c>
      <c r="N242">
        <v>112.7</v>
      </c>
      <c r="O242">
        <v>142.5</v>
      </c>
      <c r="P242">
        <v>129.80000000000001</v>
      </c>
      <c r="Q242">
        <v>156.19999999999999</v>
      </c>
      <c r="S242">
        <v>149.1</v>
      </c>
      <c r="T242">
        <v>167.9</v>
      </c>
      <c r="V242">
        <v>145</v>
      </c>
      <c r="X242">
        <v>132.19999999999999</v>
      </c>
      <c r="Z242">
        <v>143</v>
      </c>
      <c r="AB242">
        <v>151.6</v>
      </c>
      <c r="AC242">
        <f t="shared" ref="AC242:AC243" si="161">AB242</f>
        <v>151.6</v>
      </c>
      <c r="AE242">
        <v>125.5</v>
      </c>
      <c r="AG242">
        <v>138.1</v>
      </c>
      <c r="AI242">
        <v>141.5</v>
      </c>
      <c r="AJ242">
        <v>120.8</v>
      </c>
      <c r="AL242">
        <v>135.4</v>
      </c>
      <c r="AN242">
        <v>151.5</v>
      </c>
      <c r="AP242">
        <v>137.80000000000001</v>
      </c>
      <c r="AR242">
        <v>135.30000000000001</v>
      </c>
      <c r="AT242">
        <v>144.19999999999999</v>
      </c>
    </row>
    <row r="243" spans="1:46" x14ac:dyDescent="0.3">
      <c r="A243" t="s">
        <v>34</v>
      </c>
      <c r="B243">
        <v>2019</v>
      </c>
      <c r="C243" t="s">
        <v>41</v>
      </c>
      <c r="D243">
        <v>140.1</v>
      </c>
      <c r="F243">
        <v>160.6</v>
      </c>
      <c r="H243">
        <v>138.5</v>
      </c>
      <c r="I243">
        <v>144.69999999999999</v>
      </c>
      <c r="J243">
        <v>122.9</v>
      </c>
      <c r="K243">
        <v>149.4</v>
      </c>
      <c r="L243">
        <v>167.4</v>
      </c>
      <c r="M243">
        <v>130.9</v>
      </c>
      <c r="N243">
        <v>112</v>
      </c>
      <c r="O243">
        <v>142.6</v>
      </c>
      <c r="P243">
        <v>134.9</v>
      </c>
      <c r="Q243">
        <v>156.6</v>
      </c>
      <c r="S243">
        <v>145.9</v>
      </c>
      <c r="T243">
        <v>165.8</v>
      </c>
      <c r="V243">
        <v>149.1</v>
      </c>
      <c r="X243">
        <v>140.6</v>
      </c>
      <c r="Z243">
        <v>147.9</v>
      </c>
      <c r="AB243">
        <v>151.6</v>
      </c>
      <c r="AC243">
        <f t="shared" si="161"/>
        <v>151.6</v>
      </c>
      <c r="AE243">
        <v>138.5</v>
      </c>
      <c r="AG243">
        <v>144.5</v>
      </c>
      <c r="AI243">
        <v>148.5</v>
      </c>
      <c r="AJ243">
        <v>125.8</v>
      </c>
      <c r="AL243">
        <v>140.9</v>
      </c>
      <c r="AN243">
        <v>154.9</v>
      </c>
      <c r="AP243">
        <v>138.4</v>
      </c>
      <c r="AR243">
        <v>140.19999999999999</v>
      </c>
      <c r="AT243">
        <v>145</v>
      </c>
    </row>
    <row r="244" spans="1:46" x14ac:dyDescent="0.3">
      <c r="A244" t="s">
        <v>30</v>
      </c>
      <c r="B244">
        <v>2019</v>
      </c>
      <c r="C244" t="s">
        <v>42</v>
      </c>
      <c r="D244">
        <v>140.1</v>
      </c>
      <c r="F244">
        <v>161.9</v>
      </c>
      <c r="H244">
        <v>138.30000000000001</v>
      </c>
      <c r="I244">
        <v>145.69999999999999</v>
      </c>
      <c r="J244">
        <v>125.1</v>
      </c>
      <c r="K244">
        <v>143.80000000000001</v>
      </c>
      <c r="L244">
        <v>163.4</v>
      </c>
      <c r="M244">
        <v>132.19999999999999</v>
      </c>
      <c r="N244">
        <v>112.8</v>
      </c>
      <c r="O244">
        <v>144.19999999999999</v>
      </c>
      <c r="P244">
        <v>138.5</v>
      </c>
      <c r="Q244">
        <v>157.19999999999999</v>
      </c>
      <c r="S244">
        <v>145.5</v>
      </c>
      <c r="T244">
        <v>165.7</v>
      </c>
      <c r="V244">
        <v>151.69999999999999</v>
      </c>
      <c r="X244">
        <v>146.6</v>
      </c>
      <c r="Z244">
        <v>151</v>
      </c>
      <c r="AB244" t="s">
        <v>32</v>
      </c>
      <c r="AC244">
        <f t="shared" ref="AC244" si="162">AB245</f>
        <v>152.19999999999999</v>
      </c>
      <c r="AE244">
        <v>146.9</v>
      </c>
      <c r="AG244">
        <v>150.30000000000001</v>
      </c>
      <c r="AI244">
        <v>153.4</v>
      </c>
      <c r="AJ244">
        <v>131.6</v>
      </c>
      <c r="AL244">
        <v>148.30000000000001</v>
      </c>
      <c r="AN244">
        <v>160.19999999999999</v>
      </c>
      <c r="AP244">
        <v>140.19999999999999</v>
      </c>
      <c r="AR244">
        <v>145.4</v>
      </c>
      <c r="AT244">
        <v>146.69999999999999</v>
      </c>
    </row>
    <row r="245" spans="1:46" x14ac:dyDescent="0.3">
      <c r="A245" t="s">
        <v>33</v>
      </c>
      <c r="B245">
        <v>2019</v>
      </c>
      <c r="C245" t="s">
        <v>42</v>
      </c>
      <c r="D245">
        <v>142.69999999999999</v>
      </c>
      <c r="F245">
        <v>158.69999999999999</v>
      </c>
      <c r="H245">
        <v>141.6</v>
      </c>
      <c r="I245">
        <v>144.9</v>
      </c>
      <c r="J245">
        <v>120.8</v>
      </c>
      <c r="K245">
        <v>149.80000000000001</v>
      </c>
      <c r="L245">
        <v>192.4</v>
      </c>
      <c r="M245">
        <v>130.30000000000001</v>
      </c>
      <c r="N245">
        <v>114</v>
      </c>
      <c r="O245">
        <v>143.80000000000001</v>
      </c>
      <c r="P245">
        <v>130</v>
      </c>
      <c r="Q245">
        <v>156.4</v>
      </c>
      <c r="S245">
        <v>149.5</v>
      </c>
      <c r="T245">
        <v>168.6</v>
      </c>
      <c r="V245">
        <v>145.30000000000001</v>
      </c>
      <c r="X245">
        <v>132.19999999999999</v>
      </c>
      <c r="Z245">
        <v>143.30000000000001</v>
      </c>
      <c r="AB245">
        <v>152.19999999999999</v>
      </c>
      <c r="AC245">
        <f t="shared" ref="AC245:AC246" si="163">AB245</f>
        <v>152.19999999999999</v>
      </c>
      <c r="AE245">
        <v>126.6</v>
      </c>
      <c r="AG245">
        <v>138.30000000000001</v>
      </c>
      <c r="AI245">
        <v>141.9</v>
      </c>
      <c r="AJ245">
        <v>121.2</v>
      </c>
      <c r="AL245">
        <v>135.9</v>
      </c>
      <c r="AN245">
        <v>151.6</v>
      </c>
      <c r="AP245">
        <v>139</v>
      </c>
      <c r="AR245">
        <v>135.69999999999999</v>
      </c>
      <c r="AT245">
        <v>144.69999999999999</v>
      </c>
    </row>
    <row r="246" spans="1:46" x14ac:dyDescent="0.3">
      <c r="A246" t="s">
        <v>34</v>
      </c>
      <c r="B246">
        <v>2019</v>
      </c>
      <c r="C246" t="s">
        <v>42</v>
      </c>
      <c r="D246">
        <v>140.9</v>
      </c>
      <c r="F246">
        <v>160.80000000000001</v>
      </c>
      <c r="H246">
        <v>139.6</v>
      </c>
      <c r="I246">
        <v>145.4</v>
      </c>
      <c r="J246">
        <v>123.5</v>
      </c>
      <c r="K246">
        <v>146.6</v>
      </c>
      <c r="L246">
        <v>173.2</v>
      </c>
      <c r="M246">
        <v>131.6</v>
      </c>
      <c r="N246">
        <v>113.2</v>
      </c>
      <c r="O246">
        <v>144.1</v>
      </c>
      <c r="P246">
        <v>135</v>
      </c>
      <c r="Q246">
        <v>156.80000000000001</v>
      </c>
      <c r="S246">
        <v>147</v>
      </c>
      <c r="T246">
        <v>166.5</v>
      </c>
      <c r="V246">
        <v>149.19999999999999</v>
      </c>
      <c r="X246">
        <v>140.6</v>
      </c>
      <c r="Z246">
        <v>147.9</v>
      </c>
      <c r="AB246">
        <v>152.19999999999999</v>
      </c>
      <c r="AC246">
        <f t="shared" si="163"/>
        <v>152.19999999999999</v>
      </c>
      <c r="AE246">
        <v>139.19999999999999</v>
      </c>
      <c r="AG246">
        <v>144.6</v>
      </c>
      <c r="AI246">
        <v>149</v>
      </c>
      <c r="AJ246">
        <v>126.1</v>
      </c>
      <c r="AL246">
        <v>141.30000000000001</v>
      </c>
      <c r="AN246">
        <v>155.19999999999999</v>
      </c>
      <c r="AP246">
        <v>139.69999999999999</v>
      </c>
      <c r="AR246">
        <v>140.69999999999999</v>
      </c>
      <c r="AT246">
        <v>145.80000000000001</v>
      </c>
    </row>
    <row r="247" spans="1:46" x14ac:dyDescent="0.3">
      <c r="A247" t="s">
        <v>30</v>
      </c>
      <c r="B247">
        <v>2019</v>
      </c>
      <c r="C247" t="s">
        <v>43</v>
      </c>
      <c r="D247">
        <v>141</v>
      </c>
      <c r="F247">
        <v>161.6</v>
      </c>
      <c r="H247">
        <v>141.19999999999999</v>
      </c>
      <c r="I247">
        <v>146.5</v>
      </c>
      <c r="J247">
        <v>125.6</v>
      </c>
      <c r="K247">
        <v>145.69999999999999</v>
      </c>
      <c r="L247">
        <v>178.8</v>
      </c>
      <c r="M247">
        <v>133.1</v>
      </c>
      <c r="N247">
        <v>113.6</v>
      </c>
      <c r="O247">
        <v>145.5</v>
      </c>
      <c r="P247">
        <v>138.6</v>
      </c>
      <c r="Q247">
        <v>157.4</v>
      </c>
      <c r="S247">
        <v>148.30000000000001</v>
      </c>
      <c r="T247">
        <v>166.3</v>
      </c>
      <c r="V247">
        <v>151.69999999999999</v>
      </c>
      <c r="X247">
        <v>146.69999999999999</v>
      </c>
      <c r="Z247">
        <v>151</v>
      </c>
      <c r="AB247" t="s">
        <v>32</v>
      </c>
      <c r="AC247">
        <f t="shared" ref="AC247" si="164">AB248</f>
        <v>153</v>
      </c>
      <c r="AE247">
        <v>147.69999999999999</v>
      </c>
      <c r="AG247">
        <v>150.6</v>
      </c>
      <c r="AI247">
        <v>153.69999999999999</v>
      </c>
      <c r="AJ247">
        <v>131.69999999999999</v>
      </c>
      <c r="AL247">
        <v>148.69999999999999</v>
      </c>
      <c r="AN247">
        <v>160.69999999999999</v>
      </c>
      <c r="AP247">
        <v>140.30000000000001</v>
      </c>
      <c r="AR247">
        <v>145.69999999999999</v>
      </c>
      <c r="AT247">
        <v>148.30000000000001</v>
      </c>
    </row>
    <row r="248" spans="1:46" x14ac:dyDescent="0.3">
      <c r="A248" t="s">
        <v>33</v>
      </c>
      <c r="B248">
        <v>2019</v>
      </c>
      <c r="C248" t="s">
        <v>43</v>
      </c>
      <c r="D248">
        <v>143.5</v>
      </c>
      <c r="F248">
        <v>159.80000000000001</v>
      </c>
      <c r="H248">
        <v>144.69999999999999</v>
      </c>
      <c r="I248">
        <v>145.6</v>
      </c>
      <c r="J248">
        <v>121.1</v>
      </c>
      <c r="K248">
        <v>150.6</v>
      </c>
      <c r="L248">
        <v>207.2</v>
      </c>
      <c r="M248">
        <v>131.19999999999999</v>
      </c>
      <c r="N248">
        <v>114.8</v>
      </c>
      <c r="O248">
        <v>145.19999999999999</v>
      </c>
      <c r="P248">
        <v>130.19999999999999</v>
      </c>
      <c r="Q248">
        <v>156.80000000000001</v>
      </c>
      <c r="S248">
        <v>151.9</v>
      </c>
      <c r="T248">
        <v>169.3</v>
      </c>
      <c r="V248">
        <v>145.9</v>
      </c>
      <c r="X248">
        <v>132.4</v>
      </c>
      <c r="Z248">
        <v>143.9</v>
      </c>
      <c r="AB248">
        <v>153</v>
      </c>
      <c r="AC248">
        <f t="shared" ref="AC248:AC249" si="165">AB248</f>
        <v>153</v>
      </c>
      <c r="AE248">
        <v>128.9</v>
      </c>
      <c r="AG248">
        <v>138.69999999999999</v>
      </c>
      <c r="AI248">
        <v>142.4</v>
      </c>
      <c r="AJ248">
        <v>121.5</v>
      </c>
      <c r="AL248">
        <v>136.19999999999999</v>
      </c>
      <c r="AN248">
        <v>151.69999999999999</v>
      </c>
      <c r="AP248">
        <v>139.5</v>
      </c>
      <c r="AR248">
        <v>136</v>
      </c>
      <c r="AT248">
        <v>146</v>
      </c>
    </row>
    <row r="249" spans="1:46" x14ac:dyDescent="0.3">
      <c r="A249" t="s">
        <v>34</v>
      </c>
      <c r="B249">
        <v>2019</v>
      </c>
      <c r="C249" t="s">
        <v>43</v>
      </c>
      <c r="D249">
        <v>141.80000000000001</v>
      </c>
      <c r="F249">
        <v>161</v>
      </c>
      <c r="H249">
        <v>142.6</v>
      </c>
      <c r="I249">
        <v>146.19999999999999</v>
      </c>
      <c r="J249">
        <v>123.9</v>
      </c>
      <c r="K249">
        <v>148</v>
      </c>
      <c r="L249">
        <v>188.4</v>
      </c>
      <c r="M249">
        <v>132.5</v>
      </c>
      <c r="N249">
        <v>114</v>
      </c>
      <c r="O249">
        <v>145.4</v>
      </c>
      <c r="P249">
        <v>135.1</v>
      </c>
      <c r="Q249">
        <v>157.1</v>
      </c>
      <c r="S249">
        <v>149.6</v>
      </c>
      <c r="T249">
        <v>167.1</v>
      </c>
      <c r="V249">
        <v>149.4</v>
      </c>
      <c r="X249">
        <v>140.80000000000001</v>
      </c>
      <c r="Z249">
        <v>148.19999999999999</v>
      </c>
      <c r="AB249">
        <v>153</v>
      </c>
      <c r="AC249">
        <f t="shared" si="165"/>
        <v>153</v>
      </c>
      <c r="AE249">
        <v>140.6</v>
      </c>
      <c r="AG249">
        <v>145</v>
      </c>
      <c r="AI249">
        <v>149.4</v>
      </c>
      <c r="AJ249">
        <v>126.3</v>
      </c>
      <c r="AL249">
        <v>141.69999999999999</v>
      </c>
      <c r="AN249">
        <v>155.4</v>
      </c>
      <c r="AP249">
        <v>140</v>
      </c>
      <c r="AR249">
        <v>141</v>
      </c>
      <c r="AT249">
        <v>147.19999999999999</v>
      </c>
    </row>
    <row r="250" spans="1:46" x14ac:dyDescent="0.3">
      <c r="A250" t="s">
        <v>30</v>
      </c>
      <c r="B250">
        <v>2019</v>
      </c>
      <c r="C250" t="s">
        <v>45</v>
      </c>
      <c r="D250">
        <v>141.80000000000001</v>
      </c>
      <c r="F250">
        <v>163.69999999999999</v>
      </c>
      <c r="H250">
        <v>143.80000000000001</v>
      </c>
      <c r="I250">
        <v>147.1</v>
      </c>
      <c r="J250">
        <v>126</v>
      </c>
      <c r="K250">
        <v>146.19999999999999</v>
      </c>
      <c r="L250">
        <v>191.4</v>
      </c>
      <c r="M250">
        <v>136.19999999999999</v>
      </c>
      <c r="N250">
        <v>113.8</v>
      </c>
      <c r="O250">
        <v>147.30000000000001</v>
      </c>
      <c r="P250">
        <v>138.69999999999999</v>
      </c>
      <c r="Q250">
        <v>157.69999999999999</v>
      </c>
      <c r="S250">
        <v>150.9</v>
      </c>
      <c r="T250">
        <v>167.2</v>
      </c>
      <c r="V250">
        <v>152.30000000000001</v>
      </c>
      <c r="X250">
        <v>147</v>
      </c>
      <c r="Z250">
        <v>151.5</v>
      </c>
      <c r="AB250" t="s">
        <v>32</v>
      </c>
      <c r="AC250">
        <f t="shared" ref="AC250" si="166">AB251</f>
        <v>153.5</v>
      </c>
      <c r="AE250">
        <v>148.4</v>
      </c>
      <c r="AG250">
        <v>150.9</v>
      </c>
      <c r="AI250">
        <v>154.30000000000001</v>
      </c>
      <c r="AJ250">
        <v>132.1</v>
      </c>
      <c r="AL250">
        <v>149.1</v>
      </c>
      <c r="AN250">
        <v>160.80000000000001</v>
      </c>
      <c r="AP250">
        <v>140.6</v>
      </c>
      <c r="AR250">
        <v>146.1</v>
      </c>
      <c r="AT250">
        <v>149.9</v>
      </c>
    </row>
    <row r="251" spans="1:46" x14ac:dyDescent="0.3">
      <c r="A251" t="s">
        <v>33</v>
      </c>
      <c r="B251">
        <v>2019</v>
      </c>
      <c r="C251" t="s">
        <v>45</v>
      </c>
      <c r="D251">
        <v>144.1</v>
      </c>
      <c r="F251">
        <v>162.4</v>
      </c>
      <c r="H251">
        <v>148.4</v>
      </c>
      <c r="I251">
        <v>145.9</v>
      </c>
      <c r="J251">
        <v>121.5</v>
      </c>
      <c r="K251">
        <v>148.80000000000001</v>
      </c>
      <c r="L251">
        <v>215.7</v>
      </c>
      <c r="M251">
        <v>134.6</v>
      </c>
      <c r="N251">
        <v>115</v>
      </c>
      <c r="O251">
        <v>146.30000000000001</v>
      </c>
      <c r="P251">
        <v>130.5</v>
      </c>
      <c r="Q251">
        <v>157.19999999999999</v>
      </c>
      <c r="S251">
        <v>153.6</v>
      </c>
      <c r="T251">
        <v>169.9</v>
      </c>
      <c r="V251">
        <v>146.30000000000001</v>
      </c>
      <c r="X251">
        <v>132.6</v>
      </c>
      <c r="Z251">
        <v>144.19999999999999</v>
      </c>
      <c r="AB251">
        <v>153.5</v>
      </c>
      <c r="AC251">
        <f t="shared" ref="AC251:AC252" si="167">AB251</f>
        <v>153.5</v>
      </c>
      <c r="AE251">
        <v>132.19999999999999</v>
      </c>
      <c r="AG251">
        <v>139.1</v>
      </c>
      <c r="AI251">
        <v>142.80000000000001</v>
      </c>
      <c r="AJ251">
        <v>121.7</v>
      </c>
      <c r="AL251">
        <v>136.69999999999999</v>
      </c>
      <c r="AN251">
        <v>151.80000000000001</v>
      </c>
      <c r="AP251">
        <v>139.80000000000001</v>
      </c>
      <c r="AR251">
        <v>136.30000000000001</v>
      </c>
      <c r="AT251">
        <v>147</v>
      </c>
    </row>
    <row r="252" spans="1:46" x14ac:dyDescent="0.3">
      <c r="A252" t="s">
        <v>34</v>
      </c>
      <c r="B252">
        <v>2019</v>
      </c>
      <c r="C252" t="s">
        <v>45</v>
      </c>
      <c r="D252">
        <v>142.5</v>
      </c>
      <c r="F252">
        <v>163.19999999999999</v>
      </c>
      <c r="H252">
        <v>145.6</v>
      </c>
      <c r="I252">
        <v>146.69999999999999</v>
      </c>
      <c r="J252">
        <v>124.3</v>
      </c>
      <c r="K252">
        <v>147.4</v>
      </c>
      <c r="L252">
        <v>199.6</v>
      </c>
      <c r="M252">
        <v>135.69999999999999</v>
      </c>
      <c r="N252">
        <v>114.2</v>
      </c>
      <c r="O252">
        <v>147</v>
      </c>
      <c r="P252">
        <v>135.30000000000001</v>
      </c>
      <c r="Q252">
        <v>157.5</v>
      </c>
      <c r="S252">
        <v>151.9</v>
      </c>
      <c r="T252">
        <v>167.9</v>
      </c>
      <c r="V252">
        <v>149.9</v>
      </c>
      <c r="X252">
        <v>141</v>
      </c>
      <c r="Z252">
        <v>148.6</v>
      </c>
      <c r="AB252">
        <v>153.5</v>
      </c>
      <c r="AC252">
        <f t="shared" si="167"/>
        <v>153.5</v>
      </c>
      <c r="AE252">
        <v>142.30000000000001</v>
      </c>
      <c r="AG252">
        <v>145.30000000000001</v>
      </c>
      <c r="AI252">
        <v>149.9</v>
      </c>
      <c r="AJ252">
        <v>126.6</v>
      </c>
      <c r="AL252">
        <v>142.1</v>
      </c>
      <c r="AN252">
        <v>155.5</v>
      </c>
      <c r="AP252">
        <v>140.30000000000001</v>
      </c>
      <c r="AR252">
        <v>141.30000000000001</v>
      </c>
      <c r="AT252">
        <v>148.6</v>
      </c>
    </row>
    <row r="253" spans="1:46" x14ac:dyDescent="0.3">
      <c r="A253" t="s">
        <v>30</v>
      </c>
      <c r="B253">
        <v>2019</v>
      </c>
      <c r="C253" t="s">
        <v>46</v>
      </c>
      <c r="D253">
        <v>142.80000000000001</v>
      </c>
      <c r="F253">
        <v>165.3</v>
      </c>
      <c r="H253">
        <v>149.5</v>
      </c>
      <c r="I253">
        <v>148.69999999999999</v>
      </c>
      <c r="J253">
        <v>127.5</v>
      </c>
      <c r="K253">
        <v>144.30000000000001</v>
      </c>
      <c r="L253">
        <v>209.5</v>
      </c>
      <c r="M253">
        <v>138.80000000000001</v>
      </c>
      <c r="N253">
        <v>113.6</v>
      </c>
      <c r="O253">
        <v>149.1</v>
      </c>
      <c r="P253">
        <v>139.30000000000001</v>
      </c>
      <c r="Q253">
        <v>158.30000000000001</v>
      </c>
      <c r="S253">
        <v>154.30000000000001</v>
      </c>
      <c r="T253">
        <v>167.8</v>
      </c>
      <c r="V253">
        <v>152.6</v>
      </c>
      <c r="X253">
        <v>147.30000000000001</v>
      </c>
      <c r="Z253">
        <v>151.9</v>
      </c>
      <c r="AB253" t="s">
        <v>32</v>
      </c>
      <c r="AC253">
        <f t="shared" ref="AC253" si="168">AB254</f>
        <v>152.80000000000001</v>
      </c>
      <c r="AE253">
        <v>149.9</v>
      </c>
      <c r="AG253">
        <v>151.19999999999999</v>
      </c>
      <c r="AI253">
        <v>154.80000000000001</v>
      </c>
      <c r="AJ253">
        <v>135</v>
      </c>
      <c r="AL253">
        <v>149.5</v>
      </c>
      <c r="AN253">
        <v>161.1</v>
      </c>
      <c r="AP253">
        <v>140.6</v>
      </c>
      <c r="AR253">
        <v>147.1</v>
      </c>
      <c r="AT253">
        <v>152.30000000000001</v>
      </c>
    </row>
    <row r="254" spans="1:46" x14ac:dyDescent="0.3">
      <c r="A254" t="s">
        <v>33</v>
      </c>
      <c r="B254">
        <v>2019</v>
      </c>
      <c r="C254" t="s">
        <v>46</v>
      </c>
      <c r="D254">
        <v>144.9</v>
      </c>
      <c r="F254">
        <v>164.5</v>
      </c>
      <c r="H254">
        <v>153.69999999999999</v>
      </c>
      <c r="I254">
        <v>147.5</v>
      </c>
      <c r="J254">
        <v>122.7</v>
      </c>
      <c r="K254">
        <v>147.19999999999999</v>
      </c>
      <c r="L254">
        <v>231.5</v>
      </c>
      <c r="M254">
        <v>137.19999999999999</v>
      </c>
      <c r="N254">
        <v>114.7</v>
      </c>
      <c r="O254">
        <v>148</v>
      </c>
      <c r="P254">
        <v>130.80000000000001</v>
      </c>
      <c r="Q254">
        <v>157.69999999999999</v>
      </c>
      <c r="S254">
        <v>156.30000000000001</v>
      </c>
      <c r="T254">
        <v>170.4</v>
      </c>
      <c r="V254">
        <v>146.80000000000001</v>
      </c>
      <c r="X254">
        <v>132.80000000000001</v>
      </c>
      <c r="Z254">
        <v>144.6</v>
      </c>
      <c r="AB254">
        <v>152.80000000000001</v>
      </c>
      <c r="AC254">
        <f t="shared" ref="AC254:AC255" si="169">AB254</f>
        <v>152.80000000000001</v>
      </c>
      <c r="AE254">
        <v>133.6</v>
      </c>
      <c r="AG254">
        <v>139.80000000000001</v>
      </c>
      <c r="AI254">
        <v>143.19999999999999</v>
      </c>
      <c r="AJ254">
        <v>125.2</v>
      </c>
      <c r="AL254">
        <v>136.80000000000001</v>
      </c>
      <c r="AN254">
        <v>151.9</v>
      </c>
      <c r="AP254">
        <v>140.19999999999999</v>
      </c>
      <c r="AR254">
        <v>137.69999999999999</v>
      </c>
      <c r="AT254">
        <v>148.30000000000001</v>
      </c>
    </row>
    <row r="255" spans="1:46" x14ac:dyDescent="0.3">
      <c r="A255" t="s">
        <v>34</v>
      </c>
      <c r="B255">
        <v>2019</v>
      </c>
      <c r="C255" t="s">
        <v>46</v>
      </c>
      <c r="D255">
        <v>143.5</v>
      </c>
      <c r="F255">
        <v>165</v>
      </c>
      <c r="H255">
        <v>151.1</v>
      </c>
      <c r="I255">
        <v>148.30000000000001</v>
      </c>
      <c r="J255">
        <v>125.7</v>
      </c>
      <c r="K255">
        <v>145.69999999999999</v>
      </c>
      <c r="L255">
        <v>217</v>
      </c>
      <c r="M255">
        <v>138.30000000000001</v>
      </c>
      <c r="N255">
        <v>114</v>
      </c>
      <c r="O255">
        <v>148.69999999999999</v>
      </c>
      <c r="P255">
        <v>135.80000000000001</v>
      </c>
      <c r="Q255">
        <v>158</v>
      </c>
      <c r="S255">
        <v>155</v>
      </c>
      <c r="T255">
        <v>168.5</v>
      </c>
      <c r="V255">
        <v>150.30000000000001</v>
      </c>
      <c r="X255">
        <v>141.30000000000001</v>
      </c>
      <c r="Z255">
        <v>149</v>
      </c>
      <c r="AB255">
        <v>152.80000000000001</v>
      </c>
      <c r="AC255">
        <f t="shared" si="169"/>
        <v>152.80000000000001</v>
      </c>
      <c r="AE255">
        <v>143.69999999999999</v>
      </c>
      <c r="AG255">
        <v>145.80000000000001</v>
      </c>
      <c r="AI255">
        <v>150.4</v>
      </c>
      <c r="AJ255">
        <v>129.80000000000001</v>
      </c>
      <c r="AL255">
        <v>142.30000000000001</v>
      </c>
      <c r="AN255">
        <v>155.69999999999999</v>
      </c>
      <c r="AP255">
        <v>140.4</v>
      </c>
      <c r="AR255">
        <v>142.5</v>
      </c>
      <c r="AT255">
        <v>150.4</v>
      </c>
    </row>
    <row r="256" spans="1:46" x14ac:dyDescent="0.3">
      <c r="A256" t="s">
        <v>30</v>
      </c>
      <c r="B256">
        <v>2020</v>
      </c>
      <c r="C256" t="s">
        <v>31</v>
      </c>
      <c r="D256">
        <v>143.69999999999999</v>
      </c>
      <c r="F256">
        <v>167.3</v>
      </c>
      <c r="H256">
        <v>153.5</v>
      </c>
      <c r="I256">
        <v>150.5</v>
      </c>
      <c r="J256">
        <v>132</v>
      </c>
      <c r="K256">
        <v>142.19999999999999</v>
      </c>
      <c r="L256">
        <v>191.5</v>
      </c>
      <c r="M256">
        <v>141.1</v>
      </c>
      <c r="N256">
        <v>113.8</v>
      </c>
      <c r="O256">
        <v>151.6</v>
      </c>
      <c r="P256">
        <v>139.69999999999999</v>
      </c>
      <c r="Q256">
        <v>158.69999999999999</v>
      </c>
      <c r="S256">
        <v>153</v>
      </c>
      <c r="T256">
        <v>168.6</v>
      </c>
      <c r="V256">
        <v>152.80000000000001</v>
      </c>
      <c r="X256">
        <v>147.4</v>
      </c>
      <c r="Z256">
        <v>152.1</v>
      </c>
      <c r="AB256" t="s">
        <v>32</v>
      </c>
      <c r="AC256">
        <f t="shared" ref="AC256" si="170">AB257</f>
        <v>153.9</v>
      </c>
      <c r="AE256">
        <v>150.4</v>
      </c>
      <c r="AG256">
        <v>151.69999999999999</v>
      </c>
      <c r="AI256">
        <v>155.69999999999999</v>
      </c>
      <c r="AJ256">
        <v>136.30000000000001</v>
      </c>
      <c r="AL256">
        <v>150.1</v>
      </c>
      <c r="AN256">
        <v>161.69999999999999</v>
      </c>
      <c r="AP256">
        <v>142.5</v>
      </c>
      <c r="AR256">
        <v>148.1</v>
      </c>
      <c r="AT256">
        <v>151.9</v>
      </c>
    </row>
    <row r="257" spans="1:47" x14ac:dyDescent="0.3">
      <c r="A257" t="s">
        <v>33</v>
      </c>
      <c r="B257">
        <v>2020</v>
      </c>
      <c r="C257" t="s">
        <v>31</v>
      </c>
      <c r="D257">
        <v>145.6</v>
      </c>
      <c r="F257">
        <v>167.6</v>
      </c>
      <c r="H257">
        <v>157</v>
      </c>
      <c r="I257">
        <v>149.30000000000001</v>
      </c>
      <c r="J257">
        <v>126.3</v>
      </c>
      <c r="K257">
        <v>144.4</v>
      </c>
      <c r="L257">
        <v>207.8</v>
      </c>
      <c r="M257">
        <v>139.1</v>
      </c>
      <c r="N257">
        <v>114.8</v>
      </c>
      <c r="O257">
        <v>149.5</v>
      </c>
      <c r="P257">
        <v>131.1</v>
      </c>
      <c r="Q257">
        <v>158.5</v>
      </c>
      <c r="S257">
        <v>154.4</v>
      </c>
      <c r="T257">
        <v>170.8</v>
      </c>
      <c r="V257">
        <v>147</v>
      </c>
      <c r="X257">
        <v>133.19999999999999</v>
      </c>
      <c r="Z257">
        <v>144.9</v>
      </c>
      <c r="AB257">
        <v>153.9</v>
      </c>
      <c r="AC257">
        <f t="shared" ref="AC257:AC258" si="171">AB257</f>
        <v>153.9</v>
      </c>
      <c r="AE257">
        <v>135.1</v>
      </c>
      <c r="AG257">
        <v>140.1</v>
      </c>
      <c r="AI257">
        <v>143.80000000000001</v>
      </c>
      <c r="AJ257">
        <v>126.1</v>
      </c>
      <c r="AL257">
        <v>137.19999999999999</v>
      </c>
      <c r="AN257">
        <v>152.1</v>
      </c>
      <c r="AP257">
        <v>142.1</v>
      </c>
      <c r="AR257">
        <v>138.4</v>
      </c>
      <c r="AT257">
        <v>148.19999999999999</v>
      </c>
    </row>
    <row r="258" spans="1:47" x14ac:dyDescent="0.3">
      <c r="A258" t="s">
        <v>34</v>
      </c>
      <c r="B258">
        <v>2020</v>
      </c>
      <c r="C258" t="s">
        <v>31</v>
      </c>
      <c r="D258">
        <v>144.30000000000001</v>
      </c>
      <c r="F258">
        <v>167.4</v>
      </c>
      <c r="H258">
        <v>154.9</v>
      </c>
      <c r="I258">
        <v>150.1</v>
      </c>
      <c r="J258">
        <v>129.9</v>
      </c>
      <c r="K258">
        <v>143.19999999999999</v>
      </c>
      <c r="L258">
        <v>197</v>
      </c>
      <c r="M258">
        <v>140.4</v>
      </c>
      <c r="N258">
        <v>114.1</v>
      </c>
      <c r="O258">
        <v>150.9</v>
      </c>
      <c r="P258">
        <v>136.1</v>
      </c>
      <c r="Q258">
        <v>158.6</v>
      </c>
      <c r="S258">
        <v>153.5</v>
      </c>
      <c r="T258">
        <v>169.2</v>
      </c>
      <c r="V258">
        <v>150.5</v>
      </c>
      <c r="X258">
        <v>141.5</v>
      </c>
      <c r="Z258">
        <v>149.19999999999999</v>
      </c>
      <c r="AB258">
        <v>153.9</v>
      </c>
      <c r="AC258">
        <f t="shared" si="171"/>
        <v>153.9</v>
      </c>
      <c r="AE258">
        <v>144.6</v>
      </c>
      <c r="AG258">
        <v>146.19999999999999</v>
      </c>
      <c r="AI258">
        <v>151.19999999999999</v>
      </c>
      <c r="AJ258">
        <v>130.9</v>
      </c>
      <c r="AL258">
        <v>142.80000000000001</v>
      </c>
      <c r="AN258">
        <v>156.1</v>
      </c>
      <c r="AP258">
        <v>142.30000000000001</v>
      </c>
      <c r="AR258">
        <v>143.4</v>
      </c>
      <c r="AT258">
        <v>150.19999999999999</v>
      </c>
    </row>
    <row r="259" spans="1:47" x14ac:dyDescent="0.3">
      <c r="A259" t="s">
        <v>30</v>
      </c>
      <c r="B259">
        <v>2020</v>
      </c>
      <c r="C259" t="s">
        <v>35</v>
      </c>
      <c r="D259">
        <v>144.19999999999999</v>
      </c>
      <c r="F259">
        <v>167.5</v>
      </c>
      <c r="H259">
        <v>150.9</v>
      </c>
      <c r="I259">
        <v>150.9</v>
      </c>
      <c r="J259">
        <v>133.69999999999999</v>
      </c>
      <c r="K259">
        <v>140.69999999999999</v>
      </c>
      <c r="L259">
        <v>165.1</v>
      </c>
      <c r="M259">
        <v>141.80000000000001</v>
      </c>
      <c r="N259">
        <v>113.1</v>
      </c>
      <c r="O259">
        <v>152.80000000000001</v>
      </c>
      <c r="P259">
        <v>140.1</v>
      </c>
      <c r="Q259">
        <v>159.19999999999999</v>
      </c>
      <c r="S259">
        <v>149.80000000000001</v>
      </c>
      <c r="T259">
        <v>169.4</v>
      </c>
      <c r="V259">
        <v>153</v>
      </c>
      <c r="X259">
        <v>147.5</v>
      </c>
      <c r="Z259">
        <v>152.30000000000001</v>
      </c>
      <c r="AB259" t="s">
        <v>32</v>
      </c>
      <c r="AC259">
        <f t="shared" ref="AC259" si="172">AB260</f>
        <v>154.80000000000001</v>
      </c>
      <c r="AE259">
        <v>152.30000000000001</v>
      </c>
      <c r="AG259">
        <v>151.80000000000001</v>
      </c>
      <c r="AI259">
        <v>156.19999999999999</v>
      </c>
      <c r="AJ259">
        <v>136</v>
      </c>
      <c r="AL259">
        <v>150.4</v>
      </c>
      <c r="AN259">
        <v>161.9</v>
      </c>
      <c r="AP259">
        <v>143.4</v>
      </c>
      <c r="AR259">
        <v>148.4</v>
      </c>
      <c r="AT259">
        <v>150.4</v>
      </c>
    </row>
    <row r="260" spans="1:47" x14ac:dyDescent="0.3">
      <c r="A260" t="s">
        <v>33</v>
      </c>
      <c r="B260">
        <v>2020</v>
      </c>
      <c r="C260" t="s">
        <v>35</v>
      </c>
      <c r="D260">
        <v>146.19999999999999</v>
      </c>
      <c r="F260">
        <v>167.6</v>
      </c>
      <c r="H260">
        <v>153.1</v>
      </c>
      <c r="I260">
        <v>150.69999999999999</v>
      </c>
      <c r="J260">
        <v>127.4</v>
      </c>
      <c r="K260">
        <v>143.1</v>
      </c>
      <c r="L260">
        <v>181.7</v>
      </c>
      <c r="M260">
        <v>139.6</v>
      </c>
      <c r="N260">
        <v>114.6</v>
      </c>
      <c r="O260">
        <v>150.4</v>
      </c>
      <c r="P260">
        <v>131.5</v>
      </c>
      <c r="Q260">
        <v>159</v>
      </c>
      <c r="S260">
        <v>151.69999999999999</v>
      </c>
      <c r="T260">
        <v>172</v>
      </c>
      <c r="V260">
        <v>147.30000000000001</v>
      </c>
      <c r="X260">
        <v>133.5</v>
      </c>
      <c r="Z260">
        <v>145.19999999999999</v>
      </c>
      <c r="AB260">
        <v>154.80000000000001</v>
      </c>
      <c r="AC260">
        <f t="shared" ref="AC260:AC261" si="173">AB260</f>
        <v>154.80000000000001</v>
      </c>
      <c r="AE260">
        <v>138.9</v>
      </c>
      <c r="AG260">
        <v>140.4</v>
      </c>
      <c r="AI260">
        <v>144.4</v>
      </c>
      <c r="AJ260">
        <v>125.2</v>
      </c>
      <c r="AL260">
        <v>137.69999999999999</v>
      </c>
      <c r="AN260">
        <v>152.19999999999999</v>
      </c>
      <c r="AP260">
        <v>143.5</v>
      </c>
      <c r="AR260">
        <v>138.4</v>
      </c>
      <c r="AT260">
        <v>147.69999999999999</v>
      </c>
    </row>
    <row r="261" spans="1:47" x14ac:dyDescent="0.3">
      <c r="A261" t="s">
        <v>34</v>
      </c>
      <c r="B261">
        <v>2020</v>
      </c>
      <c r="C261" t="s">
        <v>35</v>
      </c>
      <c r="D261">
        <v>144.80000000000001</v>
      </c>
      <c r="F261">
        <v>167.5</v>
      </c>
      <c r="H261">
        <v>151.80000000000001</v>
      </c>
      <c r="I261">
        <v>150.80000000000001</v>
      </c>
      <c r="J261">
        <v>131.4</v>
      </c>
      <c r="K261">
        <v>141.80000000000001</v>
      </c>
      <c r="L261">
        <v>170.7</v>
      </c>
      <c r="M261">
        <v>141.1</v>
      </c>
      <c r="N261">
        <v>113.6</v>
      </c>
      <c r="O261">
        <v>152</v>
      </c>
      <c r="P261">
        <v>136.5</v>
      </c>
      <c r="Q261">
        <v>159.1</v>
      </c>
      <c r="S261">
        <v>150.5</v>
      </c>
      <c r="T261">
        <v>170.1</v>
      </c>
      <c r="V261">
        <v>150.80000000000001</v>
      </c>
      <c r="X261">
        <v>141.69999999999999</v>
      </c>
      <c r="Z261">
        <v>149.5</v>
      </c>
      <c r="AB261">
        <v>154.80000000000001</v>
      </c>
      <c r="AC261">
        <f t="shared" si="173"/>
        <v>154.80000000000001</v>
      </c>
      <c r="AE261">
        <v>147.19999999999999</v>
      </c>
      <c r="AG261">
        <v>146.4</v>
      </c>
      <c r="AI261">
        <v>151.69999999999999</v>
      </c>
      <c r="AJ261">
        <v>130.30000000000001</v>
      </c>
      <c r="AL261">
        <v>143.19999999999999</v>
      </c>
      <c r="AN261">
        <v>156.19999999999999</v>
      </c>
      <c r="AP261">
        <v>143.4</v>
      </c>
      <c r="AR261">
        <v>143.6</v>
      </c>
      <c r="AT261">
        <v>149.1</v>
      </c>
    </row>
    <row r="262" spans="1:47" x14ac:dyDescent="0.3">
      <c r="A262" t="s">
        <v>30</v>
      </c>
      <c r="B262">
        <v>2020</v>
      </c>
      <c r="C262" t="s">
        <v>36</v>
      </c>
      <c r="D262">
        <v>144.4</v>
      </c>
      <c r="F262">
        <v>166.8</v>
      </c>
      <c r="H262">
        <v>147.6</v>
      </c>
      <c r="I262">
        <v>151.69999999999999</v>
      </c>
      <c r="J262">
        <v>133.30000000000001</v>
      </c>
      <c r="K262">
        <v>141.80000000000001</v>
      </c>
      <c r="L262">
        <v>152.30000000000001</v>
      </c>
      <c r="M262">
        <v>141.80000000000001</v>
      </c>
      <c r="N262">
        <v>112.6</v>
      </c>
      <c r="O262">
        <v>154</v>
      </c>
      <c r="P262">
        <v>140.1</v>
      </c>
      <c r="Q262">
        <v>160</v>
      </c>
      <c r="S262">
        <v>148.19999999999999</v>
      </c>
      <c r="T262">
        <v>170.5</v>
      </c>
      <c r="V262">
        <v>153.4</v>
      </c>
      <c r="X262">
        <v>147.6</v>
      </c>
      <c r="Z262">
        <v>152.5</v>
      </c>
      <c r="AB262" t="s">
        <v>32</v>
      </c>
      <c r="AC262">
        <f t="shared" ref="AC262" si="174">AB263</f>
        <v>154.5</v>
      </c>
      <c r="AE262">
        <v>153.4</v>
      </c>
      <c r="AG262">
        <v>151.5</v>
      </c>
      <c r="AI262">
        <v>156.69999999999999</v>
      </c>
      <c r="AJ262">
        <v>135.80000000000001</v>
      </c>
      <c r="AL262">
        <v>151.19999999999999</v>
      </c>
      <c r="AN262">
        <v>161.19999999999999</v>
      </c>
      <c r="AP262">
        <v>145.1</v>
      </c>
      <c r="AR262">
        <v>148.6</v>
      </c>
      <c r="AT262">
        <v>149.80000000000001</v>
      </c>
    </row>
    <row r="263" spans="1:47" x14ac:dyDescent="0.3">
      <c r="A263" t="s">
        <v>33</v>
      </c>
      <c r="B263">
        <v>2020</v>
      </c>
      <c r="C263" t="s">
        <v>36</v>
      </c>
      <c r="D263">
        <v>146.5</v>
      </c>
      <c r="F263">
        <v>167.5</v>
      </c>
      <c r="H263">
        <v>148.9</v>
      </c>
      <c r="I263">
        <v>151.1</v>
      </c>
      <c r="J263">
        <v>127.5</v>
      </c>
      <c r="K263">
        <v>143.30000000000001</v>
      </c>
      <c r="L263">
        <v>167</v>
      </c>
      <c r="M263">
        <v>139.69999999999999</v>
      </c>
      <c r="N263">
        <v>114.4</v>
      </c>
      <c r="O263">
        <v>151.5</v>
      </c>
      <c r="P263">
        <v>131.9</v>
      </c>
      <c r="Q263">
        <v>159.1</v>
      </c>
      <c r="S263">
        <v>150.1</v>
      </c>
      <c r="T263">
        <v>173.3</v>
      </c>
      <c r="V263">
        <v>147.69999999999999</v>
      </c>
      <c r="X263">
        <v>133.80000000000001</v>
      </c>
      <c r="Z263">
        <v>145.6</v>
      </c>
      <c r="AB263">
        <v>154.5</v>
      </c>
      <c r="AC263">
        <f t="shared" ref="AC263:AC264" si="175">AB263</f>
        <v>154.5</v>
      </c>
      <c r="AE263">
        <v>141.4</v>
      </c>
      <c r="AG263">
        <v>140.80000000000001</v>
      </c>
      <c r="AI263">
        <v>145</v>
      </c>
      <c r="AJ263">
        <v>124.6</v>
      </c>
      <c r="AL263">
        <v>137.9</v>
      </c>
      <c r="AN263">
        <v>152.5</v>
      </c>
      <c r="AP263">
        <v>145.30000000000001</v>
      </c>
      <c r="AR263">
        <v>138.69999999999999</v>
      </c>
      <c r="AT263">
        <v>147.30000000000001</v>
      </c>
    </row>
    <row r="264" spans="1:47" x14ac:dyDescent="0.3">
      <c r="A264" t="s">
        <v>34</v>
      </c>
      <c r="B264">
        <v>2020</v>
      </c>
      <c r="C264" t="s">
        <v>36</v>
      </c>
      <c r="D264">
        <v>145.1</v>
      </c>
      <c r="F264">
        <v>167</v>
      </c>
      <c r="H264">
        <v>148.1</v>
      </c>
      <c r="I264">
        <v>151.5</v>
      </c>
      <c r="J264">
        <v>131.19999999999999</v>
      </c>
      <c r="K264">
        <v>142.5</v>
      </c>
      <c r="L264">
        <v>157.30000000000001</v>
      </c>
      <c r="M264">
        <v>141.1</v>
      </c>
      <c r="N264">
        <v>113.2</v>
      </c>
      <c r="O264">
        <v>153.19999999999999</v>
      </c>
      <c r="P264">
        <v>136.69999999999999</v>
      </c>
      <c r="Q264">
        <v>159.6</v>
      </c>
      <c r="S264">
        <v>148.9</v>
      </c>
      <c r="T264">
        <v>171.2</v>
      </c>
      <c r="V264">
        <v>151.19999999999999</v>
      </c>
      <c r="X264">
        <v>141.9</v>
      </c>
      <c r="Z264">
        <v>149.80000000000001</v>
      </c>
      <c r="AB264">
        <v>154.5</v>
      </c>
      <c r="AC264">
        <f t="shared" si="175"/>
        <v>154.5</v>
      </c>
      <c r="AE264">
        <v>148.9</v>
      </c>
      <c r="AG264">
        <v>146.4</v>
      </c>
      <c r="AI264">
        <v>152.30000000000001</v>
      </c>
      <c r="AJ264">
        <v>129.9</v>
      </c>
      <c r="AL264">
        <v>143.69999999999999</v>
      </c>
      <c r="AN264">
        <v>156.1</v>
      </c>
      <c r="AP264">
        <v>145.19999999999999</v>
      </c>
      <c r="AR264">
        <v>143.80000000000001</v>
      </c>
      <c r="AT264">
        <v>148.6</v>
      </c>
    </row>
    <row r="265" spans="1:47" x14ac:dyDescent="0.3">
      <c r="A265" t="s">
        <v>30</v>
      </c>
      <c r="B265">
        <v>2020</v>
      </c>
      <c r="C265" t="s">
        <v>37</v>
      </c>
      <c r="D265">
        <v>147.19999999999999</v>
      </c>
      <c r="F265" t="s">
        <v>32</v>
      </c>
      <c r="G265">
        <f>AVERAGE(F253,F256,F259,F262,F271,F274,F277)</f>
        <v>176.3857142857143</v>
      </c>
      <c r="H265">
        <v>146.9</v>
      </c>
      <c r="I265">
        <v>155.6</v>
      </c>
      <c r="J265">
        <v>137.1</v>
      </c>
      <c r="K265">
        <v>147.30000000000001</v>
      </c>
      <c r="L265">
        <v>162.69999999999999</v>
      </c>
      <c r="M265">
        <v>150.19999999999999</v>
      </c>
      <c r="N265">
        <v>119.8</v>
      </c>
      <c r="O265">
        <v>158.69999999999999</v>
      </c>
      <c r="P265">
        <v>139.19999999999999</v>
      </c>
      <c r="Q265" t="s">
        <v>32</v>
      </c>
      <c r="R265">
        <f>AVERAGE(Q253,Q256,Q259,Q262,Q271,Q274,Q277)</f>
        <v>160.18571428571428</v>
      </c>
      <c r="S265">
        <v>150.1</v>
      </c>
      <c r="T265" t="s">
        <v>32</v>
      </c>
      <c r="U265">
        <f>AVERAGE(T253,T256,T259,T262,T271,T274,T277)</f>
        <v>174.57142857142858</v>
      </c>
      <c r="V265" t="s">
        <v>32</v>
      </c>
      <c r="W265">
        <f>AVERAGE(V253,V256,V259,V262,V271,V274,V277)</f>
        <v>153.75714285714284</v>
      </c>
      <c r="X265" t="s">
        <v>32</v>
      </c>
      <c r="Y265">
        <f>AVERAGE(X253,X256,X259,X262,X271,X274,X277)</f>
        <v>148.44285714285715</v>
      </c>
      <c r="Z265" t="s">
        <v>32</v>
      </c>
      <c r="AA265">
        <f>AVERAGE(Z253,Z256,Z259,Z262,Z271,Z274,Z277)</f>
        <v>153.04285714285714</v>
      </c>
      <c r="AB265" t="s">
        <v>32</v>
      </c>
      <c r="AC265">
        <f t="shared" ref="AC265" si="176">AB266</f>
        <v>155.6</v>
      </c>
      <c r="AE265">
        <v>148.4</v>
      </c>
      <c r="AG265" t="s">
        <v>32</v>
      </c>
      <c r="AH265">
        <f>AVERAGE(AG253,AG256,AG259,AG262,AG271,AG274,AG277)</f>
        <v>151.64285714285717</v>
      </c>
      <c r="AI265">
        <v>154.30000000000001</v>
      </c>
      <c r="AJ265" t="s">
        <v>32</v>
      </c>
      <c r="AK265">
        <f>AVERAGE(AJ253,AJ256,AJ259,AJ262,AJ271,AJ274,AJ277)</f>
        <v>138.5</v>
      </c>
      <c r="AL265" t="s">
        <v>32</v>
      </c>
      <c r="AM265">
        <f>AVERAGE(AL253,AL256,AL259,AL262,AL271,AL274,AL277)</f>
        <v>151.40000000000003</v>
      </c>
      <c r="AN265" t="s">
        <v>32</v>
      </c>
      <c r="AO265">
        <f>AVERAGE(AN253,AN256,AN259,AN262,AN271,AN274,AN277)</f>
        <v>161.7428571428571</v>
      </c>
      <c r="AP265" t="s">
        <v>32</v>
      </c>
      <c r="AQ265">
        <f>AVERAGE(AP253,AP256,AP259,AP262,AP271,AP274,AP277)</f>
        <v>146.79999999999998</v>
      </c>
      <c r="AR265" t="s">
        <v>32</v>
      </c>
      <c r="AS265">
        <f>AVERAGE(AR253,AR256,AR259,AR262,AR271,AR274,AR277)</f>
        <v>149.80000000000001</v>
      </c>
      <c r="AT265" t="s">
        <v>32</v>
      </c>
      <c r="AU265">
        <f>AVERAGE(AT253,AT256,AT259,AT262,AT271,AT274,AT277)</f>
        <v>152.07142857142861</v>
      </c>
    </row>
    <row r="266" spans="1:47" x14ac:dyDescent="0.3">
      <c r="A266" t="s">
        <v>33</v>
      </c>
      <c r="B266">
        <v>2020</v>
      </c>
      <c r="C266" t="s">
        <v>37</v>
      </c>
      <c r="D266">
        <v>151.80000000000001</v>
      </c>
      <c r="F266" t="s">
        <v>32</v>
      </c>
      <c r="G266">
        <f>AVERAGE(F254,F257,F260,F263,F272,F275,F278)</f>
        <v>179.85714285714286</v>
      </c>
      <c r="H266">
        <v>151.9</v>
      </c>
      <c r="I266">
        <v>155.5</v>
      </c>
      <c r="J266">
        <v>131.6</v>
      </c>
      <c r="K266">
        <v>152.9</v>
      </c>
      <c r="L266">
        <v>180</v>
      </c>
      <c r="M266">
        <v>150.80000000000001</v>
      </c>
      <c r="N266">
        <v>121.2</v>
      </c>
      <c r="O266">
        <v>154</v>
      </c>
      <c r="P266">
        <v>133.5</v>
      </c>
      <c r="Q266" t="s">
        <v>32</v>
      </c>
      <c r="R266">
        <f>AVERAGE(Q254,Q257,Q260,Q263,Q272,Q275,Q278)</f>
        <v>160.14285714285714</v>
      </c>
      <c r="S266">
        <v>153.5</v>
      </c>
      <c r="T266" t="s">
        <v>32</v>
      </c>
      <c r="U266">
        <f>AVERAGE(T254,T257,T260,T263,T272,T275,T278)</f>
        <v>178.15714285714287</v>
      </c>
      <c r="V266" t="s">
        <v>32</v>
      </c>
      <c r="W266">
        <f t="shared" ref="W266" si="177">AVERAGE(V254,V257,V260,V263,V272,V275,V278)</f>
        <v>148.14285714285714</v>
      </c>
      <c r="X266" t="s">
        <v>32</v>
      </c>
      <c r="Y266">
        <f t="shared" ref="Y266:Y267" si="178">AVERAGE(X254,X257,X260,X263,X272,X275,X278)</f>
        <v>134.52857142857144</v>
      </c>
      <c r="Z266" t="s">
        <v>32</v>
      </c>
      <c r="AA266">
        <f t="shared" ref="AA266:AA267" si="179">AVERAGE(Z254,Z257,Z260,Z263,Z272,Z275,Z278)</f>
        <v>146.07142857142858</v>
      </c>
      <c r="AB266">
        <v>155.6</v>
      </c>
      <c r="AC266">
        <f t="shared" ref="AC266:AC267" si="180">AB266</f>
        <v>155.6</v>
      </c>
      <c r="AE266">
        <v>137.1</v>
      </c>
      <c r="AG266" t="s">
        <v>32</v>
      </c>
      <c r="AH266">
        <f t="shared" ref="AH266" si="181">AVERAGE(AG254,AG257,AG260,AG263,AG272,AG275,AG278)</f>
        <v>140.91428571428568</v>
      </c>
      <c r="AI266">
        <v>144.80000000000001</v>
      </c>
      <c r="AJ266" t="s">
        <v>32</v>
      </c>
      <c r="AK266">
        <f t="shared" ref="AK266:AK267" si="182">AVERAGE(AJ254,AJ257,AJ260,AJ263,AJ272,AJ275,AJ278)</f>
        <v>127.65714285714286</v>
      </c>
      <c r="AL266" t="s">
        <v>32</v>
      </c>
      <c r="AM266">
        <f t="shared" ref="AM266:AM267" si="183">AVERAGE(AL254,AL257,AL260,AL263,AL272,AL275,AL278)</f>
        <v>139.97142857142856</v>
      </c>
      <c r="AN266" t="s">
        <v>32</v>
      </c>
      <c r="AO266">
        <f t="shared" ref="AO266:AO267" si="184">AVERAGE(AN254,AN257,AN260,AN263,AN272,AN275,AN278)</f>
        <v>152.74285714285716</v>
      </c>
      <c r="AP266" t="s">
        <v>32</v>
      </c>
      <c r="AQ266">
        <f t="shared" ref="AQ266:AQ267" si="185">AVERAGE(AP254,AP257,AP260,AP263,AP272,AP275,AP278)</f>
        <v>147.24285714285716</v>
      </c>
      <c r="AR266" t="s">
        <v>32</v>
      </c>
      <c r="AS266">
        <f t="shared" ref="AS266:AS267" si="186">AVERAGE(AR254,AR257,AR260,AR263,AR272,AR275,AR278)</f>
        <v>140.28571428571428</v>
      </c>
      <c r="AT266" t="s">
        <v>32</v>
      </c>
      <c r="AU266">
        <f t="shared" ref="AU266:AU267" si="187">AVERAGE(AT254,AT257,AT260,AT263,AT272,AT275,AT278)</f>
        <v>149.42857142857142</v>
      </c>
    </row>
    <row r="267" spans="1:47" ht="16.2" customHeight="1" x14ac:dyDescent="0.3">
      <c r="A267" t="s">
        <v>34</v>
      </c>
      <c r="B267">
        <v>2020</v>
      </c>
      <c r="C267" t="s">
        <v>37</v>
      </c>
      <c r="D267">
        <v>148.69999999999999</v>
      </c>
      <c r="F267" t="s">
        <v>32</v>
      </c>
      <c r="G267">
        <f>AVERAGE(F255,F258,F261,F264,F273,F276,F279)</f>
        <v>177.6</v>
      </c>
      <c r="H267">
        <v>148.80000000000001</v>
      </c>
      <c r="I267">
        <v>155.6</v>
      </c>
      <c r="J267">
        <v>135.1</v>
      </c>
      <c r="K267">
        <v>149.9</v>
      </c>
      <c r="L267">
        <v>168.6</v>
      </c>
      <c r="M267">
        <v>150.4</v>
      </c>
      <c r="N267">
        <v>120.3</v>
      </c>
      <c r="O267">
        <v>157.1</v>
      </c>
      <c r="P267">
        <v>136.80000000000001</v>
      </c>
      <c r="Q267" t="s">
        <v>32</v>
      </c>
      <c r="R267">
        <f>AVERAGE(Q255,Q258,Q261,Q264,Q273,Q276,Q279)</f>
        <v>160.17142857142858</v>
      </c>
      <c r="S267">
        <v>151.4</v>
      </c>
      <c r="T267" t="s">
        <v>32</v>
      </c>
      <c r="U267">
        <f t="shared" ref="U267" si="188">AVERAGE(T255,T258,T261,T264,T273,T276,T279)</f>
        <v>175.51428571428571</v>
      </c>
      <c r="V267" t="s">
        <v>32</v>
      </c>
      <c r="W267">
        <f>AVERAGE(V255,V258,V261,V264,V273,V276,V279)</f>
        <v>151.55714285714285</v>
      </c>
      <c r="X267" t="s">
        <v>32</v>
      </c>
      <c r="Y267">
        <f t="shared" si="178"/>
        <v>142.65714285714284</v>
      </c>
      <c r="Z267" t="s">
        <v>32</v>
      </c>
      <c r="AA267">
        <f t="shared" si="179"/>
        <v>150.28571428571428</v>
      </c>
      <c r="AB267">
        <v>155.6</v>
      </c>
      <c r="AC267">
        <f t="shared" si="180"/>
        <v>155.6</v>
      </c>
      <c r="AE267">
        <v>144.1</v>
      </c>
      <c r="AG267" t="s">
        <v>32</v>
      </c>
      <c r="AH267">
        <f>AVERAGE(AG255,AG258,AG261,AG264,AG273,AG276,AG279)</f>
        <v>146.57142857142858</v>
      </c>
      <c r="AI267">
        <v>150.69999999999999</v>
      </c>
      <c r="AJ267" t="s">
        <v>32</v>
      </c>
      <c r="AK267">
        <f t="shared" si="182"/>
        <v>132.77142857142857</v>
      </c>
      <c r="AL267" t="s">
        <v>32</v>
      </c>
      <c r="AM267">
        <f t="shared" si="183"/>
        <v>144.94285714285712</v>
      </c>
      <c r="AN267" t="s">
        <v>32</v>
      </c>
      <c r="AO267">
        <f t="shared" si="184"/>
        <v>156.48571428571427</v>
      </c>
      <c r="AP267" t="s">
        <v>32</v>
      </c>
      <c r="AQ267">
        <f t="shared" si="185"/>
        <v>146.97142857142856</v>
      </c>
      <c r="AR267" t="s">
        <v>32</v>
      </c>
      <c r="AS267">
        <f t="shared" si="186"/>
        <v>145.18571428571428</v>
      </c>
      <c r="AT267" t="s">
        <v>32</v>
      </c>
      <c r="AU267">
        <f t="shared" si="187"/>
        <v>150.82857142857145</v>
      </c>
    </row>
    <row r="268" spans="1:47" x14ac:dyDescent="0.3">
      <c r="A268" t="s">
        <v>30</v>
      </c>
      <c r="B268">
        <v>2020</v>
      </c>
      <c r="C268" t="s">
        <v>38</v>
      </c>
      <c r="D268" t="s">
        <v>32</v>
      </c>
      <c r="E268">
        <f>AVERAGE(D265,D262,D259,D271,D274,D277)</f>
        <v>146.63333333333335</v>
      </c>
      <c r="F268" t="s">
        <v>32</v>
      </c>
      <c r="G268">
        <f>AVERAGE(G265,F262,F259,F271,F274,F277)</f>
        <v>179.74761904761905</v>
      </c>
      <c r="H268">
        <f>AVERAGE(H265,H262,H259,H271,H274,H277)</f>
        <v>148.76666666666665</v>
      </c>
      <c r="I268">
        <f t="shared" ref="I268:P268" si="189">AVERAGE(I265,I262,I259,I271,I274,I277)</f>
        <v>153.01666666666665</v>
      </c>
      <c r="J268">
        <f t="shared" si="189"/>
        <v>136.71666666666667</v>
      </c>
      <c r="K268">
        <f t="shared" si="189"/>
        <v>143.85</v>
      </c>
      <c r="L268">
        <f t="shared" si="189"/>
        <v>158.15</v>
      </c>
      <c r="M268">
        <f t="shared" si="189"/>
        <v>147.38333333333335</v>
      </c>
      <c r="N268">
        <f t="shared" si="189"/>
        <v>114.35000000000001</v>
      </c>
      <c r="O268">
        <f>AVERAGE(O265,O262,O259,O271,O274,O277)</f>
        <v>157.51666666666665</v>
      </c>
      <c r="P268">
        <f t="shared" si="189"/>
        <v>141.18333333333334</v>
      </c>
      <c r="Q268" t="s">
        <v>32</v>
      </c>
      <c r="S268">
        <f>AVERAGE(S265,S262,S259,S271,S274,S277)</f>
        <v>151.33333333333334</v>
      </c>
      <c r="T268" t="s">
        <v>32</v>
      </c>
      <c r="V268" t="s">
        <v>32</v>
      </c>
      <c r="X268" t="s">
        <v>32</v>
      </c>
      <c r="Z268" t="s">
        <v>32</v>
      </c>
      <c r="AB268" t="s">
        <v>32</v>
      </c>
      <c r="AC268" t="str">
        <f t="shared" ref="AC268" si="190">AB269</f>
        <v>NA</v>
      </c>
      <c r="AE268" t="s">
        <v>32</v>
      </c>
      <c r="AG268" t="s">
        <v>32</v>
      </c>
      <c r="AI268" t="s">
        <v>32</v>
      </c>
      <c r="AJ268" t="s">
        <v>32</v>
      </c>
      <c r="AL268" t="s">
        <v>32</v>
      </c>
      <c r="AN268" t="s">
        <v>32</v>
      </c>
      <c r="AP268" t="s">
        <v>32</v>
      </c>
      <c r="AR268" t="s">
        <v>32</v>
      </c>
      <c r="AT268" t="s">
        <v>32</v>
      </c>
    </row>
    <row r="269" spans="1:47" x14ac:dyDescent="0.3">
      <c r="A269" t="s">
        <v>33</v>
      </c>
      <c r="B269">
        <v>2020</v>
      </c>
      <c r="C269" t="s">
        <v>38</v>
      </c>
      <c r="D269" t="s">
        <v>32</v>
      </c>
      <c r="E269">
        <f>AVERAGE(D260,D263,D266,D272,D275,D278)</f>
        <v>150.25000000000003</v>
      </c>
      <c r="F269" t="s">
        <v>32</v>
      </c>
      <c r="G269">
        <f>AVERAGE(G266,F263,F260,F272,F275,F278)</f>
        <v>184.45952380952383</v>
      </c>
      <c r="H269">
        <f>AVERAGE(H266,H263,H260,H272,H275,H278)</f>
        <v>152.93333333333334</v>
      </c>
      <c r="I269">
        <f t="shared" ref="I269:P269" si="191">AVERAGE(I266,I263,I260,I272,I275,I278)</f>
        <v>152.91666666666666</v>
      </c>
      <c r="J269">
        <f t="shared" si="191"/>
        <v>130.94999999999999</v>
      </c>
      <c r="K269">
        <f t="shared" si="191"/>
        <v>149.56666666666669</v>
      </c>
      <c r="L269">
        <f t="shared" si="191"/>
        <v>177.16666666666671</v>
      </c>
      <c r="M269">
        <f t="shared" si="191"/>
        <v>147.56666666666669</v>
      </c>
      <c r="N269">
        <f t="shared" si="191"/>
        <v>116.60000000000001</v>
      </c>
      <c r="O269">
        <f>AVERAGE(O266,O263,O260,O272,O275,O278)</f>
        <v>155.58333333333334</v>
      </c>
      <c r="P269">
        <f t="shared" si="191"/>
        <v>134.1</v>
      </c>
      <c r="Q269" t="s">
        <v>32</v>
      </c>
      <c r="S269">
        <f t="shared" ref="S269" si="192">AVERAGE(S266,S263,S260,S272,S275,S278)</f>
        <v>154.86666666666665</v>
      </c>
      <c r="T269" t="s">
        <v>32</v>
      </c>
      <c r="V269" t="s">
        <v>32</v>
      </c>
      <c r="X269" t="s">
        <v>32</v>
      </c>
      <c r="Z269" t="s">
        <v>32</v>
      </c>
      <c r="AB269" t="s">
        <v>32</v>
      </c>
      <c r="AC269" t="str">
        <f t="shared" ref="AC269:AC270" si="193">AB269</f>
        <v>NA</v>
      </c>
      <c r="AE269" t="s">
        <v>32</v>
      </c>
      <c r="AG269" t="s">
        <v>32</v>
      </c>
      <c r="AI269" t="s">
        <v>32</v>
      </c>
      <c r="AJ269" t="s">
        <v>32</v>
      </c>
      <c r="AL269" t="s">
        <v>32</v>
      </c>
      <c r="AN269" t="s">
        <v>32</v>
      </c>
      <c r="AP269" t="s">
        <v>32</v>
      </c>
      <c r="AR269" t="s">
        <v>32</v>
      </c>
      <c r="AT269" t="s">
        <v>32</v>
      </c>
    </row>
    <row r="270" spans="1:47" x14ac:dyDescent="0.3">
      <c r="A270" t="s">
        <v>34</v>
      </c>
      <c r="B270">
        <v>2020</v>
      </c>
      <c r="C270" t="s">
        <v>38</v>
      </c>
      <c r="D270" t="s">
        <v>32</v>
      </c>
      <c r="E270">
        <f>AVERAGE(D261,D264,D267,D273,D276,D279)</f>
        <v>147.78333333333333</v>
      </c>
      <c r="F270" t="s">
        <v>32</v>
      </c>
      <c r="G270">
        <f t="shared" ref="G270" si="194">AVERAGE(G267,F264,F261,F273,F276,F279)</f>
        <v>181.4</v>
      </c>
      <c r="H270">
        <f>AVERAGE(H267,H264,H261,H273,H276,H279)</f>
        <v>150.38333333333333</v>
      </c>
      <c r="I270">
        <f t="shared" ref="I270:P270" si="195">AVERAGE(I267,I264,I261,I273,I276,I279)</f>
        <v>152.96666666666667</v>
      </c>
      <c r="J270">
        <f t="shared" si="195"/>
        <v>134.61666666666665</v>
      </c>
      <c r="K270">
        <f t="shared" si="195"/>
        <v>146.49999999999997</v>
      </c>
      <c r="L270">
        <f t="shared" si="195"/>
        <v>164.61666666666665</v>
      </c>
      <c r="M270">
        <f t="shared" si="195"/>
        <v>147.46666666666667</v>
      </c>
      <c r="N270">
        <f t="shared" si="195"/>
        <v>115.10000000000001</v>
      </c>
      <c r="O270">
        <f t="shared" si="195"/>
        <v>156.88333333333333</v>
      </c>
      <c r="P270">
        <f t="shared" si="195"/>
        <v>138.23333333333332</v>
      </c>
      <c r="Q270" t="s">
        <v>32</v>
      </c>
      <c r="S270">
        <f t="shared" ref="S270" si="196">AVERAGE(S267,S264,S261,S273,S276,S279)</f>
        <v>152.63333333333333</v>
      </c>
      <c r="T270" t="s">
        <v>32</v>
      </c>
      <c r="V270" t="s">
        <v>32</v>
      </c>
      <c r="X270" t="s">
        <v>32</v>
      </c>
      <c r="Z270" t="s">
        <v>32</v>
      </c>
      <c r="AB270" t="s">
        <v>32</v>
      </c>
      <c r="AC270" t="str">
        <f t="shared" si="193"/>
        <v>NA</v>
      </c>
      <c r="AE270" t="s">
        <v>32</v>
      </c>
      <c r="AG270" t="s">
        <v>32</v>
      </c>
      <c r="AI270" t="s">
        <v>32</v>
      </c>
      <c r="AJ270" t="s">
        <v>32</v>
      </c>
      <c r="AL270" t="s">
        <v>32</v>
      </c>
      <c r="AN270" t="s">
        <v>32</v>
      </c>
      <c r="AP270" t="s">
        <v>32</v>
      </c>
      <c r="AR270" t="s">
        <v>32</v>
      </c>
      <c r="AT270" t="s">
        <v>32</v>
      </c>
    </row>
    <row r="271" spans="1:47" x14ac:dyDescent="0.3">
      <c r="A271" t="s">
        <v>30</v>
      </c>
      <c r="B271">
        <v>2020</v>
      </c>
      <c r="C271" t="s">
        <v>39</v>
      </c>
      <c r="D271">
        <v>148.19999999999999</v>
      </c>
      <c r="F271">
        <v>190.3</v>
      </c>
      <c r="H271">
        <v>149.4</v>
      </c>
      <c r="I271">
        <v>153.30000000000001</v>
      </c>
      <c r="J271">
        <v>138.19999999999999</v>
      </c>
      <c r="K271">
        <v>143.19999999999999</v>
      </c>
      <c r="L271">
        <v>148.9</v>
      </c>
      <c r="M271">
        <v>150.30000000000001</v>
      </c>
      <c r="N271">
        <v>113.2</v>
      </c>
      <c r="O271">
        <v>159.80000000000001</v>
      </c>
      <c r="P271">
        <v>142.1</v>
      </c>
      <c r="Q271">
        <v>161.80000000000001</v>
      </c>
      <c r="S271">
        <v>152.30000000000001</v>
      </c>
      <c r="T271">
        <v>182.4</v>
      </c>
      <c r="V271">
        <v>154.69999999999999</v>
      </c>
      <c r="X271">
        <v>150</v>
      </c>
      <c r="Z271">
        <v>154.1</v>
      </c>
      <c r="AB271" t="s">
        <v>32</v>
      </c>
      <c r="AC271">
        <f t="shared" ref="AC271" si="197">AB272</f>
        <v>154.69999999999999</v>
      </c>
      <c r="AE271">
        <v>144.9</v>
      </c>
      <c r="AG271">
        <v>151.69999999999999</v>
      </c>
      <c r="AI271">
        <v>158.19999999999999</v>
      </c>
      <c r="AJ271">
        <v>141.4</v>
      </c>
      <c r="AL271">
        <v>153.19999999999999</v>
      </c>
      <c r="AN271">
        <v>161.80000000000001</v>
      </c>
      <c r="AP271">
        <v>151.19999999999999</v>
      </c>
      <c r="AR271">
        <v>151.69999999999999</v>
      </c>
      <c r="AT271">
        <v>152.69999999999999</v>
      </c>
    </row>
    <row r="272" spans="1:47" x14ac:dyDescent="0.3">
      <c r="A272" t="s">
        <v>33</v>
      </c>
      <c r="B272">
        <v>2020</v>
      </c>
      <c r="C272" t="s">
        <v>39</v>
      </c>
      <c r="D272">
        <v>152.69999999999999</v>
      </c>
      <c r="F272">
        <v>197</v>
      </c>
      <c r="H272">
        <v>154.6</v>
      </c>
      <c r="I272">
        <v>153.4</v>
      </c>
      <c r="J272">
        <v>132.9</v>
      </c>
      <c r="K272">
        <v>151.80000000000001</v>
      </c>
      <c r="L272">
        <v>171.2</v>
      </c>
      <c r="M272">
        <v>152</v>
      </c>
      <c r="N272">
        <v>116.3</v>
      </c>
      <c r="O272">
        <v>158.80000000000001</v>
      </c>
      <c r="P272">
        <v>135.6</v>
      </c>
      <c r="Q272">
        <v>161.69999999999999</v>
      </c>
      <c r="S272">
        <v>157</v>
      </c>
      <c r="T272">
        <v>186.7</v>
      </c>
      <c r="V272">
        <v>149.1</v>
      </c>
      <c r="X272">
        <v>136.6</v>
      </c>
      <c r="Z272">
        <v>147.19999999999999</v>
      </c>
      <c r="AB272">
        <v>154.69999999999999</v>
      </c>
      <c r="AC272">
        <f t="shared" ref="AC272:AC273" si="198">AB272</f>
        <v>154.69999999999999</v>
      </c>
      <c r="AE272">
        <v>137.1</v>
      </c>
      <c r="AG272">
        <v>140.4</v>
      </c>
      <c r="AI272">
        <v>148.1</v>
      </c>
      <c r="AJ272">
        <v>129.30000000000001</v>
      </c>
      <c r="AL272">
        <v>144.5</v>
      </c>
      <c r="AN272">
        <v>152.5</v>
      </c>
      <c r="AP272">
        <v>152.19999999999999</v>
      </c>
      <c r="AR272">
        <v>142</v>
      </c>
      <c r="AT272">
        <v>150.80000000000001</v>
      </c>
    </row>
    <row r="273" spans="1:46" x14ac:dyDescent="0.3">
      <c r="A273" t="s">
        <v>34</v>
      </c>
      <c r="B273">
        <v>2020</v>
      </c>
      <c r="C273" t="s">
        <v>39</v>
      </c>
      <c r="D273">
        <v>149.6</v>
      </c>
      <c r="F273">
        <v>192.7</v>
      </c>
      <c r="H273">
        <v>151.4</v>
      </c>
      <c r="I273">
        <v>153.30000000000001</v>
      </c>
      <c r="J273">
        <v>136.30000000000001</v>
      </c>
      <c r="K273">
        <v>147.19999999999999</v>
      </c>
      <c r="L273">
        <v>156.5</v>
      </c>
      <c r="M273">
        <v>150.9</v>
      </c>
      <c r="N273">
        <v>114.2</v>
      </c>
      <c r="O273">
        <v>159.5</v>
      </c>
      <c r="P273">
        <v>139.4</v>
      </c>
      <c r="Q273">
        <v>161.80000000000001</v>
      </c>
      <c r="S273">
        <v>154</v>
      </c>
      <c r="T273">
        <v>183.5</v>
      </c>
      <c r="V273">
        <v>152.5</v>
      </c>
      <c r="X273">
        <v>144.4</v>
      </c>
      <c r="Z273">
        <v>151.4</v>
      </c>
      <c r="AB273">
        <v>154.69999999999999</v>
      </c>
      <c r="AC273">
        <f t="shared" si="198"/>
        <v>154.69999999999999</v>
      </c>
      <c r="AE273">
        <v>141.9</v>
      </c>
      <c r="AG273">
        <v>146.4</v>
      </c>
      <c r="AI273">
        <v>154.4</v>
      </c>
      <c r="AJ273">
        <v>135</v>
      </c>
      <c r="AL273">
        <v>148.30000000000001</v>
      </c>
      <c r="AN273">
        <v>156.4</v>
      </c>
      <c r="AP273">
        <v>151.6</v>
      </c>
      <c r="AR273">
        <v>147</v>
      </c>
      <c r="AT273">
        <v>151.80000000000001</v>
      </c>
    </row>
    <row r="274" spans="1:46" x14ac:dyDescent="0.3">
      <c r="A274" t="s">
        <v>30</v>
      </c>
      <c r="B274">
        <v>2020</v>
      </c>
      <c r="C274" t="s">
        <v>40</v>
      </c>
      <c r="D274">
        <v>148.19999999999999</v>
      </c>
      <c r="F274">
        <v>190.3</v>
      </c>
      <c r="H274">
        <v>149.4</v>
      </c>
      <c r="I274">
        <v>153.30000000000001</v>
      </c>
      <c r="J274">
        <v>138.19999999999999</v>
      </c>
      <c r="K274">
        <v>143.19999999999999</v>
      </c>
      <c r="L274">
        <v>148.9</v>
      </c>
      <c r="M274">
        <v>150.30000000000001</v>
      </c>
      <c r="N274">
        <v>113.2</v>
      </c>
      <c r="O274">
        <v>159.80000000000001</v>
      </c>
      <c r="P274">
        <v>142.1</v>
      </c>
      <c r="Q274">
        <v>161.80000000000001</v>
      </c>
      <c r="S274">
        <v>152.30000000000001</v>
      </c>
      <c r="T274">
        <v>182.4</v>
      </c>
      <c r="V274">
        <v>154.69999999999999</v>
      </c>
      <c r="X274">
        <v>150</v>
      </c>
      <c r="Z274">
        <v>154.1</v>
      </c>
      <c r="AB274" t="s">
        <v>32</v>
      </c>
      <c r="AC274">
        <f t="shared" ref="AC274" si="199">AB275</f>
        <v>154.69999999999999</v>
      </c>
      <c r="AE274">
        <v>144.9</v>
      </c>
      <c r="AG274">
        <v>151.69999999999999</v>
      </c>
      <c r="AI274">
        <v>158.19999999999999</v>
      </c>
      <c r="AJ274">
        <v>141.4</v>
      </c>
      <c r="AL274">
        <v>153.19999999999999</v>
      </c>
      <c r="AN274">
        <v>161.80000000000001</v>
      </c>
      <c r="AP274">
        <v>151.19999999999999</v>
      </c>
      <c r="AR274">
        <v>151.69999999999999</v>
      </c>
      <c r="AT274">
        <v>152.69999999999999</v>
      </c>
    </row>
    <row r="275" spans="1:46" x14ac:dyDescent="0.3">
      <c r="A275" t="s">
        <v>33</v>
      </c>
      <c r="B275">
        <v>2020</v>
      </c>
      <c r="C275" t="s">
        <v>40</v>
      </c>
      <c r="D275">
        <v>152.69999999999999</v>
      </c>
      <c r="F275">
        <v>197</v>
      </c>
      <c r="H275">
        <v>154.6</v>
      </c>
      <c r="I275">
        <v>153.4</v>
      </c>
      <c r="J275">
        <v>132.9</v>
      </c>
      <c r="K275">
        <v>151.80000000000001</v>
      </c>
      <c r="L275">
        <v>171.2</v>
      </c>
      <c r="M275">
        <v>152</v>
      </c>
      <c r="N275">
        <v>116.3</v>
      </c>
      <c r="O275">
        <v>158.80000000000001</v>
      </c>
      <c r="P275">
        <v>135.6</v>
      </c>
      <c r="Q275">
        <v>161.69999999999999</v>
      </c>
      <c r="S275">
        <v>157</v>
      </c>
      <c r="T275">
        <v>186.7</v>
      </c>
      <c r="V275">
        <v>149.1</v>
      </c>
      <c r="X275">
        <v>136.6</v>
      </c>
      <c r="Z275">
        <v>147.19999999999999</v>
      </c>
      <c r="AB275">
        <v>154.69999999999999</v>
      </c>
      <c r="AC275">
        <f t="shared" ref="AC275:AC276" si="200">AB275</f>
        <v>154.69999999999999</v>
      </c>
      <c r="AE275">
        <v>137.1</v>
      </c>
      <c r="AG275">
        <v>140.4</v>
      </c>
      <c r="AI275">
        <v>148.1</v>
      </c>
      <c r="AJ275">
        <v>129.30000000000001</v>
      </c>
      <c r="AL275">
        <v>144.5</v>
      </c>
      <c r="AN275">
        <v>152.5</v>
      </c>
      <c r="AP275">
        <v>152.19999999999999</v>
      </c>
      <c r="AR275">
        <v>142</v>
      </c>
      <c r="AT275">
        <v>150.80000000000001</v>
      </c>
    </row>
    <row r="276" spans="1:46" x14ac:dyDescent="0.3">
      <c r="A276" t="s">
        <v>34</v>
      </c>
      <c r="B276">
        <v>2020</v>
      </c>
      <c r="C276" t="s">
        <v>40</v>
      </c>
      <c r="D276">
        <v>149.6</v>
      </c>
      <c r="F276">
        <v>192.7</v>
      </c>
      <c r="H276">
        <v>151.4</v>
      </c>
      <c r="I276">
        <v>153.30000000000001</v>
      </c>
      <c r="J276">
        <v>136.30000000000001</v>
      </c>
      <c r="K276">
        <v>147.19999999999999</v>
      </c>
      <c r="L276">
        <v>156.5</v>
      </c>
      <c r="M276">
        <v>150.9</v>
      </c>
      <c r="N276">
        <v>114.2</v>
      </c>
      <c r="O276">
        <v>159.5</v>
      </c>
      <c r="P276">
        <v>139.4</v>
      </c>
      <c r="Q276">
        <v>161.80000000000001</v>
      </c>
      <c r="S276">
        <v>154</v>
      </c>
      <c r="T276">
        <v>183.5</v>
      </c>
      <c r="V276">
        <v>152.5</v>
      </c>
      <c r="X276">
        <v>144.4</v>
      </c>
      <c r="Z276">
        <v>151.4</v>
      </c>
      <c r="AB276">
        <v>154.69999999999999</v>
      </c>
      <c r="AC276">
        <f t="shared" si="200"/>
        <v>154.69999999999999</v>
      </c>
      <c r="AE276">
        <v>141.9</v>
      </c>
      <c r="AG276">
        <v>146.4</v>
      </c>
      <c r="AI276">
        <v>154.4</v>
      </c>
      <c r="AJ276">
        <v>135</v>
      </c>
      <c r="AL276">
        <v>148.30000000000001</v>
      </c>
      <c r="AN276">
        <v>156.4</v>
      </c>
      <c r="AP276">
        <v>151.6</v>
      </c>
      <c r="AR276">
        <v>147</v>
      </c>
      <c r="AT276">
        <v>151.80000000000001</v>
      </c>
    </row>
    <row r="277" spans="1:46" x14ac:dyDescent="0.3">
      <c r="A277" t="s">
        <v>30</v>
      </c>
      <c r="B277">
        <v>2020</v>
      </c>
      <c r="C277" t="s">
        <v>41</v>
      </c>
      <c r="D277">
        <v>147.6</v>
      </c>
      <c r="F277">
        <v>187.2</v>
      </c>
      <c r="H277">
        <v>148.4</v>
      </c>
      <c r="I277">
        <v>153.30000000000001</v>
      </c>
      <c r="J277">
        <v>139.80000000000001</v>
      </c>
      <c r="K277">
        <v>146.9</v>
      </c>
      <c r="L277">
        <v>171</v>
      </c>
      <c r="M277">
        <v>149.9</v>
      </c>
      <c r="N277">
        <v>114.2</v>
      </c>
      <c r="O277">
        <v>160</v>
      </c>
      <c r="P277">
        <v>143.5</v>
      </c>
      <c r="Q277">
        <v>161.5</v>
      </c>
      <c r="S277">
        <v>155.30000000000001</v>
      </c>
      <c r="T277">
        <v>180.9</v>
      </c>
      <c r="V277">
        <v>155.1</v>
      </c>
      <c r="X277">
        <v>149.30000000000001</v>
      </c>
      <c r="Z277">
        <v>154.30000000000001</v>
      </c>
      <c r="AB277" t="s">
        <v>32</v>
      </c>
      <c r="AC277">
        <f t="shared" ref="AC277" si="201">AB278</f>
        <v>155.5</v>
      </c>
      <c r="AE277">
        <v>145.80000000000001</v>
      </c>
      <c r="AG277">
        <v>151.9</v>
      </c>
      <c r="AI277">
        <v>158.80000000000001</v>
      </c>
      <c r="AJ277">
        <v>143.6</v>
      </c>
      <c r="AL277">
        <v>152.19999999999999</v>
      </c>
      <c r="AN277">
        <v>162.69999999999999</v>
      </c>
      <c r="AP277">
        <v>153.6</v>
      </c>
      <c r="AR277">
        <v>153</v>
      </c>
      <c r="AT277">
        <v>154.69999999999999</v>
      </c>
    </row>
    <row r="278" spans="1:46" x14ac:dyDescent="0.3">
      <c r="A278" t="s">
        <v>33</v>
      </c>
      <c r="B278">
        <v>2020</v>
      </c>
      <c r="C278" t="s">
        <v>41</v>
      </c>
      <c r="D278">
        <v>151.6</v>
      </c>
      <c r="F278">
        <v>197.8</v>
      </c>
      <c r="H278">
        <v>154.5</v>
      </c>
      <c r="I278">
        <v>153.4</v>
      </c>
      <c r="J278">
        <v>133.4</v>
      </c>
      <c r="K278">
        <v>154.5</v>
      </c>
      <c r="L278">
        <v>191.9</v>
      </c>
      <c r="M278">
        <v>151.30000000000001</v>
      </c>
      <c r="N278">
        <v>116.8</v>
      </c>
      <c r="O278">
        <v>160</v>
      </c>
      <c r="P278">
        <v>136.5</v>
      </c>
      <c r="Q278">
        <v>163.30000000000001</v>
      </c>
      <c r="S278">
        <v>159.9</v>
      </c>
      <c r="T278">
        <v>187.2</v>
      </c>
      <c r="V278">
        <v>150</v>
      </c>
      <c r="X278">
        <v>135.19999999999999</v>
      </c>
      <c r="Z278">
        <v>147.80000000000001</v>
      </c>
      <c r="AB278">
        <v>155.5</v>
      </c>
      <c r="AC278">
        <f t="shared" ref="AC278:AC279" si="202">AB278</f>
        <v>155.5</v>
      </c>
      <c r="AE278">
        <v>138.30000000000001</v>
      </c>
      <c r="AG278">
        <v>144.5</v>
      </c>
      <c r="AI278">
        <v>148.69999999999999</v>
      </c>
      <c r="AJ278">
        <v>133.9</v>
      </c>
      <c r="AL278">
        <v>141.19999999999999</v>
      </c>
      <c r="AN278">
        <v>155.5</v>
      </c>
      <c r="AP278">
        <v>155.19999999999999</v>
      </c>
      <c r="AR278">
        <v>144.80000000000001</v>
      </c>
      <c r="AT278">
        <v>152.9</v>
      </c>
    </row>
    <row r="279" spans="1:46" x14ac:dyDescent="0.3">
      <c r="A279" t="s">
        <v>34</v>
      </c>
      <c r="B279">
        <v>2020</v>
      </c>
      <c r="C279" t="s">
        <v>41</v>
      </c>
      <c r="D279">
        <v>148.9</v>
      </c>
      <c r="F279">
        <v>190.9</v>
      </c>
      <c r="H279">
        <v>150.80000000000001</v>
      </c>
      <c r="I279">
        <v>153.30000000000001</v>
      </c>
      <c r="J279">
        <v>137.4</v>
      </c>
      <c r="K279">
        <v>150.4</v>
      </c>
      <c r="L279">
        <v>178.1</v>
      </c>
      <c r="M279">
        <v>150.4</v>
      </c>
      <c r="N279">
        <v>115.1</v>
      </c>
      <c r="O279">
        <v>160</v>
      </c>
      <c r="P279">
        <v>140.6</v>
      </c>
      <c r="Q279">
        <v>162.30000000000001</v>
      </c>
      <c r="S279">
        <v>157</v>
      </c>
      <c r="T279">
        <v>182.6</v>
      </c>
      <c r="V279">
        <v>153.1</v>
      </c>
      <c r="X279">
        <v>143.4</v>
      </c>
      <c r="Z279">
        <v>151.69999999999999</v>
      </c>
      <c r="AB279">
        <v>155.5</v>
      </c>
      <c r="AC279">
        <f t="shared" si="202"/>
        <v>155.5</v>
      </c>
      <c r="AE279">
        <v>143</v>
      </c>
      <c r="AG279">
        <v>148.4</v>
      </c>
      <c r="AI279">
        <v>155</v>
      </c>
      <c r="AJ279">
        <v>138.5</v>
      </c>
      <c r="AL279">
        <v>146</v>
      </c>
      <c r="AN279">
        <v>158.5</v>
      </c>
      <c r="AP279">
        <v>154.30000000000001</v>
      </c>
      <c r="AR279">
        <v>149</v>
      </c>
      <c r="AT279">
        <v>153.9</v>
      </c>
    </row>
    <row r="280" spans="1:46" x14ac:dyDescent="0.3">
      <c r="A280" t="s">
        <v>30</v>
      </c>
      <c r="B280">
        <v>2020</v>
      </c>
      <c r="C280" t="s">
        <v>42</v>
      </c>
      <c r="D280">
        <v>146.9</v>
      </c>
      <c r="F280">
        <v>183.9</v>
      </c>
      <c r="H280">
        <v>149.5</v>
      </c>
      <c r="I280">
        <v>153.4</v>
      </c>
      <c r="J280">
        <v>140.4</v>
      </c>
      <c r="K280">
        <v>147</v>
      </c>
      <c r="L280">
        <v>178.8</v>
      </c>
      <c r="M280">
        <v>149.30000000000001</v>
      </c>
      <c r="N280">
        <v>115.1</v>
      </c>
      <c r="O280">
        <v>160</v>
      </c>
      <c r="P280">
        <v>145.4</v>
      </c>
      <c r="Q280">
        <v>161.6</v>
      </c>
      <c r="S280">
        <v>156.1</v>
      </c>
      <c r="T280">
        <v>182.9</v>
      </c>
      <c r="V280">
        <v>155.4</v>
      </c>
      <c r="X280">
        <v>149.9</v>
      </c>
      <c r="Z280">
        <v>154.6</v>
      </c>
      <c r="AB280" t="s">
        <v>32</v>
      </c>
      <c r="AC280">
        <f t="shared" ref="AC280" si="203">AB281</f>
        <v>156.30000000000001</v>
      </c>
      <c r="AE280">
        <v>146.4</v>
      </c>
      <c r="AG280">
        <v>151.6</v>
      </c>
      <c r="AI280">
        <v>159.1</v>
      </c>
      <c r="AJ280">
        <v>144.6</v>
      </c>
      <c r="AL280">
        <v>152.80000000000001</v>
      </c>
      <c r="AN280">
        <v>161.1</v>
      </c>
      <c r="AP280">
        <v>157.4</v>
      </c>
      <c r="AR280">
        <v>153.69999999999999</v>
      </c>
      <c r="AT280">
        <v>155.4</v>
      </c>
    </row>
    <row r="281" spans="1:46" x14ac:dyDescent="0.3">
      <c r="A281" t="s">
        <v>33</v>
      </c>
      <c r="B281">
        <v>2020</v>
      </c>
      <c r="C281" t="s">
        <v>42</v>
      </c>
      <c r="D281">
        <v>151.5</v>
      </c>
      <c r="F281">
        <v>193.1</v>
      </c>
      <c r="H281">
        <v>157.30000000000001</v>
      </c>
      <c r="I281">
        <v>153.9</v>
      </c>
      <c r="J281">
        <v>134.4</v>
      </c>
      <c r="K281">
        <v>155.4</v>
      </c>
      <c r="L281">
        <v>202</v>
      </c>
      <c r="M281">
        <v>150.80000000000001</v>
      </c>
      <c r="N281">
        <v>118.9</v>
      </c>
      <c r="O281">
        <v>160.9</v>
      </c>
      <c r="P281">
        <v>137.69999999999999</v>
      </c>
      <c r="Q281">
        <v>164.4</v>
      </c>
      <c r="S281">
        <v>161.30000000000001</v>
      </c>
      <c r="T281">
        <v>188.7</v>
      </c>
      <c r="V281">
        <v>150.19999999999999</v>
      </c>
      <c r="X281">
        <v>136.30000000000001</v>
      </c>
      <c r="Z281">
        <v>148.1</v>
      </c>
      <c r="AB281">
        <v>156.30000000000001</v>
      </c>
      <c r="AC281">
        <f t="shared" ref="AC281:AC282" si="204">AB281</f>
        <v>156.30000000000001</v>
      </c>
      <c r="AE281">
        <v>137.19999999999999</v>
      </c>
      <c r="AG281">
        <v>145.4</v>
      </c>
      <c r="AI281">
        <v>150</v>
      </c>
      <c r="AJ281">
        <v>135.1</v>
      </c>
      <c r="AL281">
        <v>141.80000000000001</v>
      </c>
      <c r="AN281">
        <v>154.9</v>
      </c>
      <c r="AP281">
        <v>159.80000000000001</v>
      </c>
      <c r="AR281">
        <v>146</v>
      </c>
      <c r="AT281">
        <v>154</v>
      </c>
    </row>
    <row r="282" spans="1:46" x14ac:dyDescent="0.3">
      <c r="A282" t="s">
        <v>34</v>
      </c>
      <c r="B282">
        <v>2020</v>
      </c>
      <c r="C282" t="s">
        <v>42</v>
      </c>
      <c r="D282">
        <v>148.4</v>
      </c>
      <c r="F282">
        <v>187.1</v>
      </c>
      <c r="H282">
        <v>152.5</v>
      </c>
      <c r="I282">
        <v>153.6</v>
      </c>
      <c r="J282">
        <v>138.19999999999999</v>
      </c>
      <c r="K282">
        <v>150.9</v>
      </c>
      <c r="L282">
        <v>186.7</v>
      </c>
      <c r="M282">
        <v>149.80000000000001</v>
      </c>
      <c r="N282">
        <v>116.4</v>
      </c>
      <c r="O282">
        <v>160.30000000000001</v>
      </c>
      <c r="P282">
        <v>142.19999999999999</v>
      </c>
      <c r="Q282">
        <v>162.9</v>
      </c>
      <c r="S282">
        <v>158</v>
      </c>
      <c r="T282">
        <v>184.4</v>
      </c>
      <c r="V282">
        <v>153.4</v>
      </c>
      <c r="X282">
        <v>144.30000000000001</v>
      </c>
      <c r="Z282">
        <v>152</v>
      </c>
      <c r="AB282">
        <v>156.30000000000001</v>
      </c>
      <c r="AC282">
        <f t="shared" si="204"/>
        <v>156.30000000000001</v>
      </c>
      <c r="AE282">
        <v>142.9</v>
      </c>
      <c r="AG282">
        <v>148.69999999999999</v>
      </c>
      <c r="AI282">
        <v>155.6</v>
      </c>
      <c r="AJ282">
        <v>139.6</v>
      </c>
      <c r="AL282">
        <v>146.6</v>
      </c>
      <c r="AN282">
        <v>157.5</v>
      </c>
      <c r="AP282">
        <v>158.4</v>
      </c>
      <c r="AR282">
        <v>150</v>
      </c>
      <c r="AT282">
        <v>154.69999999999999</v>
      </c>
    </row>
    <row r="283" spans="1:46" x14ac:dyDescent="0.3">
      <c r="A283" t="s">
        <v>30</v>
      </c>
      <c r="B283">
        <v>2020</v>
      </c>
      <c r="C283" t="s">
        <v>43</v>
      </c>
      <c r="D283">
        <v>146</v>
      </c>
      <c r="F283">
        <v>186.3</v>
      </c>
      <c r="H283">
        <v>159.19999999999999</v>
      </c>
      <c r="I283">
        <v>153.6</v>
      </c>
      <c r="J283">
        <v>142.6</v>
      </c>
      <c r="K283">
        <v>147.19999999999999</v>
      </c>
      <c r="L283">
        <v>200.6</v>
      </c>
      <c r="M283">
        <v>150.30000000000001</v>
      </c>
      <c r="N283">
        <v>115.3</v>
      </c>
      <c r="O283">
        <v>160.9</v>
      </c>
      <c r="P283">
        <v>147.4</v>
      </c>
      <c r="Q283">
        <v>161.9</v>
      </c>
      <c r="S283">
        <v>159.6</v>
      </c>
      <c r="T283">
        <v>182.7</v>
      </c>
      <c r="V283">
        <v>155.69999999999999</v>
      </c>
      <c r="X283">
        <v>150.6</v>
      </c>
      <c r="Z283">
        <v>155</v>
      </c>
      <c r="AB283" t="s">
        <v>32</v>
      </c>
      <c r="AC283">
        <f t="shared" ref="AC283" si="205">AB284</f>
        <v>156.5</v>
      </c>
      <c r="AE283">
        <v>146.80000000000001</v>
      </c>
      <c r="AG283">
        <v>152</v>
      </c>
      <c r="AI283">
        <v>159.5</v>
      </c>
      <c r="AJ283">
        <v>146.4</v>
      </c>
      <c r="AL283">
        <v>152.4</v>
      </c>
      <c r="AN283">
        <v>162.5</v>
      </c>
      <c r="AP283">
        <v>156.19999999999999</v>
      </c>
      <c r="AR283">
        <v>154.30000000000001</v>
      </c>
      <c r="AT283">
        <v>157.5</v>
      </c>
    </row>
    <row r="284" spans="1:46" x14ac:dyDescent="0.3">
      <c r="A284" t="s">
        <v>33</v>
      </c>
      <c r="B284">
        <v>2020</v>
      </c>
      <c r="C284" t="s">
        <v>43</v>
      </c>
      <c r="D284">
        <v>150.6</v>
      </c>
      <c r="F284">
        <v>193.7</v>
      </c>
      <c r="H284">
        <v>164.8</v>
      </c>
      <c r="I284">
        <v>153.69999999999999</v>
      </c>
      <c r="J284">
        <v>135.69999999999999</v>
      </c>
      <c r="K284">
        <v>155.69999999999999</v>
      </c>
      <c r="L284">
        <v>226</v>
      </c>
      <c r="M284">
        <v>152.19999999999999</v>
      </c>
      <c r="N284">
        <v>118.1</v>
      </c>
      <c r="O284">
        <v>161.30000000000001</v>
      </c>
      <c r="P284">
        <v>139.19999999999999</v>
      </c>
      <c r="Q284">
        <v>164.8</v>
      </c>
      <c r="S284">
        <v>164.4</v>
      </c>
      <c r="T284">
        <v>188.7</v>
      </c>
      <c r="V284">
        <v>150.5</v>
      </c>
      <c r="X284">
        <v>136.1</v>
      </c>
      <c r="Z284">
        <v>148.30000000000001</v>
      </c>
      <c r="AB284">
        <v>156.5</v>
      </c>
      <c r="AC284">
        <f t="shared" ref="AC284:AC285" si="206">AB284</f>
        <v>156.5</v>
      </c>
      <c r="AE284">
        <v>137.1</v>
      </c>
      <c r="AG284">
        <v>145.1</v>
      </c>
      <c r="AI284">
        <v>151</v>
      </c>
      <c r="AJ284">
        <v>135.4</v>
      </c>
      <c r="AL284">
        <v>142</v>
      </c>
      <c r="AN284">
        <v>155.69999999999999</v>
      </c>
      <c r="AP284">
        <v>158.1</v>
      </c>
      <c r="AR284">
        <v>146.19999999999999</v>
      </c>
      <c r="AT284">
        <v>155.19999999999999</v>
      </c>
    </row>
    <row r="285" spans="1:46" x14ac:dyDescent="0.3">
      <c r="A285" t="s">
        <v>34</v>
      </c>
      <c r="B285">
        <v>2020</v>
      </c>
      <c r="C285" t="s">
        <v>43</v>
      </c>
      <c r="D285">
        <v>147.5</v>
      </c>
      <c r="F285">
        <v>188.9</v>
      </c>
      <c r="H285">
        <v>161.4</v>
      </c>
      <c r="I285">
        <v>153.6</v>
      </c>
      <c r="J285">
        <v>140.1</v>
      </c>
      <c r="K285">
        <v>151.19999999999999</v>
      </c>
      <c r="L285">
        <v>209.2</v>
      </c>
      <c r="M285">
        <v>150.9</v>
      </c>
      <c r="N285">
        <v>116.2</v>
      </c>
      <c r="O285">
        <v>161</v>
      </c>
      <c r="P285">
        <v>144</v>
      </c>
      <c r="Q285">
        <v>163.19999999999999</v>
      </c>
      <c r="S285">
        <v>161.4</v>
      </c>
      <c r="T285">
        <v>184.3</v>
      </c>
      <c r="V285">
        <v>153.69999999999999</v>
      </c>
      <c r="X285">
        <v>144.6</v>
      </c>
      <c r="Z285">
        <v>152.30000000000001</v>
      </c>
      <c r="AB285">
        <v>156.5</v>
      </c>
      <c r="AC285">
        <f t="shared" si="206"/>
        <v>156.5</v>
      </c>
      <c r="AE285">
        <v>143.1</v>
      </c>
      <c r="AG285">
        <v>148.69999999999999</v>
      </c>
      <c r="AI285">
        <v>156.30000000000001</v>
      </c>
      <c r="AJ285">
        <v>140.6</v>
      </c>
      <c r="AL285">
        <v>146.5</v>
      </c>
      <c r="AN285">
        <v>158.5</v>
      </c>
      <c r="AP285">
        <v>157</v>
      </c>
      <c r="AR285">
        <v>150.4</v>
      </c>
      <c r="AT285">
        <v>156.4</v>
      </c>
    </row>
    <row r="286" spans="1:46" x14ac:dyDescent="0.3">
      <c r="A286" t="s">
        <v>30</v>
      </c>
      <c r="B286">
        <v>2020</v>
      </c>
      <c r="C286" t="s">
        <v>45</v>
      </c>
      <c r="D286">
        <v>145.4</v>
      </c>
      <c r="F286">
        <v>188.6</v>
      </c>
      <c r="H286">
        <v>171.6</v>
      </c>
      <c r="I286">
        <v>153.80000000000001</v>
      </c>
      <c r="J286">
        <v>145.4</v>
      </c>
      <c r="K286">
        <v>146.5</v>
      </c>
      <c r="L286">
        <v>222.2</v>
      </c>
      <c r="M286">
        <v>155.9</v>
      </c>
      <c r="N286">
        <v>114.9</v>
      </c>
      <c r="O286">
        <v>162</v>
      </c>
      <c r="P286">
        <v>150</v>
      </c>
      <c r="Q286">
        <v>162.69999999999999</v>
      </c>
      <c r="S286">
        <v>163.4</v>
      </c>
      <c r="T286">
        <v>183.4</v>
      </c>
      <c r="V286">
        <v>156.30000000000001</v>
      </c>
      <c r="X286">
        <v>151</v>
      </c>
      <c r="Z286">
        <v>155.5</v>
      </c>
      <c r="AB286" t="s">
        <v>32</v>
      </c>
      <c r="AC286">
        <f t="shared" ref="AC286" si="207">AB287</f>
        <v>158</v>
      </c>
      <c r="AE286">
        <v>147.5</v>
      </c>
      <c r="AG286">
        <v>152.80000000000001</v>
      </c>
      <c r="AI286">
        <v>160.4</v>
      </c>
      <c r="AJ286">
        <v>146.1</v>
      </c>
      <c r="AL286">
        <v>153.6</v>
      </c>
      <c r="AN286">
        <v>161.6</v>
      </c>
      <c r="AP286">
        <v>156.19999999999999</v>
      </c>
      <c r="AR286">
        <v>154.5</v>
      </c>
      <c r="AT286">
        <v>159.80000000000001</v>
      </c>
    </row>
    <row r="287" spans="1:46" x14ac:dyDescent="0.3">
      <c r="A287" t="s">
        <v>33</v>
      </c>
      <c r="B287">
        <v>2020</v>
      </c>
      <c r="C287" t="s">
        <v>45</v>
      </c>
      <c r="D287">
        <v>149.69999999999999</v>
      </c>
      <c r="F287">
        <v>195.5</v>
      </c>
      <c r="H287">
        <v>176.9</v>
      </c>
      <c r="I287">
        <v>153.9</v>
      </c>
      <c r="J287">
        <v>138</v>
      </c>
      <c r="K287">
        <v>150.5</v>
      </c>
      <c r="L287">
        <v>245.3</v>
      </c>
      <c r="M287">
        <v>158.69999999999999</v>
      </c>
      <c r="N287">
        <v>117.2</v>
      </c>
      <c r="O287">
        <v>161.4</v>
      </c>
      <c r="P287">
        <v>141.5</v>
      </c>
      <c r="Q287">
        <v>165.1</v>
      </c>
      <c r="S287">
        <v>167</v>
      </c>
      <c r="T287">
        <v>188.8</v>
      </c>
      <c r="V287">
        <v>151.1</v>
      </c>
      <c r="X287">
        <v>136.4</v>
      </c>
      <c r="Z287">
        <v>148.80000000000001</v>
      </c>
      <c r="AB287">
        <v>158</v>
      </c>
      <c r="AC287">
        <f t="shared" ref="AC287:AC288" si="208">AB287</f>
        <v>158</v>
      </c>
      <c r="AE287">
        <v>137.30000000000001</v>
      </c>
      <c r="AG287">
        <v>145.1</v>
      </c>
      <c r="AI287">
        <v>152</v>
      </c>
      <c r="AJ287">
        <v>135.19999999999999</v>
      </c>
      <c r="AL287">
        <v>144.4</v>
      </c>
      <c r="AN287">
        <v>156.4</v>
      </c>
      <c r="AP287">
        <v>157.9</v>
      </c>
      <c r="AR287">
        <v>146.6</v>
      </c>
      <c r="AT287">
        <v>156.69999999999999</v>
      </c>
    </row>
    <row r="288" spans="1:46" x14ac:dyDescent="0.3">
      <c r="A288" t="s">
        <v>34</v>
      </c>
      <c r="B288">
        <v>2020</v>
      </c>
      <c r="C288" t="s">
        <v>45</v>
      </c>
      <c r="D288">
        <v>146.80000000000001</v>
      </c>
      <c r="F288">
        <v>191</v>
      </c>
      <c r="H288">
        <v>173.6</v>
      </c>
      <c r="I288">
        <v>153.80000000000001</v>
      </c>
      <c r="J288">
        <v>142.69999999999999</v>
      </c>
      <c r="K288">
        <v>148.4</v>
      </c>
      <c r="L288">
        <v>230</v>
      </c>
      <c r="M288">
        <v>156.80000000000001</v>
      </c>
      <c r="N288">
        <v>115.7</v>
      </c>
      <c r="O288">
        <v>161.80000000000001</v>
      </c>
      <c r="P288">
        <v>146.5</v>
      </c>
      <c r="Q288">
        <v>163.80000000000001</v>
      </c>
      <c r="S288">
        <v>164.7</v>
      </c>
      <c r="T288">
        <v>184.8</v>
      </c>
      <c r="V288">
        <v>154.30000000000001</v>
      </c>
      <c r="X288">
        <v>144.9</v>
      </c>
      <c r="Z288">
        <v>152.80000000000001</v>
      </c>
      <c r="AB288">
        <v>158</v>
      </c>
      <c r="AC288">
        <f t="shared" si="208"/>
        <v>158</v>
      </c>
      <c r="AE288">
        <v>143.6</v>
      </c>
      <c r="AG288">
        <v>149.19999999999999</v>
      </c>
      <c r="AI288">
        <v>157.19999999999999</v>
      </c>
      <c r="AJ288">
        <v>140.4</v>
      </c>
      <c r="AL288">
        <v>148.4</v>
      </c>
      <c r="AN288">
        <v>158.6</v>
      </c>
      <c r="AP288">
        <v>156.9</v>
      </c>
      <c r="AR288">
        <v>150.69999999999999</v>
      </c>
      <c r="AT288">
        <v>158.4</v>
      </c>
    </row>
    <row r="289" spans="1:46" x14ac:dyDescent="0.3">
      <c r="A289" t="s">
        <v>30</v>
      </c>
      <c r="B289">
        <v>2020</v>
      </c>
      <c r="C289" t="s">
        <v>46</v>
      </c>
      <c r="D289">
        <v>144.6</v>
      </c>
      <c r="F289">
        <v>188.5</v>
      </c>
      <c r="H289">
        <v>173.4</v>
      </c>
      <c r="I289">
        <v>154</v>
      </c>
      <c r="J289">
        <v>150</v>
      </c>
      <c r="K289">
        <v>145.9</v>
      </c>
      <c r="L289">
        <v>225.2</v>
      </c>
      <c r="M289">
        <v>159.5</v>
      </c>
      <c r="N289">
        <v>114.4</v>
      </c>
      <c r="O289">
        <v>163.5</v>
      </c>
      <c r="P289">
        <v>153.4</v>
      </c>
      <c r="Q289">
        <v>163.6</v>
      </c>
      <c r="S289">
        <v>164.5</v>
      </c>
      <c r="T289">
        <v>183.6</v>
      </c>
      <c r="V289">
        <v>157</v>
      </c>
      <c r="X289">
        <v>151.6</v>
      </c>
      <c r="Z289">
        <v>156.30000000000001</v>
      </c>
      <c r="AB289" t="s">
        <v>32</v>
      </c>
      <c r="AC289">
        <f t="shared" ref="AC289" si="209">AB290</f>
        <v>158.4</v>
      </c>
      <c r="AE289">
        <v>148.69999999999999</v>
      </c>
      <c r="AG289">
        <v>153.4</v>
      </c>
      <c r="AI289">
        <v>161.6</v>
      </c>
      <c r="AJ289">
        <v>146.4</v>
      </c>
      <c r="AL289">
        <v>153.9</v>
      </c>
      <c r="AN289">
        <v>162.9</v>
      </c>
      <c r="AP289">
        <v>156.6</v>
      </c>
      <c r="AR289">
        <v>155.19999999999999</v>
      </c>
      <c r="AT289">
        <v>160.69999999999999</v>
      </c>
    </row>
    <row r="290" spans="1:46" x14ac:dyDescent="0.3">
      <c r="A290" t="s">
        <v>33</v>
      </c>
      <c r="B290">
        <v>2020</v>
      </c>
      <c r="C290" t="s">
        <v>46</v>
      </c>
      <c r="D290">
        <v>149</v>
      </c>
      <c r="F290">
        <v>195.7</v>
      </c>
      <c r="H290">
        <v>178.3</v>
      </c>
      <c r="I290">
        <v>154.19999999999999</v>
      </c>
      <c r="J290">
        <v>140.69999999999999</v>
      </c>
      <c r="K290">
        <v>149.69999999999999</v>
      </c>
      <c r="L290">
        <v>240.9</v>
      </c>
      <c r="M290">
        <v>161.5</v>
      </c>
      <c r="N290">
        <v>117.1</v>
      </c>
      <c r="O290">
        <v>161.9</v>
      </c>
      <c r="P290">
        <v>143.30000000000001</v>
      </c>
      <c r="Q290">
        <v>166.1</v>
      </c>
      <c r="S290">
        <v>167</v>
      </c>
      <c r="T290">
        <v>190.2</v>
      </c>
      <c r="V290">
        <v>151.9</v>
      </c>
      <c r="X290">
        <v>136.69999999999999</v>
      </c>
      <c r="Z290">
        <v>149.6</v>
      </c>
      <c r="AB290">
        <v>158.4</v>
      </c>
      <c r="AC290">
        <f t="shared" ref="AC290:AC291" si="210">AB290</f>
        <v>158.4</v>
      </c>
      <c r="AE290">
        <v>137.9</v>
      </c>
      <c r="AG290">
        <v>145.5</v>
      </c>
      <c r="AI290">
        <v>152.9</v>
      </c>
      <c r="AJ290">
        <v>135.5</v>
      </c>
      <c r="AL290">
        <v>144.30000000000001</v>
      </c>
      <c r="AN290">
        <v>156.9</v>
      </c>
      <c r="AP290">
        <v>157.9</v>
      </c>
      <c r="AR290">
        <v>146.9</v>
      </c>
      <c r="AT290">
        <v>156.9</v>
      </c>
    </row>
    <row r="291" spans="1:46" x14ac:dyDescent="0.3">
      <c r="A291" t="s">
        <v>34</v>
      </c>
      <c r="B291">
        <v>2020</v>
      </c>
      <c r="C291" t="s">
        <v>46</v>
      </c>
      <c r="D291">
        <v>146</v>
      </c>
      <c r="F291">
        <v>191</v>
      </c>
      <c r="H291">
        <v>175.3</v>
      </c>
      <c r="I291">
        <v>154.1</v>
      </c>
      <c r="J291">
        <v>146.6</v>
      </c>
      <c r="K291">
        <v>147.69999999999999</v>
      </c>
      <c r="L291">
        <v>230.5</v>
      </c>
      <c r="M291">
        <v>160.19999999999999</v>
      </c>
      <c r="N291">
        <v>115.3</v>
      </c>
      <c r="O291">
        <v>163</v>
      </c>
      <c r="P291">
        <v>149.19999999999999</v>
      </c>
      <c r="Q291">
        <v>164.8</v>
      </c>
      <c r="S291">
        <v>165.4</v>
      </c>
      <c r="T291">
        <v>185.4</v>
      </c>
      <c r="V291">
        <v>155</v>
      </c>
      <c r="X291">
        <v>145.4</v>
      </c>
      <c r="Z291">
        <v>153.6</v>
      </c>
      <c r="AB291">
        <v>158.4</v>
      </c>
      <c r="AC291">
        <f t="shared" si="210"/>
        <v>158.4</v>
      </c>
      <c r="AE291">
        <v>144.6</v>
      </c>
      <c r="AG291">
        <v>149.69999999999999</v>
      </c>
      <c r="AI291">
        <v>158.30000000000001</v>
      </c>
      <c r="AJ291">
        <v>140.69999999999999</v>
      </c>
      <c r="AL291">
        <v>148.5</v>
      </c>
      <c r="AN291">
        <v>159.4</v>
      </c>
      <c r="AP291">
        <v>157.1</v>
      </c>
      <c r="AR291">
        <v>151.19999999999999</v>
      </c>
      <c r="AT291">
        <v>158.9</v>
      </c>
    </row>
    <row r="292" spans="1:46" x14ac:dyDescent="0.3">
      <c r="A292" t="s">
        <v>30</v>
      </c>
      <c r="B292">
        <v>2021</v>
      </c>
      <c r="C292" t="s">
        <v>31</v>
      </c>
      <c r="D292">
        <v>143.4</v>
      </c>
      <c r="F292">
        <v>187.5</v>
      </c>
      <c r="H292">
        <v>173.4</v>
      </c>
      <c r="I292">
        <v>154</v>
      </c>
      <c r="J292">
        <v>154.80000000000001</v>
      </c>
      <c r="K292">
        <v>147</v>
      </c>
      <c r="L292">
        <v>187.8</v>
      </c>
      <c r="M292">
        <v>159.5</v>
      </c>
      <c r="N292">
        <v>113.8</v>
      </c>
      <c r="O292">
        <v>164.5</v>
      </c>
      <c r="P292">
        <v>156.1</v>
      </c>
      <c r="Q292">
        <v>164.3</v>
      </c>
      <c r="S292">
        <v>159.6</v>
      </c>
      <c r="T292">
        <v>184.6</v>
      </c>
      <c r="V292">
        <v>157.5</v>
      </c>
      <c r="X292">
        <v>152.4</v>
      </c>
      <c r="Z292">
        <v>156.80000000000001</v>
      </c>
      <c r="AB292" t="s">
        <v>32</v>
      </c>
      <c r="AC292">
        <f t="shared" ref="AC292" si="211">AB293</f>
        <v>157.69999999999999</v>
      </c>
      <c r="AE292">
        <v>150.9</v>
      </c>
      <c r="AG292">
        <v>153.9</v>
      </c>
      <c r="AI292">
        <v>162.5</v>
      </c>
      <c r="AJ292">
        <v>147.5</v>
      </c>
      <c r="AL292">
        <v>155.1</v>
      </c>
      <c r="AN292">
        <v>163.5</v>
      </c>
      <c r="AP292">
        <v>156.19999999999999</v>
      </c>
      <c r="AR292">
        <v>155.9</v>
      </c>
      <c r="AT292">
        <v>158.5</v>
      </c>
    </row>
    <row r="293" spans="1:46" x14ac:dyDescent="0.3">
      <c r="A293" t="s">
        <v>33</v>
      </c>
      <c r="B293">
        <v>2021</v>
      </c>
      <c r="C293" t="s">
        <v>31</v>
      </c>
      <c r="D293">
        <v>148</v>
      </c>
      <c r="F293">
        <v>194.8</v>
      </c>
      <c r="H293">
        <v>178.4</v>
      </c>
      <c r="I293">
        <v>154.4</v>
      </c>
      <c r="J293">
        <v>144.1</v>
      </c>
      <c r="K293">
        <v>152.6</v>
      </c>
      <c r="L293">
        <v>206.8</v>
      </c>
      <c r="M293">
        <v>162.1</v>
      </c>
      <c r="N293">
        <v>116.3</v>
      </c>
      <c r="O293">
        <v>163</v>
      </c>
      <c r="P293">
        <v>145.9</v>
      </c>
      <c r="Q293">
        <v>167.2</v>
      </c>
      <c r="S293">
        <v>163.4</v>
      </c>
      <c r="T293">
        <v>191.8</v>
      </c>
      <c r="V293">
        <v>152.5</v>
      </c>
      <c r="X293">
        <v>137.30000000000001</v>
      </c>
      <c r="Z293">
        <v>150.19999999999999</v>
      </c>
      <c r="AB293">
        <v>157.69999999999999</v>
      </c>
      <c r="AC293">
        <f t="shared" ref="AC293:AC294" si="212">AB293</f>
        <v>157.69999999999999</v>
      </c>
      <c r="AE293">
        <v>142.9</v>
      </c>
      <c r="AG293">
        <v>145.69999999999999</v>
      </c>
      <c r="AI293">
        <v>154.1</v>
      </c>
      <c r="AJ293">
        <v>136.9</v>
      </c>
      <c r="AL293">
        <v>145.4</v>
      </c>
      <c r="AN293">
        <v>156.1</v>
      </c>
      <c r="AP293">
        <v>157.69999999999999</v>
      </c>
      <c r="AR293">
        <v>147.6</v>
      </c>
      <c r="AT293">
        <v>156</v>
      </c>
    </row>
    <row r="294" spans="1:46" x14ac:dyDescent="0.3">
      <c r="A294" t="s">
        <v>34</v>
      </c>
      <c r="B294">
        <v>2021</v>
      </c>
      <c r="C294" t="s">
        <v>31</v>
      </c>
      <c r="D294">
        <v>144.9</v>
      </c>
      <c r="F294">
        <v>190.1</v>
      </c>
      <c r="H294">
        <v>175.3</v>
      </c>
      <c r="I294">
        <v>154.1</v>
      </c>
      <c r="J294">
        <v>150.9</v>
      </c>
      <c r="K294">
        <v>149.6</v>
      </c>
      <c r="L294">
        <v>194.2</v>
      </c>
      <c r="M294">
        <v>160.4</v>
      </c>
      <c r="N294">
        <v>114.6</v>
      </c>
      <c r="O294">
        <v>164</v>
      </c>
      <c r="P294">
        <v>151.80000000000001</v>
      </c>
      <c r="Q294">
        <v>165.6</v>
      </c>
      <c r="S294">
        <v>161</v>
      </c>
      <c r="T294">
        <v>186.5</v>
      </c>
      <c r="V294">
        <v>155.5</v>
      </c>
      <c r="X294">
        <v>146.1</v>
      </c>
      <c r="Z294">
        <v>154.19999999999999</v>
      </c>
      <c r="AB294">
        <v>157.69999999999999</v>
      </c>
      <c r="AC294">
        <f t="shared" si="212"/>
        <v>157.69999999999999</v>
      </c>
      <c r="AE294">
        <v>147.9</v>
      </c>
      <c r="AG294">
        <v>150</v>
      </c>
      <c r="AI294">
        <v>159.30000000000001</v>
      </c>
      <c r="AJ294">
        <v>141.9</v>
      </c>
      <c r="AL294">
        <v>149.6</v>
      </c>
      <c r="AN294">
        <v>159.19999999999999</v>
      </c>
      <c r="AP294">
        <v>156.80000000000001</v>
      </c>
      <c r="AR294">
        <v>151.9</v>
      </c>
      <c r="AT294">
        <v>157.30000000000001</v>
      </c>
    </row>
    <row r="295" spans="1:46" x14ac:dyDescent="0.3">
      <c r="A295" t="s">
        <v>30</v>
      </c>
      <c r="B295">
        <v>2021</v>
      </c>
      <c r="C295" t="s">
        <v>35</v>
      </c>
      <c r="D295">
        <v>142.80000000000001</v>
      </c>
      <c r="F295">
        <v>184</v>
      </c>
      <c r="H295">
        <v>168</v>
      </c>
      <c r="I295">
        <v>154.4</v>
      </c>
      <c r="J295">
        <v>163</v>
      </c>
      <c r="K295">
        <v>147.80000000000001</v>
      </c>
      <c r="L295">
        <v>149.69999999999999</v>
      </c>
      <c r="M295">
        <v>158.30000000000001</v>
      </c>
      <c r="N295">
        <v>111.8</v>
      </c>
      <c r="O295">
        <v>165</v>
      </c>
      <c r="P295">
        <v>160</v>
      </c>
      <c r="Q295">
        <v>165.8</v>
      </c>
      <c r="S295">
        <v>154.69999999999999</v>
      </c>
      <c r="T295">
        <v>186.5</v>
      </c>
      <c r="V295">
        <v>159.1</v>
      </c>
      <c r="X295">
        <v>153.9</v>
      </c>
      <c r="Z295">
        <v>158.4</v>
      </c>
      <c r="AB295" t="s">
        <v>32</v>
      </c>
      <c r="AC295">
        <f t="shared" ref="AC295" si="213">AB296</f>
        <v>159.80000000000001</v>
      </c>
      <c r="AE295">
        <v>154.4</v>
      </c>
      <c r="AG295">
        <v>154.80000000000001</v>
      </c>
      <c r="AI295">
        <v>164.3</v>
      </c>
      <c r="AJ295">
        <v>150.19999999999999</v>
      </c>
      <c r="AL295">
        <v>157</v>
      </c>
      <c r="AN295">
        <v>163.6</v>
      </c>
      <c r="AP295">
        <v>155.19999999999999</v>
      </c>
      <c r="AR295">
        <v>157.19999999999999</v>
      </c>
      <c r="AT295">
        <v>156.69999999999999</v>
      </c>
    </row>
    <row r="296" spans="1:46" x14ac:dyDescent="0.3">
      <c r="A296" t="s">
        <v>33</v>
      </c>
      <c r="B296">
        <v>2021</v>
      </c>
      <c r="C296" t="s">
        <v>35</v>
      </c>
      <c r="D296">
        <v>147.6</v>
      </c>
      <c r="F296">
        <v>191.2</v>
      </c>
      <c r="H296">
        <v>169.9</v>
      </c>
      <c r="I296">
        <v>155.1</v>
      </c>
      <c r="J296">
        <v>151.4</v>
      </c>
      <c r="K296">
        <v>154</v>
      </c>
      <c r="L296">
        <v>180.2</v>
      </c>
      <c r="M296">
        <v>159.80000000000001</v>
      </c>
      <c r="N296">
        <v>114.9</v>
      </c>
      <c r="O296">
        <v>162.5</v>
      </c>
      <c r="P296">
        <v>149.19999999999999</v>
      </c>
      <c r="Q296">
        <v>169.4</v>
      </c>
      <c r="S296">
        <v>160.80000000000001</v>
      </c>
      <c r="T296">
        <v>193.3</v>
      </c>
      <c r="V296">
        <v>154.19999999999999</v>
      </c>
      <c r="X296">
        <v>138.19999999999999</v>
      </c>
      <c r="Z296">
        <v>151.80000000000001</v>
      </c>
      <c r="AB296">
        <v>159.80000000000001</v>
      </c>
      <c r="AC296">
        <f t="shared" ref="AC296:AC297" si="214">AB296</f>
        <v>159.80000000000001</v>
      </c>
      <c r="AE296">
        <v>149.1</v>
      </c>
      <c r="AG296">
        <v>146.5</v>
      </c>
      <c r="AI296">
        <v>156.30000000000001</v>
      </c>
      <c r="AJ296">
        <v>140.5</v>
      </c>
      <c r="AL296">
        <v>147.30000000000001</v>
      </c>
      <c r="AN296">
        <v>156.6</v>
      </c>
      <c r="AP296">
        <v>156.69999999999999</v>
      </c>
      <c r="AR296">
        <v>149.30000000000001</v>
      </c>
      <c r="AT296">
        <v>156.5</v>
      </c>
    </row>
    <row r="297" spans="1:46" x14ac:dyDescent="0.3">
      <c r="A297" t="s">
        <v>34</v>
      </c>
      <c r="B297">
        <v>2021</v>
      </c>
      <c r="C297" t="s">
        <v>35</v>
      </c>
      <c r="D297">
        <v>144.30000000000001</v>
      </c>
      <c r="F297">
        <v>186.5</v>
      </c>
      <c r="H297">
        <v>168.7</v>
      </c>
      <c r="I297">
        <v>154.69999999999999</v>
      </c>
      <c r="J297">
        <v>158.69999999999999</v>
      </c>
      <c r="K297">
        <v>150.69999999999999</v>
      </c>
      <c r="L297">
        <v>160</v>
      </c>
      <c r="M297">
        <v>158.80000000000001</v>
      </c>
      <c r="N297">
        <v>112.8</v>
      </c>
      <c r="O297">
        <v>164.2</v>
      </c>
      <c r="P297">
        <v>155.5</v>
      </c>
      <c r="Q297">
        <v>167.5</v>
      </c>
      <c r="S297">
        <v>156.9</v>
      </c>
      <c r="T297">
        <v>188.3</v>
      </c>
      <c r="V297">
        <v>157.19999999999999</v>
      </c>
      <c r="X297">
        <v>147.4</v>
      </c>
      <c r="Z297">
        <v>155.80000000000001</v>
      </c>
      <c r="AB297">
        <v>159.80000000000001</v>
      </c>
      <c r="AC297">
        <f t="shared" si="214"/>
        <v>159.80000000000001</v>
      </c>
      <c r="AE297">
        <v>152.4</v>
      </c>
      <c r="AG297">
        <v>150.9</v>
      </c>
      <c r="AI297">
        <v>161.30000000000001</v>
      </c>
      <c r="AJ297">
        <v>145.1</v>
      </c>
      <c r="AL297">
        <v>151.5</v>
      </c>
      <c r="AN297">
        <v>159.5</v>
      </c>
      <c r="AP297">
        <v>155.80000000000001</v>
      </c>
      <c r="AR297">
        <v>153.4</v>
      </c>
      <c r="AT297">
        <v>156.6</v>
      </c>
    </row>
    <row r="298" spans="1:46" x14ac:dyDescent="0.3">
      <c r="A298" t="s">
        <v>30</v>
      </c>
      <c r="B298">
        <v>2021</v>
      </c>
      <c r="C298" t="s">
        <v>36</v>
      </c>
      <c r="D298">
        <v>142.5</v>
      </c>
      <c r="F298">
        <v>189.4</v>
      </c>
      <c r="H298">
        <v>163.19999999999999</v>
      </c>
      <c r="I298">
        <v>154.5</v>
      </c>
      <c r="J298">
        <v>168.2</v>
      </c>
      <c r="K298">
        <v>150.5</v>
      </c>
      <c r="L298">
        <v>141</v>
      </c>
      <c r="M298">
        <v>159.19999999999999</v>
      </c>
      <c r="N298">
        <v>111.7</v>
      </c>
      <c r="O298">
        <v>164</v>
      </c>
      <c r="P298">
        <v>160.6</v>
      </c>
      <c r="Q298">
        <v>166.4</v>
      </c>
      <c r="S298">
        <v>154.5</v>
      </c>
      <c r="T298">
        <v>186.1</v>
      </c>
      <c r="V298">
        <v>159.6</v>
      </c>
      <c r="X298">
        <v>154.4</v>
      </c>
      <c r="Z298">
        <v>158.9</v>
      </c>
      <c r="AB298" t="s">
        <v>48</v>
      </c>
      <c r="AC298">
        <f t="shared" ref="AC298" si="215">AB299</f>
        <v>159.9</v>
      </c>
      <c r="AE298">
        <v>156</v>
      </c>
      <c r="AG298">
        <v>154.80000000000001</v>
      </c>
      <c r="AI298">
        <v>164.6</v>
      </c>
      <c r="AJ298">
        <v>151.30000000000001</v>
      </c>
      <c r="AL298">
        <v>157.80000000000001</v>
      </c>
      <c r="AN298">
        <v>163.80000000000001</v>
      </c>
      <c r="AP298">
        <v>153.1</v>
      </c>
      <c r="AR298">
        <v>157.30000000000001</v>
      </c>
      <c r="AT298">
        <v>156.69999999999999</v>
      </c>
    </row>
    <row r="299" spans="1:46" x14ac:dyDescent="0.3">
      <c r="A299" t="s">
        <v>33</v>
      </c>
      <c r="B299">
        <v>2021</v>
      </c>
      <c r="C299" t="s">
        <v>36</v>
      </c>
      <c r="D299">
        <v>147.5</v>
      </c>
      <c r="F299">
        <v>197.5</v>
      </c>
      <c r="H299">
        <v>164.7</v>
      </c>
      <c r="I299">
        <v>155.6</v>
      </c>
      <c r="J299">
        <v>156.4</v>
      </c>
      <c r="K299">
        <v>157.30000000000001</v>
      </c>
      <c r="L299">
        <v>166.1</v>
      </c>
      <c r="M299">
        <v>161.1</v>
      </c>
      <c r="N299">
        <v>114.3</v>
      </c>
      <c r="O299">
        <v>162.6</v>
      </c>
      <c r="P299">
        <v>150.69999999999999</v>
      </c>
      <c r="Q299">
        <v>170.3</v>
      </c>
      <c r="S299">
        <v>160.4</v>
      </c>
      <c r="T299">
        <v>193.5</v>
      </c>
      <c r="V299">
        <v>155.1</v>
      </c>
      <c r="X299">
        <v>138.69999999999999</v>
      </c>
      <c r="Z299">
        <v>152.6</v>
      </c>
      <c r="AB299">
        <v>159.9</v>
      </c>
      <c r="AC299">
        <f t="shared" ref="AC299:AC300" si="216">AB299</f>
        <v>159.9</v>
      </c>
      <c r="AE299">
        <v>154.80000000000001</v>
      </c>
      <c r="AG299">
        <v>147.19999999999999</v>
      </c>
      <c r="AI299">
        <v>156.9</v>
      </c>
      <c r="AJ299">
        <v>141.69999999999999</v>
      </c>
      <c r="AL299">
        <v>148.6</v>
      </c>
      <c r="AN299">
        <v>157.6</v>
      </c>
      <c r="AP299">
        <v>154.9</v>
      </c>
      <c r="AR299">
        <v>150</v>
      </c>
      <c r="AT299">
        <v>156.9</v>
      </c>
    </row>
    <row r="300" spans="1:46" x14ac:dyDescent="0.3">
      <c r="A300" t="s">
        <v>34</v>
      </c>
      <c r="B300">
        <v>2021</v>
      </c>
      <c r="C300" t="s">
        <v>36</v>
      </c>
      <c r="D300">
        <v>144.1</v>
      </c>
      <c r="F300">
        <v>192.2</v>
      </c>
      <c r="H300">
        <v>163.80000000000001</v>
      </c>
      <c r="I300">
        <v>154.9</v>
      </c>
      <c r="J300">
        <v>163.9</v>
      </c>
      <c r="K300">
        <v>153.69999999999999</v>
      </c>
      <c r="L300">
        <v>149.5</v>
      </c>
      <c r="M300">
        <v>159.80000000000001</v>
      </c>
      <c r="N300">
        <v>112.6</v>
      </c>
      <c r="O300">
        <v>163.5</v>
      </c>
      <c r="P300">
        <v>156.5</v>
      </c>
      <c r="Q300">
        <v>168.2</v>
      </c>
      <c r="S300">
        <v>156.69999999999999</v>
      </c>
      <c r="T300">
        <v>188.1</v>
      </c>
      <c r="V300">
        <v>157.80000000000001</v>
      </c>
      <c r="X300">
        <v>147.9</v>
      </c>
      <c r="Z300">
        <v>156.4</v>
      </c>
      <c r="AB300">
        <v>159.9</v>
      </c>
      <c r="AC300">
        <f t="shared" si="216"/>
        <v>159.9</v>
      </c>
      <c r="AE300">
        <v>155.5</v>
      </c>
      <c r="AG300">
        <v>151.19999999999999</v>
      </c>
      <c r="AI300">
        <v>161.69999999999999</v>
      </c>
      <c r="AJ300">
        <v>146.19999999999999</v>
      </c>
      <c r="AL300">
        <v>152.6</v>
      </c>
      <c r="AN300">
        <v>160.19999999999999</v>
      </c>
      <c r="AP300">
        <v>153.80000000000001</v>
      </c>
      <c r="AR300">
        <v>153.80000000000001</v>
      </c>
      <c r="AT300">
        <v>156.80000000000001</v>
      </c>
    </row>
    <row r="301" spans="1:46" x14ac:dyDescent="0.3">
      <c r="A301" t="s">
        <v>30</v>
      </c>
      <c r="B301">
        <v>2021</v>
      </c>
      <c r="C301" t="s">
        <v>37</v>
      </c>
      <c r="D301">
        <v>142.69999999999999</v>
      </c>
      <c r="F301">
        <v>195.5</v>
      </c>
      <c r="H301">
        <v>163.4</v>
      </c>
      <c r="I301">
        <v>155</v>
      </c>
      <c r="J301">
        <v>175.2</v>
      </c>
      <c r="K301">
        <v>160.6</v>
      </c>
      <c r="L301">
        <v>135.1</v>
      </c>
      <c r="M301">
        <v>161.1</v>
      </c>
      <c r="N301">
        <v>112.2</v>
      </c>
      <c r="O301">
        <v>164.4</v>
      </c>
      <c r="P301">
        <v>161.9</v>
      </c>
      <c r="Q301">
        <v>166.8</v>
      </c>
      <c r="S301">
        <v>155.6</v>
      </c>
      <c r="T301">
        <v>186.8</v>
      </c>
      <c r="V301">
        <v>160.69999999999999</v>
      </c>
      <c r="X301">
        <v>155.1</v>
      </c>
      <c r="Z301">
        <v>159.9</v>
      </c>
      <c r="AB301" t="s">
        <v>48</v>
      </c>
      <c r="AC301">
        <f t="shared" ref="AC301" si="217">AB302</f>
        <v>161.4</v>
      </c>
      <c r="AE301">
        <v>156</v>
      </c>
      <c r="AG301">
        <v>155.5</v>
      </c>
      <c r="AI301">
        <v>165.3</v>
      </c>
      <c r="AJ301">
        <v>151.69999999999999</v>
      </c>
      <c r="AL301">
        <v>158.6</v>
      </c>
      <c r="AN301">
        <v>164.1</v>
      </c>
      <c r="AP301">
        <v>154.6</v>
      </c>
      <c r="AR301">
        <v>158</v>
      </c>
      <c r="AT301">
        <v>157.6</v>
      </c>
    </row>
    <row r="302" spans="1:46" x14ac:dyDescent="0.3">
      <c r="A302" t="s">
        <v>33</v>
      </c>
      <c r="B302">
        <v>2021</v>
      </c>
      <c r="C302" t="s">
        <v>37</v>
      </c>
      <c r="D302">
        <v>147.6</v>
      </c>
      <c r="F302">
        <v>202.5</v>
      </c>
      <c r="H302">
        <v>166.4</v>
      </c>
      <c r="I302">
        <v>156</v>
      </c>
      <c r="J302">
        <v>161.4</v>
      </c>
      <c r="K302">
        <v>168.8</v>
      </c>
      <c r="L302">
        <v>161.6</v>
      </c>
      <c r="M302">
        <v>162.80000000000001</v>
      </c>
      <c r="N302">
        <v>114.8</v>
      </c>
      <c r="O302">
        <v>162.80000000000001</v>
      </c>
      <c r="P302">
        <v>151.5</v>
      </c>
      <c r="Q302">
        <v>171.4</v>
      </c>
      <c r="S302">
        <v>162</v>
      </c>
      <c r="T302">
        <v>194.4</v>
      </c>
      <c r="V302">
        <v>155.9</v>
      </c>
      <c r="X302">
        <v>139.30000000000001</v>
      </c>
      <c r="Z302">
        <v>153.4</v>
      </c>
      <c r="AB302">
        <v>161.4</v>
      </c>
      <c r="AC302">
        <f t="shared" ref="AC302:AC303" si="218">AB302</f>
        <v>161.4</v>
      </c>
      <c r="AE302">
        <v>154.9</v>
      </c>
      <c r="AG302">
        <v>147.6</v>
      </c>
      <c r="AI302">
        <v>157.5</v>
      </c>
      <c r="AJ302">
        <v>142.1</v>
      </c>
      <c r="AL302">
        <v>149.1</v>
      </c>
      <c r="AN302">
        <v>157.6</v>
      </c>
      <c r="AP302">
        <v>156.6</v>
      </c>
      <c r="AR302">
        <v>150.5</v>
      </c>
      <c r="AT302">
        <v>158</v>
      </c>
    </row>
    <row r="303" spans="1:46" x14ac:dyDescent="0.3">
      <c r="A303" t="s">
        <v>34</v>
      </c>
      <c r="B303">
        <v>2021</v>
      </c>
      <c r="C303" t="s">
        <v>37</v>
      </c>
      <c r="D303">
        <v>144.30000000000001</v>
      </c>
      <c r="F303">
        <v>198</v>
      </c>
      <c r="H303">
        <v>164.6</v>
      </c>
      <c r="I303">
        <v>155.4</v>
      </c>
      <c r="J303">
        <v>170.1</v>
      </c>
      <c r="K303">
        <v>164.4</v>
      </c>
      <c r="L303">
        <v>144.1</v>
      </c>
      <c r="M303">
        <v>161.69999999999999</v>
      </c>
      <c r="N303">
        <v>113.1</v>
      </c>
      <c r="O303">
        <v>163.9</v>
      </c>
      <c r="P303">
        <v>157.6</v>
      </c>
      <c r="Q303">
        <v>168.9</v>
      </c>
      <c r="S303">
        <v>158</v>
      </c>
      <c r="T303">
        <v>188.8</v>
      </c>
      <c r="V303">
        <v>158.80000000000001</v>
      </c>
      <c r="X303">
        <v>148.5</v>
      </c>
      <c r="Z303">
        <v>157.30000000000001</v>
      </c>
      <c r="AB303">
        <v>161.4</v>
      </c>
      <c r="AC303">
        <f t="shared" si="218"/>
        <v>161.4</v>
      </c>
      <c r="AE303">
        <v>155.6</v>
      </c>
      <c r="AG303">
        <v>151.80000000000001</v>
      </c>
      <c r="AI303">
        <v>162.30000000000001</v>
      </c>
      <c r="AJ303">
        <v>146.6</v>
      </c>
      <c r="AL303">
        <v>153.19999999999999</v>
      </c>
      <c r="AN303">
        <v>160.30000000000001</v>
      </c>
      <c r="AP303">
        <v>155.4</v>
      </c>
      <c r="AR303">
        <v>154.4</v>
      </c>
      <c r="AT303">
        <v>157.80000000000001</v>
      </c>
    </row>
    <row r="304" spans="1:46" x14ac:dyDescent="0.3">
      <c r="A304" t="s">
        <v>30</v>
      </c>
      <c r="B304">
        <v>2021</v>
      </c>
      <c r="C304" t="s">
        <v>38</v>
      </c>
      <c r="D304">
        <v>145.1</v>
      </c>
      <c r="F304">
        <v>198.5</v>
      </c>
      <c r="H304">
        <v>168.6</v>
      </c>
      <c r="I304">
        <v>155.80000000000001</v>
      </c>
      <c r="J304">
        <v>184.4</v>
      </c>
      <c r="K304">
        <v>162.30000000000001</v>
      </c>
      <c r="L304">
        <v>138.4</v>
      </c>
      <c r="M304">
        <v>165.1</v>
      </c>
      <c r="N304">
        <v>114.3</v>
      </c>
      <c r="O304">
        <v>169.7</v>
      </c>
      <c r="P304">
        <v>164.6</v>
      </c>
      <c r="Q304">
        <v>169.8</v>
      </c>
      <c r="S304">
        <v>158.69999999999999</v>
      </c>
      <c r="T304">
        <v>189.6</v>
      </c>
      <c r="V304">
        <v>165.3</v>
      </c>
      <c r="X304">
        <v>160.6</v>
      </c>
      <c r="Z304">
        <v>164.5</v>
      </c>
      <c r="AB304" t="s">
        <v>32</v>
      </c>
      <c r="AC304">
        <f t="shared" ref="AC304" si="219">AB305</f>
        <v>161.6</v>
      </c>
      <c r="AE304">
        <v>161.69999999999999</v>
      </c>
      <c r="AG304">
        <v>158.80000000000001</v>
      </c>
      <c r="AI304">
        <v>169.1</v>
      </c>
      <c r="AJ304">
        <v>153.19999999999999</v>
      </c>
      <c r="AL304">
        <v>160</v>
      </c>
      <c r="AN304">
        <v>167.6</v>
      </c>
      <c r="AP304">
        <v>159.30000000000001</v>
      </c>
      <c r="AR304">
        <v>161.1</v>
      </c>
      <c r="AT304">
        <v>161.1</v>
      </c>
    </row>
    <row r="305" spans="1:46" x14ac:dyDescent="0.3">
      <c r="A305" t="s">
        <v>33</v>
      </c>
      <c r="B305">
        <v>2021</v>
      </c>
      <c r="C305" t="s">
        <v>38</v>
      </c>
      <c r="D305">
        <v>148.80000000000001</v>
      </c>
      <c r="F305">
        <v>204.3</v>
      </c>
      <c r="H305">
        <v>173</v>
      </c>
      <c r="I305">
        <v>156.5</v>
      </c>
      <c r="J305">
        <v>168.8</v>
      </c>
      <c r="K305">
        <v>172.5</v>
      </c>
      <c r="L305">
        <v>166.5</v>
      </c>
      <c r="M305">
        <v>165.9</v>
      </c>
      <c r="N305">
        <v>115.9</v>
      </c>
      <c r="O305">
        <v>165.2</v>
      </c>
      <c r="P305">
        <v>152</v>
      </c>
      <c r="Q305">
        <v>171.1</v>
      </c>
      <c r="S305">
        <v>164.2</v>
      </c>
      <c r="T305">
        <v>198.2</v>
      </c>
      <c r="V305">
        <v>156.5</v>
      </c>
      <c r="X305">
        <v>140.19999999999999</v>
      </c>
      <c r="Z305">
        <v>154.1</v>
      </c>
      <c r="AB305">
        <v>161.6</v>
      </c>
      <c r="AC305">
        <f t="shared" ref="AC305:AC306" si="220">AB305</f>
        <v>161.6</v>
      </c>
      <c r="AE305">
        <v>155.5</v>
      </c>
      <c r="AG305">
        <v>150.1</v>
      </c>
      <c r="AI305">
        <v>160.4</v>
      </c>
      <c r="AJ305">
        <v>145</v>
      </c>
      <c r="AL305">
        <v>152.6</v>
      </c>
      <c r="AN305">
        <v>156.6</v>
      </c>
      <c r="AP305">
        <v>157.5</v>
      </c>
      <c r="AR305">
        <v>152.30000000000001</v>
      </c>
      <c r="AT305">
        <v>159.5</v>
      </c>
    </row>
    <row r="306" spans="1:46" x14ac:dyDescent="0.3">
      <c r="A306" t="s">
        <v>34</v>
      </c>
      <c r="B306">
        <v>2021</v>
      </c>
      <c r="C306" t="s">
        <v>38</v>
      </c>
      <c r="D306">
        <v>146.30000000000001</v>
      </c>
      <c r="F306">
        <v>200.5</v>
      </c>
      <c r="H306">
        <v>170.3</v>
      </c>
      <c r="I306">
        <v>156.1</v>
      </c>
      <c r="J306">
        <v>178.7</v>
      </c>
      <c r="K306">
        <v>167.1</v>
      </c>
      <c r="L306">
        <v>147.9</v>
      </c>
      <c r="M306">
        <v>165.4</v>
      </c>
      <c r="N306">
        <v>114.8</v>
      </c>
      <c r="O306">
        <v>168.2</v>
      </c>
      <c r="P306">
        <v>159.30000000000001</v>
      </c>
      <c r="Q306">
        <v>170.4</v>
      </c>
      <c r="S306">
        <v>160.69999999999999</v>
      </c>
      <c r="T306">
        <v>191.9</v>
      </c>
      <c r="V306">
        <v>161.80000000000001</v>
      </c>
      <c r="X306">
        <v>152.1</v>
      </c>
      <c r="Z306">
        <v>160.4</v>
      </c>
      <c r="AB306">
        <v>161.6</v>
      </c>
      <c r="AC306">
        <f t="shared" si="220"/>
        <v>161.6</v>
      </c>
      <c r="AE306">
        <v>159.4</v>
      </c>
      <c r="AG306">
        <v>154.69999999999999</v>
      </c>
      <c r="AI306">
        <v>165.8</v>
      </c>
      <c r="AJ306">
        <v>148.9</v>
      </c>
      <c r="AL306">
        <v>155.80000000000001</v>
      </c>
      <c r="AN306">
        <v>161.19999999999999</v>
      </c>
      <c r="AP306">
        <v>158.6</v>
      </c>
      <c r="AR306">
        <v>156.80000000000001</v>
      </c>
      <c r="AT306">
        <v>160.4</v>
      </c>
    </row>
    <row r="307" spans="1:46" x14ac:dyDescent="0.3">
      <c r="A307" t="s">
        <v>30</v>
      </c>
      <c r="B307">
        <v>2021</v>
      </c>
      <c r="C307" t="s">
        <v>39</v>
      </c>
      <c r="D307">
        <v>145.6</v>
      </c>
      <c r="F307">
        <v>200.1</v>
      </c>
      <c r="H307">
        <v>179.3</v>
      </c>
      <c r="I307">
        <v>156.1</v>
      </c>
      <c r="J307">
        <v>190.4</v>
      </c>
      <c r="K307">
        <v>158.6</v>
      </c>
      <c r="L307">
        <v>144.69999999999999</v>
      </c>
      <c r="M307">
        <v>165.5</v>
      </c>
      <c r="N307">
        <v>114.6</v>
      </c>
      <c r="O307">
        <v>170</v>
      </c>
      <c r="P307">
        <v>165.5</v>
      </c>
      <c r="Q307">
        <v>171.7</v>
      </c>
      <c r="S307">
        <v>160.5</v>
      </c>
      <c r="T307">
        <v>189.1</v>
      </c>
      <c r="V307">
        <v>165.3</v>
      </c>
      <c r="X307">
        <v>159.9</v>
      </c>
      <c r="Z307">
        <v>164.6</v>
      </c>
      <c r="AB307" t="s">
        <v>32</v>
      </c>
      <c r="AC307">
        <f t="shared" ref="AC307" si="221">AB308</f>
        <v>160.5</v>
      </c>
      <c r="AE307">
        <v>162.1</v>
      </c>
      <c r="AG307">
        <v>159.19999999999999</v>
      </c>
      <c r="AI307">
        <v>169.7</v>
      </c>
      <c r="AJ307">
        <v>154.19999999999999</v>
      </c>
      <c r="AL307">
        <v>160.4</v>
      </c>
      <c r="AN307">
        <v>166.8</v>
      </c>
      <c r="AP307">
        <v>159.4</v>
      </c>
      <c r="AR307">
        <v>161.5</v>
      </c>
      <c r="AT307">
        <v>162.1</v>
      </c>
    </row>
    <row r="308" spans="1:46" x14ac:dyDescent="0.3">
      <c r="A308" t="s">
        <v>33</v>
      </c>
      <c r="B308">
        <v>2021</v>
      </c>
      <c r="C308" t="s">
        <v>39</v>
      </c>
      <c r="D308">
        <v>149.19999999999999</v>
      </c>
      <c r="F308">
        <v>205.5</v>
      </c>
      <c r="H308">
        <v>182.8</v>
      </c>
      <c r="I308">
        <v>156.5</v>
      </c>
      <c r="J308">
        <v>172.2</v>
      </c>
      <c r="K308">
        <v>171.5</v>
      </c>
      <c r="L308">
        <v>176.2</v>
      </c>
      <c r="M308">
        <v>166.9</v>
      </c>
      <c r="N308">
        <v>116.1</v>
      </c>
      <c r="O308">
        <v>165.5</v>
      </c>
      <c r="P308">
        <v>152.30000000000001</v>
      </c>
      <c r="Q308">
        <v>173.3</v>
      </c>
      <c r="S308">
        <v>166.2</v>
      </c>
      <c r="T308">
        <v>195.6</v>
      </c>
      <c r="V308">
        <v>157.30000000000001</v>
      </c>
      <c r="X308">
        <v>140.5</v>
      </c>
      <c r="Z308">
        <v>154.80000000000001</v>
      </c>
      <c r="AB308">
        <v>160.5</v>
      </c>
      <c r="AC308">
        <f t="shared" ref="AC308:AC309" si="222">AB308</f>
        <v>160.5</v>
      </c>
      <c r="AE308">
        <v>156.1</v>
      </c>
      <c r="AG308">
        <v>149.80000000000001</v>
      </c>
      <c r="AI308">
        <v>160.80000000000001</v>
      </c>
      <c r="AJ308">
        <v>147.5</v>
      </c>
      <c r="AL308">
        <v>150.69999999999999</v>
      </c>
      <c r="AN308">
        <v>158.1</v>
      </c>
      <c r="AP308">
        <v>158</v>
      </c>
      <c r="AR308">
        <v>153.4</v>
      </c>
      <c r="AT308">
        <v>160.4</v>
      </c>
    </row>
    <row r="309" spans="1:46" x14ac:dyDescent="0.3">
      <c r="A309" t="s">
        <v>34</v>
      </c>
      <c r="B309">
        <v>2021</v>
      </c>
      <c r="C309" t="s">
        <v>39</v>
      </c>
      <c r="D309">
        <v>146.69999999999999</v>
      </c>
      <c r="F309">
        <v>202</v>
      </c>
      <c r="H309">
        <v>180.7</v>
      </c>
      <c r="I309">
        <v>156.19999999999999</v>
      </c>
      <c r="J309">
        <v>183.7</v>
      </c>
      <c r="K309">
        <v>164.6</v>
      </c>
      <c r="L309">
        <v>155.4</v>
      </c>
      <c r="M309">
        <v>166</v>
      </c>
      <c r="N309">
        <v>115.1</v>
      </c>
      <c r="O309">
        <v>168.5</v>
      </c>
      <c r="P309">
        <v>160</v>
      </c>
      <c r="Q309">
        <v>172.4</v>
      </c>
      <c r="S309">
        <v>162.6</v>
      </c>
      <c r="T309">
        <v>190.8</v>
      </c>
      <c r="V309">
        <v>162.19999999999999</v>
      </c>
      <c r="X309">
        <v>151.80000000000001</v>
      </c>
      <c r="Z309">
        <v>160.69999999999999</v>
      </c>
      <c r="AB309">
        <v>160.5</v>
      </c>
      <c r="AC309">
        <f t="shared" si="222"/>
        <v>160.5</v>
      </c>
      <c r="AE309">
        <v>159.80000000000001</v>
      </c>
      <c r="AG309">
        <v>154.80000000000001</v>
      </c>
      <c r="AI309">
        <v>166.3</v>
      </c>
      <c r="AJ309">
        <v>150.69999999999999</v>
      </c>
      <c r="AL309">
        <v>154.9</v>
      </c>
      <c r="AN309">
        <v>161.69999999999999</v>
      </c>
      <c r="AP309">
        <v>158.80000000000001</v>
      </c>
      <c r="AR309">
        <v>157.6</v>
      </c>
      <c r="AT309">
        <v>161.30000000000001</v>
      </c>
    </row>
    <row r="310" spans="1:46" x14ac:dyDescent="0.3">
      <c r="A310" t="s">
        <v>30</v>
      </c>
      <c r="B310">
        <v>2021</v>
      </c>
      <c r="C310" t="s">
        <v>40</v>
      </c>
      <c r="D310">
        <v>145.1</v>
      </c>
      <c r="F310">
        <v>204.5</v>
      </c>
      <c r="H310">
        <v>180.4</v>
      </c>
      <c r="I310">
        <v>157.1</v>
      </c>
      <c r="J310">
        <v>188.7</v>
      </c>
      <c r="K310">
        <v>157.69999999999999</v>
      </c>
      <c r="L310">
        <v>152.80000000000001</v>
      </c>
      <c r="M310">
        <v>163.6</v>
      </c>
      <c r="N310">
        <v>113.9</v>
      </c>
      <c r="O310">
        <v>169.7</v>
      </c>
      <c r="P310">
        <v>166.2</v>
      </c>
      <c r="Q310">
        <v>171</v>
      </c>
      <c r="S310">
        <v>161.69999999999999</v>
      </c>
      <c r="T310">
        <v>189.7</v>
      </c>
      <c r="V310">
        <v>166</v>
      </c>
      <c r="X310">
        <v>161.1</v>
      </c>
      <c r="Z310">
        <v>165.3</v>
      </c>
      <c r="AB310" t="s">
        <v>32</v>
      </c>
      <c r="AC310">
        <f t="shared" ref="AC310" si="223">AB311</f>
        <v>161.5</v>
      </c>
      <c r="AE310">
        <v>162.5</v>
      </c>
      <c r="AG310">
        <v>160.30000000000001</v>
      </c>
      <c r="AI310">
        <v>170.4</v>
      </c>
      <c r="AJ310">
        <v>157.1</v>
      </c>
      <c r="AL310">
        <v>160.69999999999999</v>
      </c>
      <c r="AN310">
        <v>167.2</v>
      </c>
      <c r="AP310">
        <v>160.4</v>
      </c>
      <c r="AR310">
        <v>162.80000000000001</v>
      </c>
      <c r="AT310">
        <v>163.19999999999999</v>
      </c>
    </row>
    <row r="311" spans="1:46" x14ac:dyDescent="0.3">
      <c r="A311" t="s">
        <v>33</v>
      </c>
      <c r="B311">
        <v>2021</v>
      </c>
      <c r="C311" t="s">
        <v>40</v>
      </c>
      <c r="D311">
        <v>149.1</v>
      </c>
      <c r="F311">
        <v>210.9</v>
      </c>
      <c r="H311">
        <v>185</v>
      </c>
      <c r="I311">
        <v>158.19999999999999</v>
      </c>
      <c r="J311">
        <v>170.6</v>
      </c>
      <c r="K311">
        <v>170.9</v>
      </c>
      <c r="L311">
        <v>186.4</v>
      </c>
      <c r="M311">
        <v>164.7</v>
      </c>
      <c r="N311">
        <v>115.7</v>
      </c>
      <c r="O311">
        <v>165.5</v>
      </c>
      <c r="P311">
        <v>153.4</v>
      </c>
      <c r="Q311">
        <v>173.5</v>
      </c>
      <c r="S311">
        <v>167.9</v>
      </c>
      <c r="T311">
        <v>195.5</v>
      </c>
      <c r="V311">
        <v>157.9</v>
      </c>
      <c r="X311">
        <v>141.9</v>
      </c>
      <c r="Z311">
        <v>155.5</v>
      </c>
      <c r="AB311">
        <v>161.5</v>
      </c>
      <c r="AC311">
        <f t="shared" ref="AC311:AC312" si="224">AB311</f>
        <v>161.5</v>
      </c>
      <c r="AE311">
        <v>157.69999999999999</v>
      </c>
      <c r="AG311">
        <v>150.69999999999999</v>
      </c>
      <c r="AI311">
        <v>161.5</v>
      </c>
      <c r="AJ311">
        <v>149.5</v>
      </c>
      <c r="AL311">
        <v>151.19999999999999</v>
      </c>
      <c r="AN311">
        <v>160.30000000000001</v>
      </c>
      <c r="AP311">
        <v>159.6</v>
      </c>
      <c r="AR311">
        <v>155</v>
      </c>
      <c r="AT311">
        <v>161.80000000000001</v>
      </c>
    </row>
    <row r="312" spans="1:46" x14ac:dyDescent="0.3">
      <c r="A312" t="s">
        <v>34</v>
      </c>
      <c r="B312">
        <v>2021</v>
      </c>
      <c r="C312" t="s">
        <v>40</v>
      </c>
      <c r="D312">
        <v>146.4</v>
      </c>
      <c r="F312">
        <v>206.8</v>
      </c>
      <c r="H312">
        <v>182.2</v>
      </c>
      <c r="I312">
        <v>157.5</v>
      </c>
      <c r="J312">
        <v>182.1</v>
      </c>
      <c r="K312">
        <v>163.9</v>
      </c>
      <c r="L312">
        <v>164.2</v>
      </c>
      <c r="M312">
        <v>164</v>
      </c>
      <c r="N312">
        <v>114.5</v>
      </c>
      <c r="O312">
        <v>168.3</v>
      </c>
      <c r="P312">
        <v>160.9</v>
      </c>
      <c r="Q312">
        <v>172.2</v>
      </c>
      <c r="S312">
        <v>164</v>
      </c>
      <c r="T312">
        <v>191.2</v>
      </c>
      <c r="V312">
        <v>162.80000000000001</v>
      </c>
      <c r="X312">
        <v>153.1</v>
      </c>
      <c r="Z312">
        <v>161.4</v>
      </c>
      <c r="AB312">
        <v>161.5</v>
      </c>
      <c r="AC312">
        <f t="shared" si="224"/>
        <v>161.5</v>
      </c>
      <c r="AE312">
        <v>160.69999999999999</v>
      </c>
      <c r="AG312">
        <v>155.80000000000001</v>
      </c>
      <c r="AI312">
        <v>167</v>
      </c>
      <c r="AJ312">
        <v>153.1</v>
      </c>
      <c r="AL312">
        <v>155.30000000000001</v>
      </c>
      <c r="AN312">
        <v>163.19999999999999</v>
      </c>
      <c r="AP312">
        <v>160.1</v>
      </c>
      <c r="AR312">
        <v>159</v>
      </c>
      <c r="AT312">
        <v>162.5</v>
      </c>
    </row>
    <row r="313" spans="1:46" x14ac:dyDescent="0.3">
      <c r="A313" t="s">
        <v>30</v>
      </c>
      <c r="B313">
        <v>2021</v>
      </c>
      <c r="C313" t="s">
        <v>41</v>
      </c>
      <c r="D313">
        <v>144.9</v>
      </c>
      <c r="F313">
        <v>202.3</v>
      </c>
      <c r="H313">
        <v>176.5</v>
      </c>
      <c r="I313">
        <v>157.5</v>
      </c>
      <c r="J313">
        <v>190.9</v>
      </c>
      <c r="K313">
        <v>155.69999999999999</v>
      </c>
      <c r="L313">
        <v>153.9</v>
      </c>
      <c r="M313">
        <v>162.80000000000001</v>
      </c>
      <c r="N313">
        <v>115.2</v>
      </c>
      <c r="O313">
        <v>169.8</v>
      </c>
      <c r="P313">
        <v>167.6</v>
      </c>
      <c r="Q313">
        <v>171.9</v>
      </c>
      <c r="S313">
        <v>161.80000000000001</v>
      </c>
      <c r="T313">
        <v>190.2</v>
      </c>
      <c r="V313">
        <v>167</v>
      </c>
      <c r="X313">
        <v>162.6</v>
      </c>
      <c r="Z313">
        <v>166.3</v>
      </c>
      <c r="AB313" t="s">
        <v>32</v>
      </c>
      <c r="AC313">
        <f t="shared" ref="AC313" si="225">AB314</f>
        <v>162.1</v>
      </c>
      <c r="AE313">
        <v>163.1</v>
      </c>
      <c r="AG313">
        <v>160.9</v>
      </c>
      <c r="AI313">
        <v>171.1</v>
      </c>
      <c r="AJ313">
        <v>157.69999999999999</v>
      </c>
      <c r="AL313">
        <v>161.1</v>
      </c>
      <c r="AN313">
        <v>167.5</v>
      </c>
      <c r="AP313">
        <v>160.30000000000001</v>
      </c>
      <c r="AR313">
        <v>163.30000000000001</v>
      </c>
      <c r="AT313">
        <v>163.6</v>
      </c>
    </row>
    <row r="314" spans="1:46" x14ac:dyDescent="0.3">
      <c r="A314" t="s">
        <v>33</v>
      </c>
      <c r="B314">
        <v>2021</v>
      </c>
      <c r="C314" t="s">
        <v>41</v>
      </c>
      <c r="D314">
        <v>149.30000000000001</v>
      </c>
      <c r="F314">
        <v>207.4</v>
      </c>
      <c r="H314">
        <v>174.1</v>
      </c>
      <c r="I314">
        <v>159.19999999999999</v>
      </c>
      <c r="J314">
        <v>175</v>
      </c>
      <c r="K314">
        <v>161.30000000000001</v>
      </c>
      <c r="L314">
        <v>183.3</v>
      </c>
      <c r="M314">
        <v>164.5</v>
      </c>
      <c r="N314">
        <v>120.4</v>
      </c>
      <c r="O314">
        <v>166.2</v>
      </c>
      <c r="P314">
        <v>154.80000000000001</v>
      </c>
      <c r="Q314">
        <v>175.1</v>
      </c>
      <c r="S314">
        <v>167.3</v>
      </c>
      <c r="T314">
        <v>196.5</v>
      </c>
      <c r="V314">
        <v>159.80000000000001</v>
      </c>
      <c r="X314">
        <v>143.6</v>
      </c>
      <c r="Z314">
        <v>157.30000000000001</v>
      </c>
      <c r="AB314">
        <v>162.1</v>
      </c>
      <c r="AC314">
        <f t="shared" ref="AC314:AC315" si="226">AB314</f>
        <v>162.1</v>
      </c>
      <c r="AE314">
        <v>160.69999999999999</v>
      </c>
      <c r="AG314">
        <v>153.19999999999999</v>
      </c>
      <c r="AI314">
        <v>162.80000000000001</v>
      </c>
      <c r="AJ314">
        <v>150.4</v>
      </c>
      <c r="AL314">
        <v>153.69999999999999</v>
      </c>
      <c r="AN314">
        <v>160.4</v>
      </c>
      <c r="AP314">
        <v>159.6</v>
      </c>
      <c r="AR314">
        <v>156</v>
      </c>
      <c r="AT314">
        <v>162.30000000000001</v>
      </c>
    </row>
    <row r="315" spans="1:46" x14ac:dyDescent="0.3">
      <c r="A315" t="s">
        <v>34</v>
      </c>
      <c r="B315">
        <v>2021</v>
      </c>
      <c r="C315" t="s">
        <v>41</v>
      </c>
      <c r="D315">
        <v>146.6</v>
      </c>
      <c r="F315">
        <v>204</v>
      </c>
      <c r="H315">
        <v>172.8</v>
      </c>
      <c r="I315">
        <v>158.4</v>
      </c>
      <c r="J315">
        <v>188</v>
      </c>
      <c r="K315">
        <v>156.80000000000001</v>
      </c>
      <c r="L315">
        <v>162.19999999999999</v>
      </c>
      <c r="M315">
        <v>164.1</v>
      </c>
      <c r="N315">
        <v>119.7</v>
      </c>
      <c r="O315">
        <v>168.8</v>
      </c>
      <c r="P315">
        <v>162.69999999999999</v>
      </c>
      <c r="Q315">
        <v>173.9</v>
      </c>
      <c r="S315">
        <v>164</v>
      </c>
      <c r="T315">
        <v>192.1</v>
      </c>
      <c r="V315">
        <v>164.5</v>
      </c>
      <c r="X315">
        <v>155.30000000000001</v>
      </c>
      <c r="Z315">
        <v>163.19999999999999</v>
      </c>
      <c r="AB315">
        <v>162.1</v>
      </c>
      <c r="AC315">
        <f t="shared" si="226"/>
        <v>162.1</v>
      </c>
      <c r="AE315">
        <v>162.6</v>
      </c>
      <c r="AG315">
        <v>157.5</v>
      </c>
      <c r="AI315">
        <v>168.4</v>
      </c>
      <c r="AJ315">
        <v>154</v>
      </c>
      <c r="AL315">
        <v>157.6</v>
      </c>
      <c r="AN315">
        <v>163.80000000000001</v>
      </c>
      <c r="AP315">
        <v>160</v>
      </c>
      <c r="AR315">
        <v>160</v>
      </c>
      <c r="AT315">
        <v>163.19999999999999</v>
      </c>
    </row>
    <row r="316" spans="1:46" x14ac:dyDescent="0.3">
      <c r="A316" t="s">
        <v>30</v>
      </c>
      <c r="B316">
        <v>2021</v>
      </c>
      <c r="C316" t="s">
        <v>42</v>
      </c>
      <c r="D316">
        <v>145.4</v>
      </c>
      <c r="F316">
        <v>202.1</v>
      </c>
      <c r="H316">
        <v>172</v>
      </c>
      <c r="I316">
        <v>158</v>
      </c>
      <c r="J316">
        <v>195.5</v>
      </c>
      <c r="K316">
        <v>152.69999999999999</v>
      </c>
      <c r="L316">
        <v>151.4</v>
      </c>
      <c r="M316">
        <v>163.9</v>
      </c>
      <c r="N316">
        <v>119.3</v>
      </c>
      <c r="O316">
        <v>170.1</v>
      </c>
      <c r="P316">
        <v>168.3</v>
      </c>
      <c r="Q316">
        <v>172.8</v>
      </c>
      <c r="S316">
        <v>162.1</v>
      </c>
      <c r="T316">
        <v>190.5</v>
      </c>
      <c r="V316">
        <v>167.7</v>
      </c>
      <c r="X316">
        <v>163.6</v>
      </c>
      <c r="Z316">
        <v>167.1</v>
      </c>
      <c r="AB316" t="s">
        <v>32</v>
      </c>
      <c r="AC316">
        <f t="shared" ref="AC316" si="227">AB317</f>
        <v>162.1</v>
      </c>
      <c r="AE316">
        <v>163.69999999999999</v>
      </c>
      <c r="AG316">
        <v>161.30000000000001</v>
      </c>
      <c r="AI316">
        <v>171.9</v>
      </c>
      <c r="AJ316">
        <v>157.80000000000001</v>
      </c>
      <c r="AL316">
        <v>162.69999999999999</v>
      </c>
      <c r="AN316">
        <v>168.5</v>
      </c>
      <c r="AP316">
        <v>160.19999999999999</v>
      </c>
      <c r="AR316">
        <v>163.80000000000001</v>
      </c>
      <c r="AT316">
        <v>164</v>
      </c>
    </row>
    <row r="317" spans="1:46" x14ac:dyDescent="0.3">
      <c r="A317" t="s">
        <v>33</v>
      </c>
      <c r="B317">
        <v>2021</v>
      </c>
      <c r="C317" t="s">
        <v>42</v>
      </c>
      <c r="D317">
        <v>149.30000000000001</v>
      </c>
      <c r="F317">
        <v>207.4</v>
      </c>
      <c r="H317">
        <v>174.1</v>
      </c>
      <c r="I317">
        <v>159.1</v>
      </c>
      <c r="J317">
        <v>175</v>
      </c>
      <c r="K317">
        <v>161.19999999999999</v>
      </c>
      <c r="L317">
        <v>183.5</v>
      </c>
      <c r="M317">
        <v>164.5</v>
      </c>
      <c r="N317">
        <v>120.4</v>
      </c>
      <c r="O317">
        <v>166.2</v>
      </c>
      <c r="P317">
        <v>154.80000000000001</v>
      </c>
      <c r="Q317">
        <v>175.1</v>
      </c>
      <c r="S317">
        <v>167.3</v>
      </c>
      <c r="T317">
        <v>196.5</v>
      </c>
      <c r="V317">
        <v>159.80000000000001</v>
      </c>
      <c r="X317">
        <v>143.6</v>
      </c>
      <c r="Z317">
        <v>157.4</v>
      </c>
      <c r="AB317">
        <v>162.1</v>
      </c>
      <c r="AC317">
        <f t="shared" ref="AC317:AC318" si="228">AB317</f>
        <v>162.1</v>
      </c>
      <c r="AE317">
        <v>160.80000000000001</v>
      </c>
      <c r="AG317">
        <v>153.30000000000001</v>
      </c>
      <c r="AI317">
        <v>162.80000000000001</v>
      </c>
      <c r="AJ317">
        <v>150.5</v>
      </c>
      <c r="AL317">
        <v>153.9</v>
      </c>
      <c r="AN317">
        <v>160.30000000000001</v>
      </c>
      <c r="AP317">
        <v>159.6</v>
      </c>
      <c r="AR317">
        <v>156</v>
      </c>
      <c r="AT317">
        <v>162.30000000000001</v>
      </c>
    </row>
    <row r="318" spans="1:46" x14ac:dyDescent="0.3">
      <c r="A318" t="s">
        <v>34</v>
      </c>
      <c r="B318">
        <v>2021</v>
      </c>
      <c r="C318" t="s">
        <v>42</v>
      </c>
      <c r="D318">
        <v>146.6</v>
      </c>
      <c r="F318">
        <v>204</v>
      </c>
      <c r="H318">
        <v>172.8</v>
      </c>
      <c r="I318">
        <v>158.4</v>
      </c>
      <c r="J318">
        <v>188</v>
      </c>
      <c r="K318">
        <v>156.69999999999999</v>
      </c>
      <c r="L318">
        <v>162.30000000000001</v>
      </c>
      <c r="M318">
        <v>164.1</v>
      </c>
      <c r="N318">
        <v>119.7</v>
      </c>
      <c r="O318">
        <v>168.8</v>
      </c>
      <c r="P318">
        <v>162.69999999999999</v>
      </c>
      <c r="Q318">
        <v>173.9</v>
      </c>
      <c r="S318">
        <v>164</v>
      </c>
      <c r="T318">
        <v>192.1</v>
      </c>
      <c r="V318">
        <v>164.6</v>
      </c>
      <c r="X318">
        <v>155.30000000000001</v>
      </c>
      <c r="Z318">
        <v>163.30000000000001</v>
      </c>
      <c r="AB318">
        <v>162.1</v>
      </c>
      <c r="AC318">
        <f t="shared" si="228"/>
        <v>162.1</v>
      </c>
      <c r="AE318">
        <v>162.6</v>
      </c>
      <c r="AG318">
        <v>157.5</v>
      </c>
      <c r="AI318">
        <v>168.4</v>
      </c>
      <c r="AJ318">
        <v>154</v>
      </c>
      <c r="AL318">
        <v>157.69999999999999</v>
      </c>
      <c r="AN318">
        <v>163.69999999999999</v>
      </c>
      <c r="AP318">
        <v>160</v>
      </c>
      <c r="AR318">
        <v>160</v>
      </c>
      <c r="AT318">
        <v>163.19999999999999</v>
      </c>
    </row>
    <row r="319" spans="1:46" x14ac:dyDescent="0.3">
      <c r="A319" t="s">
        <v>30</v>
      </c>
      <c r="B319">
        <v>2021</v>
      </c>
      <c r="C319" t="s">
        <v>43</v>
      </c>
      <c r="D319">
        <v>146.1</v>
      </c>
      <c r="F319">
        <v>202.5</v>
      </c>
      <c r="H319">
        <v>170.1</v>
      </c>
      <c r="I319">
        <v>158.4</v>
      </c>
      <c r="J319">
        <v>198.8</v>
      </c>
      <c r="K319">
        <v>152.6</v>
      </c>
      <c r="L319">
        <v>170.4</v>
      </c>
      <c r="M319">
        <v>165.2</v>
      </c>
      <c r="N319">
        <v>121.6</v>
      </c>
      <c r="O319">
        <v>170.6</v>
      </c>
      <c r="P319">
        <v>168.8</v>
      </c>
      <c r="Q319">
        <v>173.6</v>
      </c>
      <c r="S319">
        <v>165.5</v>
      </c>
      <c r="T319">
        <v>191.2</v>
      </c>
      <c r="V319">
        <v>168.9</v>
      </c>
      <c r="X319">
        <v>164.8</v>
      </c>
      <c r="Z319">
        <v>168.3</v>
      </c>
      <c r="AB319" t="s">
        <v>32</v>
      </c>
      <c r="AC319">
        <f t="shared" ref="AC319" si="229">AB320</f>
        <v>163.6</v>
      </c>
      <c r="AE319">
        <v>165.5</v>
      </c>
      <c r="AG319">
        <v>162</v>
      </c>
      <c r="AI319">
        <v>172.5</v>
      </c>
      <c r="AJ319">
        <v>159.5</v>
      </c>
      <c r="AL319">
        <v>163.19999999999999</v>
      </c>
      <c r="AN319">
        <v>169</v>
      </c>
      <c r="AP319">
        <v>161.1</v>
      </c>
      <c r="AR319">
        <v>164.7</v>
      </c>
      <c r="AT319">
        <v>166.3</v>
      </c>
    </row>
    <row r="320" spans="1:46" x14ac:dyDescent="0.3">
      <c r="A320" t="s">
        <v>33</v>
      </c>
      <c r="B320">
        <v>2021</v>
      </c>
      <c r="C320" t="s">
        <v>43</v>
      </c>
      <c r="D320">
        <v>150.1</v>
      </c>
      <c r="F320">
        <v>208.4</v>
      </c>
      <c r="H320">
        <v>173</v>
      </c>
      <c r="I320">
        <v>159.19999999999999</v>
      </c>
      <c r="J320">
        <v>176.6</v>
      </c>
      <c r="K320">
        <v>159.30000000000001</v>
      </c>
      <c r="L320">
        <v>214.4</v>
      </c>
      <c r="M320">
        <v>165.3</v>
      </c>
      <c r="N320">
        <v>122.5</v>
      </c>
      <c r="O320">
        <v>166.8</v>
      </c>
      <c r="P320">
        <v>155.4</v>
      </c>
      <c r="Q320">
        <v>175.9</v>
      </c>
      <c r="S320">
        <v>171.5</v>
      </c>
      <c r="T320">
        <v>197</v>
      </c>
      <c r="V320">
        <v>160.80000000000001</v>
      </c>
      <c r="X320">
        <v>144.4</v>
      </c>
      <c r="Z320">
        <v>158.30000000000001</v>
      </c>
      <c r="AB320">
        <v>163.6</v>
      </c>
      <c r="AC320">
        <f t="shared" ref="AC320:AC321" si="230">AB320</f>
        <v>163.6</v>
      </c>
      <c r="AE320">
        <v>162.19999999999999</v>
      </c>
      <c r="AG320">
        <v>154.30000000000001</v>
      </c>
      <c r="AI320">
        <v>163.5</v>
      </c>
      <c r="AJ320">
        <v>152.19999999999999</v>
      </c>
      <c r="AL320">
        <v>155.1</v>
      </c>
      <c r="AN320">
        <v>160.30000000000001</v>
      </c>
      <c r="AP320">
        <v>160.30000000000001</v>
      </c>
      <c r="AR320">
        <v>157</v>
      </c>
      <c r="AT320">
        <v>164.6</v>
      </c>
    </row>
    <row r="321" spans="1:46" x14ac:dyDescent="0.3">
      <c r="A321" t="s">
        <v>34</v>
      </c>
      <c r="B321">
        <v>2021</v>
      </c>
      <c r="C321" t="s">
        <v>43</v>
      </c>
      <c r="D321">
        <v>147.4</v>
      </c>
      <c r="F321">
        <v>204.6</v>
      </c>
      <c r="H321">
        <v>171.2</v>
      </c>
      <c r="I321">
        <v>158.69999999999999</v>
      </c>
      <c r="J321">
        <v>190.6</v>
      </c>
      <c r="K321">
        <v>155.69999999999999</v>
      </c>
      <c r="L321">
        <v>185.3</v>
      </c>
      <c r="M321">
        <v>165.2</v>
      </c>
      <c r="N321">
        <v>121.9</v>
      </c>
      <c r="O321">
        <v>169.3</v>
      </c>
      <c r="P321">
        <v>163.19999999999999</v>
      </c>
      <c r="Q321">
        <v>174.7</v>
      </c>
      <c r="S321">
        <v>167.7</v>
      </c>
      <c r="T321">
        <v>192.7</v>
      </c>
      <c r="V321">
        <v>165.7</v>
      </c>
      <c r="X321">
        <v>156.30000000000001</v>
      </c>
      <c r="Z321">
        <v>164.3</v>
      </c>
      <c r="AB321">
        <v>163.6</v>
      </c>
      <c r="AC321">
        <f t="shared" si="230"/>
        <v>163.6</v>
      </c>
      <c r="AE321">
        <v>164.2</v>
      </c>
      <c r="AG321">
        <v>158.4</v>
      </c>
      <c r="AI321">
        <v>169.1</v>
      </c>
      <c r="AJ321">
        <v>155.69999999999999</v>
      </c>
      <c r="AL321">
        <v>158.6</v>
      </c>
      <c r="AN321">
        <v>163.9</v>
      </c>
      <c r="AP321">
        <v>160.80000000000001</v>
      </c>
      <c r="AR321">
        <v>161</v>
      </c>
      <c r="AT321">
        <v>165.5</v>
      </c>
    </row>
    <row r="322" spans="1:46" x14ac:dyDescent="0.3">
      <c r="A322" t="s">
        <v>30</v>
      </c>
      <c r="B322">
        <v>2021</v>
      </c>
      <c r="C322" t="s">
        <v>45</v>
      </c>
      <c r="D322">
        <v>146.9</v>
      </c>
      <c r="F322">
        <v>199.8</v>
      </c>
      <c r="H322">
        <v>171.5</v>
      </c>
      <c r="I322">
        <v>159.1</v>
      </c>
      <c r="J322">
        <v>198.4</v>
      </c>
      <c r="K322">
        <v>153.19999999999999</v>
      </c>
      <c r="L322">
        <v>183.9</v>
      </c>
      <c r="M322">
        <v>165.4</v>
      </c>
      <c r="N322">
        <v>122.1</v>
      </c>
      <c r="O322">
        <v>170.8</v>
      </c>
      <c r="P322">
        <v>169.1</v>
      </c>
      <c r="Q322">
        <v>174.3</v>
      </c>
      <c r="S322">
        <v>167.5</v>
      </c>
      <c r="T322">
        <v>191.4</v>
      </c>
      <c r="V322">
        <v>170.4</v>
      </c>
      <c r="X322">
        <v>166</v>
      </c>
      <c r="Z322">
        <v>169.8</v>
      </c>
      <c r="AB322" t="s">
        <v>32</v>
      </c>
      <c r="AC322">
        <f t="shared" ref="AC322" si="231">AB323</f>
        <v>164.2</v>
      </c>
      <c r="AE322">
        <v>165.3</v>
      </c>
      <c r="AG322">
        <v>162.9</v>
      </c>
      <c r="AI322">
        <v>173.4</v>
      </c>
      <c r="AJ322">
        <v>158.9</v>
      </c>
      <c r="AL322">
        <v>163.80000000000001</v>
      </c>
      <c r="AN322">
        <v>169.3</v>
      </c>
      <c r="AP322">
        <v>162.4</v>
      </c>
      <c r="AR322">
        <v>165.2</v>
      </c>
      <c r="AT322">
        <v>167.6</v>
      </c>
    </row>
    <row r="323" spans="1:46" x14ac:dyDescent="0.3">
      <c r="A323" t="s">
        <v>33</v>
      </c>
      <c r="B323">
        <v>2021</v>
      </c>
      <c r="C323" t="s">
        <v>45</v>
      </c>
      <c r="D323">
        <v>151</v>
      </c>
      <c r="F323">
        <v>204.9</v>
      </c>
      <c r="H323">
        <v>175.4</v>
      </c>
      <c r="I323">
        <v>159.6</v>
      </c>
      <c r="J323">
        <v>175.8</v>
      </c>
      <c r="K323">
        <v>160.30000000000001</v>
      </c>
      <c r="L323">
        <v>229.1</v>
      </c>
      <c r="M323">
        <v>165.1</v>
      </c>
      <c r="N323">
        <v>123.1</v>
      </c>
      <c r="O323">
        <v>167.2</v>
      </c>
      <c r="P323">
        <v>156.1</v>
      </c>
      <c r="Q323">
        <v>176.8</v>
      </c>
      <c r="S323">
        <v>173.5</v>
      </c>
      <c r="T323">
        <v>197</v>
      </c>
      <c r="V323">
        <v>162.30000000000001</v>
      </c>
      <c r="X323">
        <v>145.30000000000001</v>
      </c>
      <c r="Z323">
        <v>159.69999999999999</v>
      </c>
      <c r="AB323">
        <v>164.2</v>
      </c>
      <c r="AC323">
        <f t="shared" ref="AC323:AC324" si="232">AB323</f>
        <v>164.2</v>
      </c>
      <c r="AE323">
        <v>161.6</v>
      </c>
      <c r="AG323">
        <v>155.19999999999999</v>
      </c>
      <c r="AI323">
        <v>164.2</v>
      </c>
      <c r="AJ323">
        <v>151.19999999999999</v>
      </c>
      <c r="AL323">
        <v>156.69999999999999</v>
      </c>
      <c r="AN323">
        <v>160.80000000000001</v>
      </c>
      <c r="AP323">
        <v>161.80000000000001</v>
      </c>
      <c r="AR323">
        <v>157.30000000000001</v>
      </c>
      <c r="AT323">
        <v>165.6</v>
      </c>
    </row>
    <row r="324" spans="1:46" x14ac:dyDescent="0.3">
      <c r="A324" t="s">
        <v>34</v>
      </c>
      <c r="B324">
        <v>2021</v>
      </c>
      <c r="C324" t="s">
        <v>45</v>
      </c>
      <c r="D324">
        <v>148.19999999999999</v>
      </c>
      <c r="F324">
        <v>201.6</v>
      </c>
      <c r="H324">
        <v>173</v>
      </c>
      <c r="I324">
        <v>159.30000000000001</v>
      </c>
      <c r="J324">
        <v>190.1</v>
      </c>
      <c r="K324">
        <v>156.5</v>
      </c>
      <c r="L324">
        <v>199.2</v>
      </c>
      <c r="M324">
        <v>165.3</v>
      </c>
      <c r="N324">
        <v>122.4</v>
      </c>
      <c r="O324">
        <v>169.6</v>
      </c>
      <c r="P324">
        <v>163.69999999999999</v>
      </c>
      <c r="Q324">
        <v>175.5</v>
      </c>
      <c r="S324">
        <v>169.7</v>
      </c>
      <c r="T324">
        <v>192.9</v>
      </c>
      <c r="V324">
        <v>167.2</v>
      </c>
      <c r="X324">
        <v>157.4</v>
      </c>
      <c r="Z324">
        <v>165.8</v>
      </c>
      <c r="AB324">
        <v>164.2</v>
      </c>
      <c r="AC324">
        <f t="shared" si="232"/>
        <v>164.2</v>
      </c>
      <c r="AE324">
        <v>163.9</v>
      </c>
      <c r="AG324">
        <v>159.30000000000001</v>
      </c>
      <c r="AI324">
        <v>169.9</v>
      </c>
      <c r="AJ324">
        <v>154.80000000000001</v>
      </c>
      <c r="AL324">
        <v>159.80000000000001</v>
      </c>
      <c r="AN324">
        <v>164.3</v>
      </c>
      <c r="AP324">
        <v>162.19999999999999</v>
      </c>
      <c r="AR324">
        <v>161.4</v>
      </c>
      <c r="AT324">
        <v>166.7</v>
      </c>
    </row>
    <row r="325" spans="1:46" x14ac:dyDescent="0.3">
      <c r="A325" t="s">
        <v>30</v>
      </c>
      <c r="B325">
        <v>2021</v>
      </c>
      <c r="C325" t="s">
        <v>46</v>
      </c>
      <c r="D325">
        <v>147.4</v>
      </c>
      <c r="F325">
        <v>197</v>
      </c>
      <c r="H325">
        <v>176.5</v>
      </c>
      <c r="I325">
        <v>159.80000000000001</v>
      </c>
      <c r="J325">
        <v>195.8</v>
      </c>
      <c r="K325">
        <v>152</v>
      </c>
      <c r="L325">
        <v>172.3</v>
      </c>
      <c r="M325">
        <v>164.5</v>
      </c>
      <c r="N325">
        <v>120.6</v>
      </c>
      <c r="O325">
        <v>171.7</v>
      </c>
      <c r="P325">
        <v>169.7</v>
      </c>
      <c r="Q325">
        <v>175.1</v>
      </c>
      <c r="S325">
        <v>165.8</v>
      </c>
      <c r="T325">
        <v>190.8</v>
      </c>
      <c r="V325">
        <v>171.8</v>
      </c>
      <c r="X325">
        <v>167.3</v>
      </c>
      <c r="Z325">
        <v>171.2</v>
      </c>
      <c r="AB325" t="s">
        <v>32</v>
      </c>
      <c r="AC325">
        <f t="shared" ref="AC325" si="233">AB326</f>
        <v>163.4</v>
      </c>
      <c r="AE325">
        <v>165.6</v>
      </c>
      <c r="AG325">
        <v>163.9</v>
      </c>
      <c r="AI325">
        <v>174</v>
      </c>
      <c r="AJ325">
        <v>160.1</v>
      </c>
      <c r="AL325">
        <v>164.5</v>
      </c>
      <c r="AN325">
        <v>169.7</v>
      </c>
      <c r="AP325">
        <v>162.80000000000001</v>
      </c>
      <c r="AR325">
        <v>166</v>
      </c>
      <c r="AT325">
        <v>167</v>
      </c>
    </row>
    <row r="326" spans="1:46" x14ac:dyDescent="0.3">
      <c r="A326" t="s">
        <v>33</v>
      </c>
      <c r="B326">
        <v>2021</v>
      </c>
      <c r="C326" t="s">
        <v>46</v>
      </c>
      <c r="D326">
        <v>151.6</v>
      </c>
      <c r="F326">
        <v>202.2</v>
      </c>
      <c r="H326">
        <v>180</v>
      </c>
      <c r="I326">
        <v>160</v>
      </c>
      <c r="J326">
        <v>173.5</v>
      </c>
      <c r="K326">
        <v>158.30000000000001</v>
      </c>
      <c r="L326">
        <v>219.5</v>
      </c>
      <c r="M326">
        <v>164.2</v>
      </c>
      <c r="N326">
        <v>121.9</v>
      </c>
      <c r="O326">
        <v>168.2</v>
      </c>
      <c r="P326">
        <v>156.5</v>
      </c>
      <c r="Q326">
        <v>178.2</v>
      </c>
      <c r="S326">
        <v>172.2</v>
      </c>
      <c r="T326">
        <v>196.8</v>
      </c>
      <c r="V326">
        <v>163.30000000000001</v>
      </c>
      <c r="X326">
        <v>146.69999999999999</v>
      </c>
      <c r="Z326">
        <v>160.69999999999999</v>
      </c>
      <c r="AB326">
        <v>163.4</v>
      </c>
      <c r="AC326">
        <f t="shared" ref="AC326:AC327" si="234">AB326</f>
        <v>163.4</v>
      </c>
      <c r="AE326">
        <v>161.69999999999999</v>
      </c>
      <c r="AG326">
        <v>156</v>
      </c>
      <c r="AI326">
        <v>165.1</v>
      </c>
      <c r="AJ326">
        <v>151.80000000000001</v>
      </c>
      <c r="AL326">
        <v>157.6</v>
      </c>
      <c r="AN326">
        <v>160.6</v>
      </c>
      <c r="AP326">
        <v>162.4</v>
      </c>
      <c r="AR326">
        <v>157.80000000000001</v>
      </c>
      <c r="AT326">
        <v>165.2</v>
      </c>
    </row>
    <row r="327" spans="1:46" x14ac:dyDescent="0.3">
      <c r="A327" t="s">
        <v>34</v>
      </c>
      <c r="B327">
        <v>2021</v>
      </c>
      <c r="C327" t="s">
        <v>46</v>
      </c>
      <c r="D327">
        <v>148.69999999999999</v>
      </c>
      <c r="F327">
        <v>198.8</v>
      </c>
      <c r="H327">
        <v>177.9</v>
      </c>
      <c r="I327">
        <v>159.9</v>
      </c>
      <c r="J327">
        <v>187.6</v>
      </c>
      <c r="K327">
        <v>154.9</v>
      </c>
      <c r="L327">
        <v>188.3</v>
      </c>
      <c r="M327">
        <v>164.4</v>
      </c>
      <c r="N327">
        <v>121</v>
      </c>
      <c r="O327">
        <v>170.5</v>
      </c>
      <c r="P327">
        <v>164.2</v>
      </c>
      <c r="Q327">
        <v>176.5</v>
      </c>
      <c r="S327">
        <v>168.2</v>
      </c>
      <c r="T327">
        <v>192.4</v>
      </c>
      <c r="V327">
        <v>168.5</v>
      </c>
      <c r="X327">
        <v>158.69999999999999</v>
      </c>
      <c r="Z327">
        <v>167</v>
      </c>
      <c r="AB327">
        <v>163.4</v>
      </c>
      <c r="AC327">
        <f t="shared" si="234"/>
        <v>163.4</v>
      </c>
      <c r="AE327">
        <v>164.1</v>
      </c>
      <c r="AG327">
        <v>160.19999999999999</v>
      </c>
      <c r="AI327">
        <v>170.6</v>
      </c>
      <c r="AJ327">
        <v>155.69999999999999</v>
      </c>
      <c r="AL327">
        <v>160.6</v>
      </c>
      <c r="AN327">
        <v>164.4</v>
      </c>
      <c r="AP327">
        <v>162.6</v>
      </c>
      <c r="AR327">
        <v>162</v>
      </c>
      <c r="AT327">
        <v>166.2</v>
      </c>
    </row>
    <row r="328" spans="1:46" x14ac:dyDescent="0.3">
      <c r="A328" t="s">
        <v>30</v>
      </c>
      <c r="B328">
        <v>2022</v>
      </c>
      <c r="C328" t="s">
        <v>31</v>
      </c>
      <c r="D328">
        <v>148.30000000000001</v>
      </c>
      <c r="F328">
        <v>196.9</v>
      </c>
      <c r="H328">
        <v>178</v>
      </c>
      <c r="I328">
        <v>160.5</v>
      </c>
      <c r="J328">
        <v>192.6</v>
      </c>
      <c r="K328">
        <v>151.19999999999999</v>
      </c>
      <c r="L328">
        <v>159.19999999999999</v>
      </c>
      <c r="M328">
        <v>164</v>
      </c>
      <c r="N328">
        <v>119.3</v>
      </c>
      <c r="O328">
        <v>173.3</v>
      </c>
      <c r="P328">
        <v>169.8</v>
      </c>
      <c r="Q328">
        <v>175.8</v>
      </c>
      <c r="S328">
        <v>164.1</v>
      </c>
      <c r="T328">
        <v>190.7</v>
      </c>
      <c r="V328">
        <v>173.2</v>
      </c>
      <c r="X328">
        <v>169.3</v>
      </c>
      <c r="Z328">
        <v>172.7</v>
      </c>
      <c r="AB328" t="s">
        <v>32</v>
      </c>
      <c r="AC328">
        <f t="shared" ref="AC328" si="235">AB329</f>
        <v>164.5</v>
      </c>
      <c r="AE328">
        <v>165.8</v>
      </c>
      <c r="AG328">
        <v>164.9</v>
      </c>
      <c r="AI328">
        <v>174.7</v>
      </c>
      <c r="AJ328">
        <v>160.80000000000001</v>
      </c>
      <c r="AL328">
        <v>164.9</v>
      </c>
      <c r="AN328">
        <v>169.9</v>
      </c>
      <c r="AP328">
        <v>163.19999999999999</v>
      </c>
      <c r="AR328">
        <v>166.6</v>
      </c>
      <c r="AT328">
        <v>166.4</v>
      </c>
    </row>
    <row r="329" spans="1:46" x14ac:dyDescent="0.3">
      <c r="A329" t="s">
        <v>33</v>
      </c>
      <c r="B329">
        <v>2022</v>
      </c>
      <c r="C329" t="s">
        <v>31</v>
      </c>
      <c r="D329">
        <v>152.19999999999999</v>
      </c>
      <c r="F329">
        <v>202.1</v>
      </c>
      <c r="H329">
        <v>180.1</v>
      </c>
      <c r="I329">
        <v>160.4</v>
      </c>
      <c r="J329">
        <v>171</v>
      </c>
      <c r="K329">
        <v>156.5</v>
      </c>
      <c r="L329">
        <v>203.6</v>
      </c>
      <c r="M329">
        <v>163.80000000000001</v>
      </c>
      <c r="N329">
        <v>121.3</v>
      </c>
      <c r="O329">
        <v>169.8</v>
      </c>
      <c r="P329">
        <v>156.6</v>
      </c>
      <c r="Q329">
        <v>179</v>
      </c>
      <c r="S329">
        <v>170.3</v>
      </c>
      <c r="T329">
        <v>196.4</v>
      </c>
      <c r="V329">
        <v>164.7</v>
      </c>
      <c r="X329">
        <v>148.5</v>
      </c>
      <c r="Z329">
        <v>162.19999999999999</v>
      </c>
      <c r="AB329">
        <v>164.5</v>
      </c>
      <c r="AC329">
        <f t="shared" ref="AC329:AC330" si="236">AB329</f>
        <v>164.5</v>
      </c>
      <c r="AE329">
        <v>161.6</v>
      </c>
      <c r="AG329">
        <v>156.80000000000001</v>
      </c>
      <c r="AI329">
        <v>166.1</v>
      </c>
      <c r="AJ329">
        <v>152.69999999999999</v>
      </c>
      <c r="AL329">
        <v>158.4</v>
      </c>
      <c r="AN329">
        <v>161</v>
      </c>
      <c r="AP329">
        <v>162.80000000000001</v>
      </c>
      <c r="AR329">
        <v>158.6</v>
      </c>
      <c r="AT329">
        <v>165</v>
      </c>
    </row>
    <row r="330" spans="1:46" x14ac:dyDescent="0.3">
      <c r="A330" t="s">
        <v>34</v>
      </c>
      <c r="B330">
        <v>2022</v>
      </c>
      <c r="C330" t="s">
        <v>31</v>
      </c>
      <c r="D330">
        <v>149.5</v>
      </c>
      <c r="F330">
        <v>198.7</v>
      </c>
      <c r="H330">
        <v>178.8</v>
      </c>
      <c r="I330">
        <v>160.5</v>
      </c>
      <c r="J330">
        <v>184.7</v>
      </c>
      <c r="K330">
        <v>153.69999999999999</v>
      </c>
      <c r="L330">
        <v>174.3</v>
      </c>
      <c r="M330">
        <v>163.9</v>
      </c>
      <c r="N330">
        <v>120</v>
      </c>
      <c r="O330">
        <v>172.1</v>
      </c>
      <c r="P330">
        <v>164.3</v>
      </c>
      <c r="Q330">
        <v>177.3</v>
      </c>
      <c r="S330">
        <v>166.4</v>
      </c>
      <c r="T330">
        <v>192.2</v>
      </c>
      <c r="V330">
        <v>169.9</v>
      </c>
      <c r="X330">
        <v>160.69999999999999</v>
      </c>
      <c r="Z330">
        <v>168.5</v>
      </c>
      <c r="AB330">
        <v>164.5</v>
      </c>
      <c r="AC330">
        <f t="shared" si="236"/>
        <v>164.5</v>
      </c>
      <c r="AE330">
        <v>164.2</v>
      </c>
      <c r="AG330">
        <v>161.1</v>
      </c>
      <c r="AI330">
        <v>171.4</v>
      </c>
      <c r="AJ330">
        <v>156.5</v>
      </c>
      <c r="AL330">
        <v>161.19999999999999</v>
      </c>
      <c r="AN330">
        <v>164.7</v>
      </c>
      <c r="AP330">
        <v>163</v>
      </c>
      <c r="AR330">
        <v>162.69999999999999</v>
      </c>
      <c r="AT330">
        <v>165.7</v>
      </c>
    </row>
    <row r="331" spans="1:46" x14ac:dyDescent="0.3">
      <c r="A331" t="s">
        <v>30</v>
      </c>
      <c r="B331">
        <v>2022</v>
      </c>
      <c r="C331" t="s">
        <v>35</v>
      </c>
      <c r="D331">
        <v>148.80000000000001</v>
      </c>
      <c r="F331">
        <v>198.1</v>
      </c>
      <c r="H331">
        <v>175.5</v>
      </c>
      <c r="I331">
        <v>160.69999999999999</v>
      </c>
      <c r="J331">
        <v>192.6</v>
      </c>
      <c r="K331">
        <v>151.4</v>
      </c>
      <c r="L331">
        <v>155.19999999999999</v>
      </c>
      <c r="M331">
        <v>163.9</v>
      </c>
      <c r="N331">
        <v>118.1</v>
      </c>
      <c r="O331">
        <v>175.4</v>
      </c>
      <c r="P331">
        <v>170.5</v>
      </c>
      <c r="Q331">
        <v>176.3</v>
      </c>
      <c r="S331">
        <v>163.9</v>
      </c>
      <c r="T331">
        <v>191.5</v>
      </c>
      <c r="V331">
        <v>174.1</v>
      </c>
      <c r="X331">
        <v>171</v>
      </c>
      <c r="Z331">
        <v>173.7</v>
      </c>
      <c r="AB331" t="s">
        <v>32</v>
      </c>
      <c r="AC331">
        <f t="shared" ref="AC331" si="237">AB332</f>
        <v>165.5</v>
      </c>
      <c r="AE331">
        <v>167.4</v>
      </c>
      <c r="AG331">
        <v>165.7</v>
      </c>
      <c r="AI331">
        <v>175.3</v>
      </c>
      <c r="AJ331">
        <v>161.19999999999999</v>
      </c>
      <c r="AL331">
        <v>165.5</v>
      </c>
      <c r="AN331">
        <v>170.3</v>
      </c>
      <c r="AP331">
        <v>164.5</v>
      </c>
      <c r="AR331">
        <v>167.3</v>
      </c>
      <c r="AT331">
        <v>166.7</v>
      </c>
    </row>
    <row r="332" spans="1:46" x14ac:dyDescent="0.3">
      <c r="A332" t="s">
        <v>33</v>
      </c>
      <c r="B332">
        <v>2022</v>
      </c>
      <c r="C332" t="s">
        <v>35</v>
      </c>
      <c r="D332">
        <v>152.5</v>
      </c>
      <c r="F332">
        <v>205.2</v>
      </c>
      <c r="H332">
        <v>176.4</v>
      </c>
      <c r="I332">
        <v>160.6</v>
      </c>
      <c r="J332">
        <v>171.5</v>
      </c>
      <c r="K332">
        <v>156.4</v>
      </c>
      <c r="L332">
        <v>198</v>
      </c>
      <c r="M332">
        <v>163.19999999999999</v>
      </c>
      <c r="N332">
        <v>120.6</v>
      </c>
      <c r="O332">
        <v>172.2</v>
      </c>
      <c r="P332">
        <v>156.69999999999999</v>
      </c>
      <c r="Q332">
        <v>180</v>
      </c>
      <c r="S332">
        <v>170.2</v>
      </c>
      <c r="T332">
        <v>196.5</v>
      </c>
      <c r="V332">
        <v>165.7</v>
      </c>
      <c r="X332">
        <v>150.4</v>
      </c>
      <c r="Z332">
        <v>163.4</v>
      </c>
      <c r="AB332">
        <v>165.5</v>
      </c>
      <c r="AC332">
        <f t="shared" ref="AC332:AC333" si="238">AB332</f>
        <v>165.5</v>
      </c>
      <c r="AE332">
        <v>163</v>
      </c>
      <c r="AG332">
        <v>157.4</v>
      </c>
      <c r="AI332">
        <v>167.2</v>
      </c>
      <c r="AJ332">
        <v>153.1</v>
      </c>
      <c r="AL332">
        <v>159.5</v>
      </c>
      <c r="AN332">
        <v>162</v>
      </c>
      <c r="AP332">
        <v>164.2</v>
      </c>
      <c r="AR332">
        <v>159.4</v>
      </c>
      <c r="AT332">
        <v>165.5</v>
      </c>
    </row>
    <row r="333" spans="1:46" x14ac:dyDescent="0.3">
      <c r="A333" t="s">
        <v>34</v>
      </c>
      <c r="B333">
        <v>2022</v>
      </c>
      <c r="C333" t="s">
        <v>35</v>
      </c>
      <c r="D333">
        <v>150</v>
      </c>
      <c r="F333">
        <v>200.6</v>
      </c>
      <c r="H333">
        <v>175.8</v>
      </c>
      <c r="I333">
        <v>160.69999999999999</v>
      </c>
      <c r="J333">
        <v>184.9</v>
      </c>
      <c r="K333">
        <v>153.69999999999999</v>
      </c>
      <c r="L333">
        <v>169.7</v>
      </c>
      <c r="M333">
        <v>163.69999999999999</v>
      </c>
      <c r="N333">
        <v>118.9</v>
      </c>
      <c r="O333">
        <v>174.3</v>
      </c>
      <c r="P333">
        <v>164.7</v>
      </c>
      <c r="Q333">
        <v>178</v>
      </c>
      <c r="S333">
        <v>166.2</v>
      </c>
      <c r="T333">
        <v>192.8</v>
      </c>
      <c r="V333">
        <v>170.8</v>
      </c>
      <c r="X333">
        <v>162.4</v>
      </c>
      <c r="Z333">
        <v>169.6</v>
      </c>
      <c r="AB333">
        <v>165.5</v>
      </c>
      <c r="AC333">
        <f t="shared" si="238"/>
        <v>165.5</v>
      </c>
      <c r="AE333">
        <v>165.7</v>
      </c>
      <c r="AG333">
        <v>161.80000000000001</v>
      </c>
      <c r="AI333">
        <v>172.2</v>
      </c>
      <c r="AJ333">
        <v>156.9</v>
      </c>
      <c r="AL333">
        <v>162.1</v>
      </c>
      <c r="AN333">
        <v>165.4</v>
      </c>
      <c r="AP333">
        <v>164.4</v>
      </c>
      <c r="AR333">
        <v>163.5</v>
      </c>
      <c r="AT333">
        <v>166.1</v>
      </c>
    </row>
    <row r="334" spans="1:46" x14ac:dyDescent="0.3">
      <c r="A334" t="s">
        <v>30</v>
      </c>
      <c r="B334">
        <v>2022</v>
      </c>
      <c r="C334" t="s">
        <v>36</v>
      </c>
      <c r="D334">
        <v>150.19999999999999</v>
      </c>
      <c r="F334">
        <v>208</v>
      </c>
      <c r="H334">
        <v>167.9</v>
      </c>
      <c r="I334">
        <v>162</v>
      </c>
      <c r="J334">
        <v>203.1</v>
      </c>
      <c r="K334">
        <v>155.9</v>
      </c>
      <c r="L334">
        <v>155.80000000000001</v>
      </c>
      <c r="M334">
        <v>164.2</v>
      </c>
      <c r="N334">
        <v>118.1</v>
      </c>
      <c r="O334">
        <v>178.7</v>
      </c>
      <c r="P334">
        <v>171.2</v>
      </c>
      <c r="Q334">
        <v>177.4</v>
      </c>
      <c r="S334">
        <v>166.6</v>
      </c>
      <c r="T334">
        <v>192.3</v>
      </c>
      <c r="V334">
        <v>175.4</v>
      </c>
      <c r="X334">
        <v>173.2</v>
      </c>
      <c r="Z334">
        <v>175.1</v>
      </c>
      <c r="AB334" t="s">
        <v>32</v>
      </c>
      <c r="AC334">
        <f t="shared" ref="AC334" si="239">AB335</f>
        <v>165.3</v>
      </c>
      <c r="AE334">
        <v>168.9</v>
      </c>
      <c r="AG334">
        <v>166.5</v>
      </c>
      <c r="AI334">
        <v>176</v>
      </c>
      <c r="AJ334">
        <v>162</v>
      </c>
      <c r="AL334">
        <v>166.6</v>
      </c>
      <c r="AN334">
        <v>170.6</v>
      </c>
      <c r="AP334">
        <v>167.4</v>
      </c>
      <c r="AR334">
        <v>168.3</v>
      </c>
      <c r="AT334">
        <v>168.7</v>
      </c>
    </row>
    <row r="335" spans="1:46" x14ac:dyDescent="0.3">
      <c r="A335" t="s">
        <v>33</v>
      </c>
      <c r="B335">
        <v>2022</v>
      </c>
      <c r="C335" t="s">
        <v>36</v>
      </c>
      <c r="D335">
        <v>153.69999999999999</v>
      </c>
      <c r="F335">
        <v>215.8</v>
      </c>
      <c r="H335">
        <v>167.7</v>
      </c>
      <c r="I335">
        <v>162.6</v>
      </c>
      <c r="J335">
        <v>180</v>
      </c>
      <c r="K335">
        <v>159.6</v>
      </c>
      <c r="L335">
        <v>188.4</v>
      </c>
      <c r="M335">
        <v>163.4</v>
      </c>
      <c r="N335">
        <v>120.3</v>
      </c>
      <c r="O335">
        <v>174.7</v>
      </c>
      <c r="P335">
        <v>157.1</v>
      </c>
      <c r="Q335">
        <v>181.5</v>
      </c>
      <c r="S335">
        <v>171.5</v>
      </c>
      <c r="T335">
        <v>197.5</v>
      </c>
      <c r="V335">
        <v>167.1</v>
      </c>
      <c r="X335">
        <v>152.6</v>
      </c>
      <c r="Z335">
        <v>164.9</v>
      </c>
      <c r="AB335">
        <v>165.3</v>
      </c>
      <c r="AC335">
        <f t="shared" ref="AC335:AC336" si="240">AB335</f>
        <v>165.3</v>
      </c>
      <c r="AE335">
        <v>164.5</v>
      </c>
      <c r="AG335">
        <v>158.6</v>
      </c>
      <c r="AI335">
        <v>168.2</v>
      </c>
      <c r="AJ335">
        <v>154.19999999999999</v>
      </c>
      <c r="AL335">
        <v>160.80000000000001</v>
      </c>
      <c r="AN335">
        <v>162.69999999999999</v>
      </c>
      <c r="AP335">
        <v>166.8</v>
      </c>
      <c r="AR335">
        <v>160.6</v>
      </c>
      <c r="AT335">
        <v>166.5</v>
      </c>
    </row>
    <row r="336" spans="1:46" x14ac:dyDescent="0.3">
      <c r="A336" t="s">
        <v>34</v>
      </c>
      <c r="B336">
        <v>2022</v>
      </c>
      <c r="C336" t="s">
        <v>36</v>
      </c>
      <c r="D336">
        <v>151.30000000000001</v>
      </c>
      <c r="F336">
        <v>210.7</v>
      </c>
      <c r="H336">
        <v>167.8</v>
      </c>
      <c r="I336">
        <v>162.19999999999999</v>
      </c>
      <c r="J336">
        <v>194.6</v>
      </c>
      <c r="K336">
        <v>157.6</v>
      </c>
      <c r="L336">
        <v>166.9</v>
      </c>
      <c r="M336">
        <v>163.9</v>
      </c>
      <c r="N336">
        <v>118.8</v>
      </c>
      <c r="O336">
        <v>177.4</v>
      </c>
      <c r="P336">
        <v>165.3</v>
      </c>
      <c r="Q336">
        <v>179.3</v>
      </c>
      <c r="S336">
        <v>168.4</v>
      </c>
      <c r="T336">
        <v>193.7</v>
      </c>
      <c r="V336">
        <v>172.1</v>
      </c>
      <c r="X336">
        <v>164.6</v>
      </c>
      <c r="Z336">
        <v>171.1</v>
      </c>
      <c r="AB336">
        <v>165.3</v>
      </c>
      <c r="AC336">
        <f t="shared" si="240"/>
        <v>165.3</v>
      </c>
      <c r="AE336">
        <v>167.2</v>
      </c>
      <c r="AG336">
        <v>162.80000000000001</v>
      </c>
      <c r="AI336">
        <v>173</v>
      </c>
      <c r="AJ336">
        <v>157.9</v>
      </c>
      <c r="AL336">
        <v>163.30000000000001</v>
      </c>
      <c r="AN336">
        <v>166</v>
      </c>
      <c r="AP336">
        <v>167.2</v>
      </c>
      <c r="AR336">
        <v>164.6</v>
      </c>
      <c r="AT336">
        <v>167.7</v>
      </c>
    </row>
    <row r="337" spans="1:46" x14ac:dyDescent="0.3">
      <c r="A337" t="s">
        <v>30</v>
      </c>
      <c r="B337">
        <v>2022</v>
      </c>
      <c r="C337" t="s">
        <v>37</v>
      </c>
      <c r="D337">
        <v>151.80000000000001</v>
      </c>
      <c r="F337">
        <v>209.7</v>
      </c>
      <c r="H337">
        <v>164.5</v>
      </c>
      <c r="I337">
        <v>163.80000000000001</v>
      </c>
      <c r="J337">
        <v>207.4</v>
      </c>
      <c r="K337">
        <v>169.7</v>
      </c>
      <c r="L337">
        <v>153.6</v>
      </c>
      <c r="M337">
        <v>165.1</v>
      </c>
      <c r="N337">
        <v>118.2</v>
      </c>
      <c r="O337">
        <v>182.9</v>
      </c>
      <c r="P337">
        <v>172.4</v>
      </c>
      <c r="Q337">
        <v>178.9</v>
      </c>
      <c r="S337">
        <v>168.6</v>
      </c>
      <c r="T337">
        <v>192.8</v>
      </c>
      <c r="V337">
        <v>177.5</v>
      </c>
      <c r="X337">
        <v>175.1</v>
      </c>
      <c r="Z337">
        <v>177.1</v>
      </c>
      <c r="AB337" t="s">
        <v>32</v>
      </c>
      <c r="AC337">
        <f t="shared" ref="AC337" si="241">AB338</f>
        <v>167</v>
      </c>
      <c r="AE337">
        <v>173.3</v>
      </c>
      <c r="AG337">
        <v>167.7</v>
      </c>
      <c r="AI337">
        <v>177</v>
      </c>
      <c r="AJ337">
        <v>166.2</v>
      </c>
      <c r="AL337">
        <v>167.2</v>
      </c>
      <c r="AN337">
        <v>170.9</v>
      </c>
      <c r="AP337">
        <v>169</v>
      </c>
      <c r="AR337">
        <v>170.2</v>
      </c>
      <c r="AT337">
        <v>170.8</v>
      </c>
    </row>
    <row r="338" spans="1:46" x14ac:dyDescent="0.3">
      <c r="A338" t="s">
        <v>33</v>
      </c>
      <c r="B338">
        <v>2022</v>
      </c>
      <c r="C338" t="s">
        <v>37</v>
      </c>
      <c r="D338">
        <v>155.4</v>
      </c>
      <c r="F338">
        <v>215.8</v>
      </c>
      <c r="H338">
        <v>164.6</v>
      </c>
      <c r="I338">
        <v>164.2</v>
      </c>
      <c r="J338">
        <v>186</v>
      </c>
      <c r="K338">
        <v>175.9</v>
      </c>
      <c r="L338">
        <v>190.7</v>
      </c>
      <c r="M338">
        <v>164</v>
      </c>
      <c r="N338">
        <v>120.5</v>
      </c>
      <c r="O338">
        <v>178</v>
      </c>
      <c r="P338">
        <v>157.5</v>
      </c>
      <c r="Q338">
        <v>183.3</v>
      </c>
      <c r="S338">
        <v>174.5</v>
      </c>
      <c r="T338">
        <v>197.1</v>
      </c>
      <c r="V338">
        <v>168.4</v>
      </c>
      <c r="X338">
        <v>154.5</v>
      </c>
      <c r="Z338">
        <v>166.3</v>
      </c>
      <c r="AB338">
        <v>167</v>
      </c>
      <c r="AC338">
        <f t="shared" ref="AC338:AC339" si="242">AB338</f>
        <v>167</v>
      </c>
      <c r="AE338">
        <v>170.5</v>
      </c>
      <c r="AG338">
        <v>159.80000000000001</v>
      </c>
      <c r="AI338">
        <v>169</v>
      </c>
      <c r="AJ338">
        <v>159.30000000000001</v>
      </c>
      <c r="AL338">
        <v>162.19999999999999</v>
      </c>
      <c r="AN338">
        <v>164</v>
      </c>
      <c r="AP338">
        <v>168.4</v>
      </c>
      <c r="AR338">
        <v>163.1</v>
      </c>
      <c r="AT338">
        <v>169.2</v>
      </c>
    </row>
    <row r="339" spans="1:46" x14ac:dyDescent="0.3">
      <c r="A339" t="s">
        <v>34</v>
      </c>
      <c r="B339">
        <v>2022</v>
      </c>
      <c r="C339" t="s">
        <v>37</v>
      </c>
      <c r="D339">
        <v>152.9</v>
      </c>
      <c r="F339">
        <v>211.8</v>
      </c>
      <c r="H339">
        <v>164.5</v>
      </c>
      <c r="I339">
        <v>163.9</v>
      </c>
      <c r="J339">
        <v>199.5</v>
      </c>
      <c r="K339">
        <v>172.6</v>
      </c>
      <c r="L339">
        <v>166.2</v>
      </c>
      <c r="M339">
        <v>164.7</v>
      </c>
      <c r="N339">
        <v>119</v>
      </c>
      <c r="O339">
        <v>181.3</v>
      </c>
      <c r="P339">
        <v>166.2</v>
      </c>
      <c r="Q339">
        <v>180.9</v>
      </c>
      <c r="S339">
        <v>170.8</v>
      </c>
      <c r="T339">
        <v>193.9</v>
      </c>
      <c r="V339">
        <v>173.9</v>
      </c>
      <c r="X339">
        <v>166.5</v>
      </c>
      <c r="Z339">
        <v>172.8</v>
      </c>
      <c r="AB339">
        <v>167</v>
      </c>
      <c r="AC339">
        <f t="shared" si="242"/>
        <v>167</v>
      </c>
      <c r="AE339">
        <v>172.2</v>
      </c>
      <c r="AG339">
        <v>164</v>
      </c>
      <c r="AI339">
        <v>174</v>
      </c>
      <c r="AJ339">
        <v>162.6</v>
      </c>
      <c r="AL339">
        <v>164.4</v>
      </c>
      <c r="AN339">
        <v>166.9</v>
      </c>
      <c r="AP339">
        <v>168.8</v>
      </c>
      <c r="AR339">
        <v>166.8</v>
      </c>
      <c r="AT339">
        <v>170.1</v>
      </c>
    </row>
    <row r="340" spans="1:46" x14ac:dyDescent="0.3">
      <c r="A340" t="s">
        <v>30</v>
      </c>
      <c r="B340">
        <v>2022</v>
      </c>
      <c r="C340" t="s">
        <v>38</v>
      </c>
      <c r="D340">
        <v>152.9</v>
      </c>
      <c r="F340">
        <v>214.7</v>
      </c>
      <c r="H340">
        <v>161.4</v>
      </c>
      <c r="I340">
        <v>164.6</v>
      </c>
      <c r="J340">
        <v>209.9</v>
      </c>
      <c r="K340">
        <v>168</v>
      </c>
      <c r="L340">
        <v>160.4</v>
      </c>
      <c r="M340">
        <v>165</v>
      </c>
      <c r="N340">
        <v>118.9</v>
      </c>
      <c r="O340">
        <v>186.6</v>
      </c>
      <c r="P340">
        <v>173.2</v>
      </c>
      <c r="Q340">
        <v>180.4</v>
      </c>
      <c r="S340">
        <v>170.8</v>
      </c>
      <c r="T340">
        <v>192.9</v>
      </c>
      <c r="V340">
        <v>179.3</v>
      </c>
      <c r="X340">
        <v>177.2</v>
      </c>
      <c r="Z340">
        <v>179</v>
      </c>
      <c r="AB340" t="s">
        <v>32</v>
      </c>
      <c r="AC340">
        <f t="shared" ref="AC340" si="243">AB341</f>
        <v>167.5</v>
      </c>
      <c r="AE340">
        <v>175.3</v>
      </c>
      <c r="AG340">
        <v>168.9</v>
      </c>
      <c r="AI340">
        <v>177.7</v>
      </c>
      <c r="AJ340">
        <v>167.1</v>
      </c>
      <c r="AL340">
        <v>167.6</v>
      </c>
      <c r="AN340">
        <v>171.8</v>
      </c>
      <c r="AP340">
        <v>168.5</v>
      </c>
      <c r="AR340">
        <v>170.9</v>
      </c>
      <c r="AT340">
        <v>172.5</v>
      </c>
    </row>
    <row r="341" spans="1:46" x14ac:dyDescent="0.3">
      <c r="A341" t="s">
        <v>33</v>
      </c>
      <c r="B341">
        <v>2022</v>
      </c>
      <c r="C341" t="s">
        <v>38</v>
      </c>
      <c r="D341">
        <v>156.69999999999999</v>
      </c>
      <c r="F341">
        <v>221.2</v>
      </c>
      <c r="H341">
        <v>164.1</v>
      </c>
      <c r="I341">
        <v>165.4</v>
      </c>
      <c r="J341">
        <v>189.5</v>
      </c>
      <c r="K341">
        <v>174.5</v>
      </c>
      <c r="L341">
        <v>203.2</v>
      </c>
      <c r="M341">
        <v>164.1</v>
      </c>
      <c r="N341">
        <v>121.2</v>
      </c>
      <c r="O341">
        <v>181.4</v>
      </c>
      <c r="P341">
        <v>158.5</v>
      </c>
      <c r="Q341">
        <v>184.9</v>
      </c>
      <c r="S341">
        <v>177.5</v>
      </c>
      <c r="T341">
        <v>197.5</v>
      </c>
      <c r="V341">
        <v>170</v>
      </c>
      <c r="X341">
        <v>155.9</v>
      </c>
      <c r="Z341">
        <v>167.8</v>
      </c>
      <c r="AB341">
        <v>167.5</v>
      </c>
      <c r="AC341">
        <f t="shared" ref="AC341:AC342" si="244">AB341</f>
        <v>167.5</v>
      </c>
      <c r="AE341">
        <v>173.5</v>
      </c>
      <c r="AG341">
        <v>161.1</v>
      </c>
      <c r="AI341">
        <v>170.1</v>
      </c>
      <c r="AJ341">
        <v>159.4</v>
      </c>
      <c r="AL341">
        <v>163.19999999999999</v>
      </c>
      <c r="AN341">
        <v>165.2</v>
      </c>
      <c r="AP341">
        <v>168.2</v>
      </c>
      <c r="AR341">
        <v>163.80000000000001</v>
      </c>
      <c r="AT341">
        <v>170.8</v>
      </c>
    </row>
    <row r="342" spans="1:46" x14ac:dyDescent="0.3">
      <c r="A342" t="s">
        <v>34</v>
      </c>
      <c r="B342">
        <v>2022</v>
      </c>
      <c r="C342" t="s">
        <v>38</v>
      </c>
      <c r="D342">
        <v>154.1</v>
      </c>
      <c r="F342">
        <v>217</v>
      </c>
      <c r="H342">
        <v>162.4</v>
      </c>
      <c r="I342">
        <v>164.9</v>
      </c>
      <c r="J342">
        <v>202.4</v>
      </c>
      <c r="K342">
        <v>171</v>
      </c>
      <c r="L342">
        <v>174.9</v>
      </c>
      <c r="M342">
        <v>164.7</v>
      </c>
      <c r="N342">
        <v>119.7</v>
      </c>
      <c r="O342">
        <v>184.9</v>
      </c>
      <c r="P342">
        <v>167.1</v>
      </c>
      <c r="Q342">
        <v>182.5</v>
      </c>
      <c r="S342">
        <v>173.3</v>
      </c>
      <c r="T342">
        <v>194.1</v>
      </c>
      <c r="V342">
        <v>175.6</v>
      </c>
      <c r="X342">
        <v>168.4</v>
      </c>
      <c r="Z342">
        <v>174.6</v>
      </c>
      <c r="AB342">
        <v>167.5</v>
      </c>
      <c r="AC342">
        <f t="shared" si="244"/>
        <v>167.5</v>
      </c>
      <c r="AE342">
        <v>174.6</v>
      </c>
      <c r="AG342">
        <v>165.2</v>
      </c>
      <c r="AI342">
        <v>174.8</v>
      </c>
      <c r="AJ342">
        <v>163</v>
      </c>
      <c r="AL342">
        <v>165.1</v>
      </c>
      <c r="AN342">
        <v>167.9</v>
      </c>
      <c r="AP342">
        <v>168.4</v>
      </c>
      <c r="AR342">
        <v>167.5</v>
      </c>
      <c r="AT342">
        <v>171.7</v>
      </c>
    </row>
    <row r="343" spans="1:46" x14ac:dyDescent="0.3">
      <c r="A343" t="s">
        <v>30</v>
      </c>
      <c r="B343">
        <v>2022</v>
      </c>
      <c r="C343" t="s">
        <v>39</v>
      </c>
      <c r="D343">
        <v>153.80000000000001</v>
      </c>
      <c r="F343">
        <v>217.2</v>
      </c>
      <c r="H343">
        <v>169.6</v>
      </c>
      <c r="I343">
        <v>165.4</v>
      </c>
      <c r="J343">
        <v>208.1</v>
      </c>
      <c r="K343">
        <v>165.8</v>
      </c>
      <c r="L343">
        <v>167.3</v>
      </c>
      <c r="M343">
        <v>164.6</v>
      </c>
      <c r="N343">
        <v>119.1</v>
      </c>
      <c r="O343">
        <v>188.9</v>
      </c>
      <c r="P343">
        <v>174.2</v>
      </c>
      <c r="Q343">
        <v>181.9</v>
      </c>
      <c r="S343">
        <v>172.4</v>
      </c>
      <c r="T343">
        <v>192.9</v>
      </c>
      <c r="V343">
        <v>180.7</v>
      </c>
      <c r="X343">
        <v>178.7</v>
      </c>
      <c r="Z343">
        <v>180.4</v>
      </c>
      <c r="AB343" t="s">
        <v>32</v>
      </c>
      <c r="AC343">
        <f t="shared" ref="AC343" si="245">AB344</f>
        <v>166.8</v>
      </c>
      <c r="AE343">
        <v>176.7</v>
      </c>
      <c r="AG343">
        <v>170.3</v>
      </c>
      <c r="AI343">
        <v>178.2</v>
      </c>
      <c r="AJ343">
        <v>165.5</v>
      </c>
      <c r="AL343">
        <v>168</v>
      </c>
      <c r="AN343">
        <v>172.6</v>
      </c>
      <c r="AP343">
        <v>169.5</v>
      </c>
      <c r="AR343">
        <v>171</v>
      </c>
      <c r="AT343">
        <v>173.6</v>
      </c>
    </row>
    <row r="344" spans="1:46" x14ac:dyDescent="0.3">
      <c r="A344" t="s">
        <v>33</v>
      </c>
      <c r="B344">
        <v>2022</v>
      </c>
      <c r="C344" t="s">
        <v>39</v>
      </c>
      <c r="D344">
        <v>157.5</v>
      </c>
      <c r="F344">
        <v>223.4</v>
      </c>
      <c r="H344">
        <v>172.8</v>
      </c>
      <c r="I344">
        <v>166.4</v>
      </c>
      <c r="J344">
        <v>188.6</v>
      </c>
      <c r="K344">
        <v>174.1</v>
      </c>
      <c r="L344">
        <v>211.5</v>
      </c>
      <c r="M344">
        <v>163.6</v>
      </c>
      <c r="N344">
        <v>121.4</v>
      </c>
      <c r="O344">
        <v>183.5</v>
      </c>
      <c r="P344">
        <v>159.1</v>
      </c>
      <c r="Q344">
        <v>186.3</v>
      </c>
      <c r="S344">
        <v>179.3</v>
      </c>
      <c r="T344">
        <v>198.3</v>
      </c>
      <c r="V344">
        <v>171.6</v>
      </c>
      <c r="X344">
        <v>157.4</v>
      </c>
      <c r="Z344">
        <v>169.4</v>
      </c>
      <c r="AB344">
        <v>166.8</v>
      </c>
      <c r="AC344">
        <f t="shared" ref="AC344:AC345" si="246">AB344</f>
        <v>166.8</v>
      </c>
      <c r="AE344">
        <v>174.9</v>
      </c>
      <c r="AG344">
        <v>162.1</v>
      </c>
      <c r="AI344">
        <v>170.9</v>
      </c>
      <c r="AJ344">
        <v>157.19999999999999</v>
      </c>
      <c r="AL344">
        <v>164.1</v>
      </c>
      <c r="AN344">
        <v>166.5</v>
      </c>
      <c r="AP344">
        <v>169.2</v>
      </c>
      <c r="AR344">
        <v>163.80000000000001</v>
      </c>
      <c r="AT344">
        <v>171.4</v>
      </c>
    </row>
    <row r="345" spans="1:46" x14ac:dyDescent="0.3">
      <c r="A345" t="s">
        <v>34</v>
      </c>
      <c r="B345">
        <v>2022</v>
      </c>
      <c r="C345" t="s">
        <v>39</v>
      </c>
      <c r="D345">
        <v>155</v>
      </c>
      <c r="F345">
        <v>219.4</v>
      </c>
      <c r="H345">
        <v>170.8</v>
      </c>
      <c r="I345">
        <v>165.8</v>
      </c>
      <c r="J345">
        <v>200.9</v>
      </c>
      <c r="K345">
        <v>169.7</v>
      </c>
      <c r="L345">
        <v>182.3</v>
      </c>
      <c r="M345">
        <v>164.3</v>
      </c>
      <c r="N345">
        <v>119.9</v>
      </c>
      <c r="O345">
        <v>187.1</v>
      </c>
      <c r="P345">
        <v>167.9</v>
      </c>
      <c r="Q345">
        <v>183.9</v>
      </c>
      <c r="S345">
        <v>174.9</v>
      </c>
      <c r="T345">
        <v>194.3</v>
      </c>
      <c r="V345">
        <v>177.1</v>
      </c>
      <c r="X345">
        <v>169.9</v>
      </c>
      <c r="Z345">
        <v>176</v>
      </c>
      <c r="AB345">
        <v>166.8</v>
      </c>
      <c r="AC345">
        <f t="shared" si="246"/>
        <v>166.8</v>
      </c>
      <c r="AE345">
        <v>176</v>
      </c>
      <c r="AG345">
        <v>166.4</v>
      </c>
      <c r="AI345">
        <v>175.4</v>
      </c>
      <c r="AJ345">
        <v>161.1</v>
      </c>
      <c r="AL345">
        <v>165.8</v>
      </c>
      <c r="AN345">
        <v>169</v>
      </c>
      <c r="AP345">
        <v>169.4</v>
      </c>
      <c r="AR345">
        <v>167.5</v>
      </c>
      <c r="AT345">
        <v>172.6</v>
      </c>
    </row>
    <row r="346" spans="1:46" x14ac:dyDescent="0.3">
      <c r="A346" t="s">
        <v>30</v>
      </c>
      <c r="B346">
        <v>2022</v>
      </c>
      <c r="C346" t="s">
        <v>40</v>
      </c>
      <c r="D346">
        <v>155.19999999999999</v>
      </c>
      <c r="F346">
        <v>210.8</v>
      </c>
      <c r="H346">
        <v>174.3</v>
      </c>
      <c r="I346">
        <v>166.3</v>
      </c>
      <c r="J346">
        <v>202.2</v>
      </c>
      <c r="K346">
        <v>169.6</v>
      </c>
      <c r="L346">
        <v>168.6</v>
      </c>
      <c r="M346">
        <v>164.4</v>
      </c>
      <c r="N346">
        <v>119.2</v>
      </c>
      <c r="O346">
        <v>191.8</v>
      </c>
      <c r="P346">
        <v>174.5</v>
      </c>
      <c r="Q346">
        <v>183.1</v>
      </c>
      <c r="S346">
        <v>172.5</v>
      </c>
      <c r="T346">
        <v>193.2</v>
      </c>
      <c r="V346">
        <v>182</v>
      </c>
      <c r="X346">
        <v>180.3</v>
      </c>
      <c r="Z346">
        <v>181.7</v>
      </c>
      <c r="AB346" t="s">
        <v>32</v>
      </c>
      <c r="AC346">
        <f t="shared" ref="AC346" si="247">AB347</f>
        <v>167.8</v>
      </c>
      <c r="AE346">
        <v>179.6</v>
      </c>
      <c r="AG346">
        <v>171.3</v>
      </c>
      <c r="AI346">
        <v>178.8</v>
      </c>
      <c r="AJ346">
        <v>166.3</v>
      </c>
      <c r="AL346">
        <v>168.6</v>
      </c>
      <c r="AN346">
        <v>174.7</v>
      </c>
      <c r="AP346">
        <v>169.7</v>
      </c>
      <c r="AR346">
        <v>171.8</v>
      </c>
      <c r="AT346">
        <v>174.3</v>
      </c>
    </row>
    <row r="347" spans="1:46" x14ac:dyDescent="0.3">
      <c r="A347" t="s">
        <v>33</v>
      </c>
      <c r="B347">
        <v>2022</v>
      </c>
      <c r="C347" t="s">
        <v>40</v>
      </c>
      <c r="D347">
        <v>159.30000000000001</v>
      </c>
      <c r="F347">
        <v>217.1</v>
      </c>
      <c r="H347">
        <v>176.6</v>
      </c>
      <c r="I347">
        <v>167.1</v>
      </c>
      <c r="J347">
        <v>184.8</v>
      </c>
      <c r="K347">
        <v>179.5</v>
      </c>
      <c r="L347">
        <v>208.5</v>
      </c>
      <c r="M347">
        <v>164</v>
      </c>
      <c r="N347">
        <v>121.5</v>
      </c>
      <c r="O347">
        <v>186.3</v>
      </c>
      <c r="P347">
        <v>159.80000000000001</v>
      </c>
      <c r="Q347">
        <v>187.7</v>
      </c>
      <c r="S347">
        <v>179.4</v>
      </c>
      <c r="T347">
        <v>198.6</v>
      </c>
      <c r="V347">
        <v>172.7</v>
      </c>
      <c r="X347">
        <v>158.69999999999999</v>
      </c>
      <c r="Z347">
        <v>170.6</v>
      </c>
      <c r="AB347">
        <v>167.8</v>
      </c>
      <c r="AC347">
        <f t="shared" ref="AC347:AC348" si="248">AB347</f>
        <v>167.8</v>
      </c>
      <c r="AE347">
        <v>179.5</v>
      </c>
      <c r="AG347">
        <v>163.1</v>
      </c>
      <c r="AI347">
        <v>171.7</v>
      </c>
      <c r="AJ347">
        <v>157.4</v>
      </c>
      <c r="AL347">
        <v>164.6</v>
      </c>
      <c r="AN347">
        <v>169.1</v>
      </c>
      <c r="AP347">
        <v>169.8</v>
      </c>
      <c r="AR347">
        <v>164.7</v>
      </c>
      <c r="AT347">
        <v>172.3</v>
      </c>
    </row>
    <row r="348" spans="1:46" x14ac:dyDescent="0.3">
      <c r="A348" t="s">
        <v>34</v>
      </c>
      <c r="B348">
        <v>2022</v>
      </c>
      <c r="C348" t="s">
        <v>40</v>
      </c>
      <c r="D348">
        <v>156.5</v>
      </c>
      <c r="F348">
        <v>213</v>
      </c>
      <c r="H348">
        <v>175.2</v>
      </c>
      <c r="I348">
        <v>166.6</v>
      </c>
      <c r="J348">
        <v>195.8</v>
      </c>
      <c r="K348">
        <v>174.2</v>
      </c>
      <c r="L348">
        <v>182.1</v>
      </c>
      <c r="M348">
        <v>164.3</v>
      </c>
      <c r="N348">
        <v>120</v>
      </c>
      <c r="O348">
        <v>190</v>
      </c>
      <c r="P348">
        <v>168.4</v>
      </c>
      <c r="Q348">
        <v>185.2</v>
      </c>
      <c r="S348">
        <v>175</v>
      </c>
      <c r="T348">
        <v>194.6</v>
      </c>
      <c r="V348">
        <v>178.3</v>
      </c>
      <c r="X348">
        <v>171.3</v>
      </c>
      <c r="Z348">
        <v>177.3</v>
      </c>
      <c r="AB348">
        <v>167.8</v>
      </c>
      <c r="AC348">
        <f t="shared" si="248"/>
        <v>167.8</v>
      </c>
      <c r="AE348">
        <v>179.6</v>
      </c>
      <c r="AG348">
        <v>167.4</v>
      </c>
      <c r="AI348">
        <v>176.1</v>
      </c>
      <c r="AJ348">
        <v>161.6</v>
      </c>
      <c r="AL348">
        <v>166.3</v>
      </c>
      <c r="AN348">
        <v>171.4</v>
      </c>
      <c r="AP348">
        <v>169.7</v>
      </c>
      <c r="AR348">
        <v>168.4</v>
      </c>
      <c r="AT348">
        <v>173.4</v>
      </c>
    </row>
    <row r="349" spans="1:46" x14ac:dyDescent="0.3">
      <c r="A349" t="s">
        <v>30</v>
      </c>
      <c r="B349">
        <v>2022</v>
      </c>
      <c r="C349" t="s">
        <v>41</v>
      </c>
      <c r="D349">
        <v>159.5</v>
      </c>
      <c r="F349">
        <v>204.1</v>
      </c>
      <c r="H349">
        <v>168.3</v>
      </c>
      <c r="I349">
        <v>167.9</v>
      </c>
      <c r="J349">
        <v>198.1</v>
      </c>
      <c r="K349">
        <v>169.2</v>
      </c>
      <c r="L349">
        <v>173.1</v>
      </c>
      <c r="M349">
        <v>167.1</v>
      </c>
      <c r="N349">
        <v>120.2</v>
      </c>
      <c r="O349">
        <v>195.6</v>
      </c>
      <c r="P349">
        <v>174.8</v>
      </c>
      <c r="Q349">
        <v>184</v>
      </c>
      <c r="S349">
        <v>173.9</v>
      </c>
      <c r="T349">
        <v>193.7</v>
      </c>
      <c r="V349">
        <v>183.2</v>
      </c>
      <c r="X349">
        <v>181.7</v>
      </c>
      <c r="Z349">
        <v>183</v>
      </c>
      <c r="AB349" t="s">
        <v>32</v>
      </c>
      <c r="AC349">
        <f t="shared" ref="AC349" si="249">AB350</f>
        <v>169</v>
      </c>
      <c r="AE349">
        <v>179.1</v>
      </c>
      <c r="AG349">
        <v>172.3</v>
      </c>
      <c r="AI349">
        <v>179.4</v>
      </c>
      <c r="AJ349">
        <v>166.6</v>
      </c>
      <c r="AL349">
        <v>169.3</v>
      </c>
      <c r="AN349">
        <v>175.7</v>
      </c>
      <c r="AP349">
        <v>171.1</v>
      </c>
      <c r="AR349">
        <v>172.6</v>
      </c>
      <c r="AT349">
        <v>175.3</v>
      </c>
    </row>
    <row r="350" spans="1:46" x14ac:dyDescent="0.3">
      <c r="A350" t="s">
        <v>33</v>
      </c>
      <c r="B350">
        <v>2022</v>
      </c>
      <c r="C350" t="s">
        <v>41</v>
      </c>
      <c r="D350">
        <v>162.1</v>
      </c>
      <c r="F350">
        <v>210.9</v>
      </c>
      <c r="H350">
        <v>170.6</v>
      </c>
      <c r="I350">
        <v>168.4</v>
      </c>
      <c r="J350">
        <v>182.5</v>
      </c>
      <c r="K350">
        <v>177.1</v>
      </c>
      <c r="L350">
        <v>213.1</v>
      </c>
      <c r="M350">
        <v>167.3</v>
      </c>
      <c r="N350">
        <v>122.2</v>
      </c>
      <c r="O350">
        <v>189.7</v>
      </c>
      <c r="P350">
        <v>160.5</v>
      </c>
      <c r="Q350">
        <v>188.9</v>
      </c>
      <c r="S350">
        <v>180.4</v>
      </c>
      <c r="T350">
        <v>198.7</v>
      </c>
      <c r="V350">
        <v>173.7</v>
      </c>
      <c r="X350">
        <v>160</v>
      </c>
      <c r="Z350">
        <v>171.6</v>
      </c>
      <c r="AB350">
        <v>169</v>
      </c>
      <c r="AC350">
        <f t="shared" ref="AC350:AC351" si="250">AB350</f>
        <v>169</v>
      </c>
      <c r="AE350">
        <v>178.4</v>
      </c>
      <c r="AG350">
        <v>164.2</v>
      </c>
      <c r="AI350">
        <v>172.6</v>
      </c>
      <c r="AJ350">
        <v>157.69999999999999</v>
      </c>
      <c r="AL350">
        <v>165.1</v>
      </c>
      <c r="AN350">
        <v>169.9</v>
      </c>
      <c r="AP350">
        <v>171.4</v>
      </c>
      <c r="AR350">
        <v>165.4</v>
      </c>
      <c r="AT350">
        <v>173.1</v>
      </c>
    </row>
    <row r="351" spans="1:46" x14ac:dyDescent="0.3">
      <c r="A351" t="s">
        <v>34</v>
      </c>
      <c r="B351">
        <v>2022</v>
      </c>
      <c r="C351" t="s">
        <v>41</v>
      </c>
      <c r="D351">
        <v>160.30000000000001</v>
      </c>
      <c r="F351">
        <v>206.5</v>
      </c>
      <c r="H351">
        <v>169.2</v>
      </c>
      <c r="I351">
        <v>168.1</v>
      </c>
      <c r="J351">
        <v>192.4</v>
      </c>
      <c r="K351">
        <v>172.9</v>
      </c>
      <c r="L351">
        <v>186.7</v>
      </c>
      <c r="M351">
        <v>167.2</v>
      </c>
      <c r="N351">
        <v>120.9</v>
      </c>
      <c r="O351">
        <v>193.6</v>
      </c>
      <c r="P351">
        <v>168.8</v>
      </c>
      <c r="Q351">
        <v>186.3</v>
      </c>
      <c r="S351">
        <v>176.3</v>
      </c>
      <c r="T351">
        <v>195</v>
      </c>
      <c r="V351">
        <v>179.5</v>
      </c>
      <c r="X351">
        <v>172.7</v>
      </c>
      <c r="Z351">
        <v>178.5</v>
      </c>
      <c r="AB351">
        <v>169</v>
      </c>
      <c r="AC351">
        <f t="shared" si="250"/>
        <v>169</v>
      </c>
      <c r="AE351">
        <v>178.8</v>
      </c>
      <c r="AG351">
        <v>168.5</v>
      </c>
      <c r="AI351">
        <v>176.8</v>
      </c>
      <c r="AJ351">
        <v>161.9</v>
      </c>
      <c r="AL351">
        <v>166.9</v>
      </c>
      <c r="AN351">
        <v>172.3</v>
      </c>
      <c r="AP351">
        <v>171.2</v>
      </c>
      <c r="AR351">
        <v>169.1</v>
      </c>
      <c r="AT351">
        <v>174.3</v>
      </c>
    </row>
    <row r="352" spans="1:46" x14ac:dyDescent="0.3">
      <c r="A352" t="s">
        <v>30</v>
      </c>
      <c r="B352">
        <v>2022</v>
      </c>
      <c r="C352" t="s">
        <v>42</v>
      </c>
      <c r="D352">
        <v>162.9</v>
      </c>
      <c r="F352">
        <v>206.7</v>
      </c>
      <c r="H352">
        <v>169</v>
      </c>
      <c r="I352">
        <v>169.5</v>
      </c>
      <c r="J352">
        <v>194.1</v>
      </c>
      <c r="K352">
        <v>164.1</v>
      </c>
      <c r="L352">
        <v>176.9</v>
      </c>
      <c r="M352">
        <v>169</v>
      </c>
      <c r="N352">
        <v>120.8</v>
      </c>
      <c r="O352">
        <v>199.1</v>
      </c>
      <c r="P352">
        <v>175.4</v>
      </c>
      <c r="Q352">
        <v>184.8</v>
      </c>
      <c r="S352">
        <v>175.5</v>
      </c>
      <c r="T352">
        <v>194.5</v>
      </c>
      <c r="V352">
        <v>184.7</v>
      </c>
      <c r="X352">
        <v>183.3</v>
      </c>
      <c r="Z352">
        <v>184.5</v>
      </c>
      <c r="AB352" t="s">
        <v>32</v>
      </c>
      <c r="AC352">
        <f t="shared" ref="AC352" si="251">AB353</f>
        <v>169.5</v>
      </c>
      <c r="AE352">
        <v>179.7</v>
      </c>
      <c r="AG352">
        <v>173.6</v>
      </c>
      <c r="AI352">
        <v>180.2</v>
      </c>
      <c r="AJ352">
        <v>166.9</v>
      </c>
      <c r="AL352">
        <v>170</v>
      </c>
      <c r="AN352">
        <v>176.2</v>
      </c>
      <c r="AP352">
        <v>170.8</v>
      </c>
      <c r="AR352">
        <v>173.1</v>
      </c>
      <c r="AT352">
        <v>176.4</v>
      </c>
    </row>
    <row r="353" spans="1:46" x14ac:dyDescent="0.3">
      <c r="A353" t="s">
        <v>33</v>
      </c>
      <c r="B353">
        <v>2022</v>
      </c>
      <c r="C353" t="s">
        <v>42</v>
      </c>
      <c r="D353">
        <v>164.9</v>
      </c>
      <c r="F353">
        <v>213.7</v>
      </c>
      <c r="H353">
        <v>170.9</v>
      </c>
      <c r="I353">
        <v>170.1</v>
      </c>
      <c r="J353">
        <v>179.3</v>
      </c>
      <c r="K353">
        <v>167.5</v>
      </c>
      <c r="L353">
        <v>220.8</v>
      </c>
      <c r="M353">
        <v>169.2</v>
      </c>
      <c r="N353">
        <v>123.1</v>
      </c>
      <c r="O353">
        <v>193.6</v>
      </c>
      <c r="P353">
        <v>161.1</v>
      </c>
      <c r="Q353">
        <v>190.4</v>
      </c>
      <c r="S353">
        <v>181.8</v>
      </c>
      <c r="T353">
        <v>199.7</v>
      </c>
      <c r="V353">
        <v>175</v>
      </c>
      <c r="X353">
        <v>161.69999999999999</v>
      </c>
      <c r="Z353">
        <v>173</v>
      </c>
      <c r="AB353">
        <v>169.5</v>
      </c>
      <c r="AC353">
        <f t="shared" ref="AC353:AC354" si="252">AB353</f>
        <v>169.5</v>
      </c>
      <c r="AE353">
        <v>179.2</v>
      </c>
      <c r="AG353">
        <v>165</v>
      </c>
      <c r="AI353">
        <v>173.8</v>
      </c>
      <c r="AJ353">
        <v>158.19999999999999</v>
      </c>
      <c r="AL353">
        <v>165.8</v>
      </c>
      <c r="AN353">
        <v>170.9</v>
      </c>
      <c r="AP353">
        <v>171.1</v>
      </c>
      <c r="AR353">
        <v>166.1</v>
      </c>
      <c r="AT353">
        <v>174.1</v>
      </c>
    </row>
    <row r="354" spans="1:46" x14ac:dyDescent="0.3">
      <c r="A354" t="s">
        <v>34</v>
      </c>
      <c r="B354">
        <v>2022</v>
      </c>
      <c r="C354" t="s">
        <v>42</v>
      </c>
      <c r="D354">
        <v>163.5</v>
      </c>
      <c r="F354">
        <v>209.2</v>
      </c>
      <c r="H354">
        <v>169.7</v>
      </c>
      <c r="I354">
        <v>169.7</v>
      </c>
      <c r="J354">
        <v>188.7</v>
      </c>
      <c r="K354">
        <v>165.7</v>
      </c>
      <c r="L354">
        <v>191.8</v>
      </c>
      <c r="M354">
        <v>169.1</v>
      </c>
      <c r="N354">
        <v>121.6</v>
      </c>
      <c r="O354">
        <v>197.3</v>
      </c>
      <c r="P354">
        <v>169.4</v>
      </c>
      <c r="Q354">
        <v>187.4</v>
      </c>
      <c r="S354">
        <v>177.8</v>
      </c>
      <c r="T354">
        <v>195.9</v>
      </c>
      <c r="V354">
        <v>180.9</v>
      </c>
      <c r="X354">
        <v>174.3</v>
      </c>
      <c r="Z354">
        <v>179.9</v>
      </c>
      <c r="AB354">
        <v>169.5</v>
      </c>
      <c r="AC354">
        <f t="shared" si="252"/>
        <v>169.5</v>
      </c>
      <c r="AE354">
        <v>179.5</v>
      </c>
      <c r="AG354">
        <v>169.5</v>
      </c>
      <c r="AI354">
        <v>177.8</v>
      </c>
      <c r="AJ354">
        <v>162.30000000000001</v>
      </c>
      <c r="AL354">
        <v>167.6</v>
      </c>
      <c r="AN354">
        <v>173.1</v>
      </c>
      <c r="AP354">
        <v>170.9</v>
      </c>
      <c r="AR354">
        <v>169.7</v>
      </c>
      <c r="AT354">
        <v>175.3</v>
      </c>
    </row>
    <row r="355" spans="1:46" x14ac:dyDescent="0.3">
      <c r="A355" t="s">
        <v>30</v>
      </c>
      <c r="B355">
        <v>2022</v>
      </c>
      <c r="C355" t="s">
        <v>43</v>
      </c>
      <c r="D355">
        <v>164.7</v>
      </c>
      <c r="F355">
        <v>208.8</v>
      </c>
      <c r="H355">
        <v>170.3</v>
      </c>
      <c r="I355">
        <v>170.9</v>
      </c>
      <c r="J355">
        <v>191.6</v>
      </c>
      <c r="K355">
        <v>162.19999999999999</v>
      </c>
      <c r="L355">
        <v>184.8</v>
      </c>
      <c r="M355">
        <v>169.7</v>
      </c>
      <c r="N355">
        <v>121.1</v>
      </c>
      <c r="O355">
        <v>201.6</v>
      </c>
      <c r="P355">
        <v>175.8</v>
      </c>
      <c r="Q355">
        <v>185.6</v>
      </c>
      <c r="S355">
        <v>177.4</v>
      </c>
      <c r="T355">
        <v>194.9</v>
      </c>
      <c r="V355">
        <v>186.1</v>
      </c>
      <c r="X355">
        <v>184.4</v>
      </c>
      <c r="Z355">
        <v>185.9</v>
      </c>
      <c r="AB355" t="s">
        <v>32</v>
      </c>
      <c r="AC355">
        <f t="shared" ref="AC355" si="253">AB356</f>
        <v>171.2</v>
      </c>
      <c r="AE355">
        <v>180.8</v>
      </c>
      <c r="AG355">
        <v>174.4</v>
      </c>
      <c r="AI355">
        <v>181.2</v>
      </c>
      <c r="AJ355">
        <v>167.4</v>
      </c>
      <c r="AL355">
        <v>170.6</v>
      </c>
      <c r="AN355">
        <v>176.5</v>
      </c>
      <c r="AP355">
        <v>172</v>
      </c>
      <c r="AR355">
        <v>173.9</v>
      </c>
      <c r="AT355">
        <v>177.9</v>
      </c>
    </row>
    <row r="356" spans="1:46" x14ac:dyDescent="0.3">
      <c r="A356" t="s">
        <v>33</v>
      </c>
      <c r="B356">
        <v>2022</v>
      </c>
      <c r="C356" t="s">
        <v>43</v>
      </c>
      <c r="D356">
        <v>166.4</v>
      </c>
      <c r="F356">
        <v>214.9</v>
      </c>
      <c r="H356">
        <v>171.9</v>
      </c>
      <c r="I356">
        <v>171</v>
      </c>
      <c r="J356">
        <v>177.7</v>
      </c>
      <c r="K356">
        <v>165.7</v>
      </c>
      <c r="L356">
        <v>228.6</v>
      </c>
      <c r="M356">
        <v>169.9</v>
      </c>
      <c r="N356">
        <v>123.4</v>
      </c>
      <c r="O356">
        <v>196.4</v>
      </c>
      <c r="P356">
        <v>161.6</v>
      </c>
      <c r="Q356">
        <v>191.5</v>
      </c>
      <c r="S356">
        <v>183.3</v>
      </c>
      <c r="T356">
        <v>200.1</v>
      </c>
      <c r="V356">
        <v>175.5</v>
      </c>
      <c r="X356">
        <v>162.6</v>
      </c>
      <c r="Z356">
        <v>173.6</v>
      </c>
      <c r="AB356">
        <v>171.2</v>
      </c>
      <c r="AC356">
        <f t="shared" ref="AC356:AC357" si="254">AB356</f>
        <v>171.2</v>
      </c>
      <c r="AE356">
        <v>180</v>
      </c>
      <c r="AG356">
        <v>166</v>
      </c>
      <c r="AI356">
        <v>174.7</v>
      </c>
      <c r="AJ356">
        <v>158.80000000000001</v>
      </c>
      <c r="AL356">
        <v>166.3</v>
      </c>
      <c r="AN356">
        <v>171.2</v>
      </c>
      <c r="AP356">
        <v>172.3</v>
      </c>
      <c r="AR356">
        <v>166.8</v>
      </c>
      <c r="AT356">
        <v>175.3</v>
      </c>
    </row>
    <row r="357" spans="1:46" x14ac:dyDescent="0.3">
      <c r="A357" t="s">
        <v>34</v>
      </c>
      <c r="B357">
        <v>2022</v>
      </c>
      <c r="C357" t="s">
        <v>43</v>
      </c>
      <c r="D357">
        <v>165.2</v>
      </c>
      <c r="F357">
        <v>210.9</v>
      </c>
      <c r="H357">
        <v>170.9</v>
      </c>
      <c r="I357">
        <v>170.9</v>
      </c>
      <c r="J357">
        <v>186.5</v>
      </c>
      <c r="K357">
        <v>163.80000000000001</v>
      </c>
      <c r="L357">
        <v>199.7</v>
      </c>
      <c r="M357">
        <v>169.8</v>
      </c>
      <c r="N357">
        <v>121.9</v>
      </c>
      <c r="O357">
        <v>199.9</v>
      </c>
      <c r="P357">
        <v>169.9</v>
      </c>
      <c r="Q357">
        <v>188.3</v>
      </c>
      <c r="S357">
        <v>179.6</v>
      </c>
      <c r="T357">
        <v>196.3</v>
      </c>
      <c r="V357">
        <v>181.9</v>
      </c>
      <c r="X357">
        <v>175.3</v>
      </c>
      <c r="Z357">
        <v>181</v>
      </c>
      <c r="AB357">
        <v>171.2</v>
      </c>
      <c r="AC357">
        <f t="shared" si="254"/>
        <v>171.2</v>
      </c>
      <c r="AE357">
        <v>180.5</v>
      </c>
      <c r="AG357">
        <v>170.4</v>
      </c>
      <c r="AI357">
        <v>178.7</v>
      </c>
      <c r="AJ357">
        <v>162.9</v>
      </c>
      <c r="AL357">
        <v>168.2</v>
      </c>
      <c r="AN357">
        <v>173.4</v>
      </c>
      <c r="AP357">
        <v>172.1</v>
      </c>
      <c r="AR357">
        <v>170.5</v>
      </c>
      <c r="AT357">
        <v>176.7</v>
      </c>
    </row>
    <row r="358" spans="1:46" x14ac:dyDescent="0.3">
      <c r="A358" t="s">
        <v>30</v>
      </c>
      <c r="B358">
        <v>2022</v>
      </c>
      <c r="C358" t="s">
        <v>45</v>
      </c>
      <c r="D358">
        <v>166.9</v>
      </c>
      <c r="F358">
        <v>207.2</v>
      </c>
      <c r="H358">
        <v>180.2</v>
      </c>
      <c r="I358">
        <v>172.3</v>
      </c>
      <c r="J358">
        <v>194</v>
      </c>
      <c r="K358">
        <v>159.1</v>
      </c>
      <c r="L358">
        <v>171.6</v>
      </c>
      <c r="M358">
        <v>170.2</v>
      </c>
      <c r="N358">
        <v>121.5</v>
      </c>
      <c r="O358">
        <v>204.8</v>
      </c>
      <c r="P358">
        <v>176.4</v>
      </c>
      <c r="Q358">
        <v>186.9</v>
      </c>
      <c r="S358">
        <v>176.6</v>
      </c>
      <c r="T358">
        <v>195.5</v>
      </c>
      <c r="V358">
        <v>187.2</v>
      </c>
      <c r="X358">
        <v>185.2</v>
      </c>
      <c r="Z358">
        <v>186.9</v>
      </c>
      <c r="AB358" t="s">
        <v>32</v>
      </c>
      <c r="AC358">
        <f t="shared" ref="AC358" si="255">AB359</f>
        <v>171.8</v>
      </c>
      <c r="AE358">
        <v>181.9</v>
      </c>
      <c r="AG358">
        <v>175.5</v>
      </c>
      <c r="AI358">
        <v>182.3</v>
      </c>
      <c r="AJ358">
        <v>167.5</v>
      </c>
      <c r="AL358">
        <v>170.8</v>
      </c>
      <c r="AN358">
        <v>176.9</v>
      </c>
      <c r="AP358">
        <v>173.4</v>
      </c>
      <c r="AR358">
        <v>174.6</v>
      </c>
      <c r="AT358">
        <v>177.8</v>
      </c>
    </row>
    <row r="359" spans="1:46" x14ac:dyDescent="0.3">
      <c r="A359" t="s">
        <v>33</v>
      </c>
      <c r="B359">
        <v>2022</v>
      </c>
      <c r="C359" t="s">
        <v>45</v>
      </c>
      <c r="D359">
        <v>168.4</v>
      </c>
      <c r="F359">
        <v>213.4</v>
      </c>
      <c r="H359">
        <v>183.2</v>
      </c>
      <c r="I359">
        <v>172.3</v>
      </c>
      <c r="J359">
        <v>180</v>
      </c>
      <c r="K359">
        <v>162.6</v>
      </c>
      <c r="L359">
        <v>205.5</v>
      </c>
      <c r="M359">
        <v>171</v>
      </c>
      <c r="N359">
        <v>123.4</v>
      </c>
      <c r="O359">
        <v>198.8</v>
      </c>
      <c r="P359">
        <v>162.1</v>
      </c>
      <c r="Q359">
        <v>192.4</v>
      </c>
      <c r="S359">
        <v>181.3</v>
      </c>
      <c r="T359">
        <v>200.6</v>
      </c>
      <c r="V359">
        <v>176.7</v>
      </c>
      <c r="X359">
        <v>163.5</v>
      </c>
      <c r="Z359">
        <v>174.7</v>
      </c>
      <c r="AB359">
        <v>171.8</v>
      </c>
      <c r="AC359">
        <f t="shared" ref="AC359:AC360" si="256">AB359</f>
        <v>171.8</v>
      </c>
      <c r="AE359">
        <v>180.3</v>
      </c>
      <c r="AG359">
        <v>166.9</v>
      </c>
      <c r="AI359">
        <v>175.8</v>
      </c>
      <c r="AJ359">
        <v>158.9</v>
      </c>
      <c r="AL359">
        <v>166.7</v>
      </c>
      <c r="AN359">
        <v>171.5</v>
      </c>
      <c r="AP359">
        <v>173.8</v>
      </c>
      <c r="AR359">
        <v>167.4</v>
      </c>
      <c r="AT359">
        <v>174.1</v>
      </c>
    </row>
    <row r="360" spans="1:46" x14ac:dyDescent="0.3">
      <c r="A360" t="s">
        <v>34</v>
      </c>
      <c r="B360">
        <v>2022</v>
      </c>
      <c r="C360" t="s">
        <v>45</v>
      </c>
      <c r="D360">
        <v>167.4</v>
      </c>
      <c r="F360">
        <v>209.4</v>
      </c>
      <c r="H360">
        <v>181.4</v>
      </c>
      <c r="I360">
        <v>172.3</v>
      </c>
      <c r="J360">
        <v>188.9</v>
      </c>
      <c r="K360">
        <v>160.69999999999999</v>
      </c>
      <c r="L360">
        <v>183.1</v>
      </c>
      <c r="M360">
        <v>170.5</v>
      </c>
      <c r="N360">
        <v>122.1</v>
      </c>
      <c r="O360">
        <v>202.8</v>
      </c>
      <c r="P360">
        <v>170.4</v>
      </c>
      <c r="Q360">
        <v>189.5</v>
      </c>
      <c r="S360">
        <v>178.3</v>
      </c>
      <c r="T360">
        <v>196.9</v>
      </c>
      <c r="V360">
        <v>183.1</v>
      </c>
      <c r="X360">
        <v>176.2</v>
      </c>
      <c r="Z360">
        <v>182.1</v>
      </c>
      <c r="AB360">
        <v>171.8</v>
      </c>
      <c r="AC360">
        <f t="shared" si="256"/>
        <v>171.8</v>
      </c>
      <c r="AE360">
        <v>181.3</v>
      </c>
      <c r="AG360">
        <v>171.4</v>
      </c>
      <c r="AI360">
        <v>179.8</v>
      </c>
      <c r="AJ360">
        <v>163</v>
      </c>
      <c r="AL360">
        <v>168.5</v>
      </c>
      <c r="AN360">
        <v>173.7</v>
      </c>
      <c r="AP360">
        <v>173.6</v>
      </c>
      <c r="AR360">
        <v>171.1</v>
      </c>
      <c r="AT360">
        <v>176.5</v>
      </c>
    </row>
    <row r="361" spans="1:46" x14ac:dyDescent="0.3">
      <c r="A361" t="s">
        <v>30</v>
      </c>
      <c r="B361">
        <v>2022</v>
      </c>
      <c r="C361" t="s">
        <v>46</v>
      </c>
      <c r="D361">
        <v>168.8</v>
      </c>
      <c r="F361">
        <v>206.9</v>
      </c>
      <c r="H361">
        <v>189.1</v>
      </c>
      <c r="I361">
        <v>173.4</v>
      </c>
      <c r="J361">
        <v>193.9</v>
      </c>
      <c r="K361">
        <v>156.69999999999999</v>
      </c>
      <c r="L361">
        <v>150.19999999999999</v>
      </c>
      <c r="M361">
        <v>170.5</v>
      </c>
      <c r="N361">
        <v>121.2</v>
      </c>
      <c r="O361">
        <v>207.5</v>
      </c>
      <c r="P361">
        <v>176.8</v>
      </c>
      <c r="Q361">
        <v>187.7</v>
      </c>
      <c r="S361">
        <v>174.4</v>
      </c>
      <c r="T361">
        <v>195.9</v>
      </c>
      <c r="V361">
        <v>188.1</v>
      </c>
      <c r="X361">
        <v>185.9</v>
      </c>
      <c r="Z361">
        <v>187.8</v>
      </c>
      <c r="AB361" t="s">
        <v>32</v>
      </c>
      <c r="AC361">
        <f t="shared" ref="AC361" si="257">AB362</f>
        <v>170.7</v>
      </c>
      <c r="AE361">
        <v>182.8</v>
      </c>
      <c r="AG361">
        <v>176.4</v>
      </c>
      <c r="AI361">
        <v>183.5</v>
      </c>
      <c r="AJ361">
        <v>167.8</v>
      </c>
      <c r="AL361">
        <v>171.2</v>
      </c>
      <c r="AN361">
        <v>177.3</v>
      </c>
      <c r="AP361">
        <v>175.7</v>
      </c>
      <c r="AR361">
        <v>175.5</v>
      </c>
      <c r="AT361">
        <v>177.1</v>
      </c>
    </row>
    <row r="362" spans="1:46" x14ac:dyDescent="0.3">
      <c r="A362" t="s">
        <v>33</v>
      </c>
      <c r="B362">
        <v>2022</v>
      </c>
      <c r="C362" t="s">
        <v>46</v>
      </c>
      <c r="D362">
        <v>170.2</v>
      </c>
      <c r="F362">
        <v>212.9</v>
      </c>
      <c r="H362">
        <v>191.9</v>
      </c>
      <c r="I362">
        <v>173.9</v>
      </c>
      <c r="J362">
        <v>179.1</v>
      </c>
      <c r="K362">
        <v>159.5</v>
      </c>
      <c r="L362">
        <v>178.7</v>
      </c>
      <c r="M362">
        <v>171.3</v>
      </c>
      <c r="N362">
        <v>123.1</v>
      </c>
      <c r="O362">
        <v>200.5</v>
      </c>
      <c r="P362">
        <v>162.80000000000001</v>
      </c>
      <c r="Q362">
        <v>193.3</v>
      </c>
      <c r="S362">
        <v>178.6</v>
      </c>
      <c r="T362">
        <v>201.1</v>
      </c>
      <c r="V362">
        <v>177.7</v>
      </c>
      <c r="X362">
        <v>164.5</v>
      </c>
      <c r="Z362">
        <v>175.7</v>
      </c>
      <c r="AB362">
        <v>170.7</v>
      </c>
      <c r="AC362">
        <f t="shared" ref="AC362:AC363" si="258">AB362</f>
        <v>170.7</v>
      </c>
      <c r="AE362">
        <v>180.6</v>
      </c>
      <c r="AG362">
        <v>167.3</v>
      </c>
      <c r="AI362">
        <v>177.2</v>
      </c>
      <c r="AJ362">
        <v>159.4</v>
      </c>
      <c r="AL362">
        <v>167.1</v>
      </c>
      <c r="AN362">
        <v>171.8</v>
      </c>
      <c r="AP362">
        <v>176</v>
      </c>
      <c r="AR362">
        <v>168.2</v>
      </c>
      <c r="AT362">
        <v>174.1</v>
      </c>
    </row>
    <row r="363" spans="1:46" x14ac:dyDescent="0.3">
      <c r="A363" t="s">
        <v>34</v>
      </c>
      <c r="B363">
        <v>2022</v>
      </c>
      <c r="C363" t="s">
        <v>46</v>
      </c>
      <c r="D363">
        <v>169.2</v>
      </c>
      <c r="F363">
        <v>209</v>
      </c>
      <c r="H363">
        <v>190.2</v>
      </c>
      <c r="I363">
        <v>173.6</v>
      </c>
      <c r="J363">
        <v>188.5</v>
      </c>
      <c r="K363">
        <v>158</v>
      </c>
      <c r="L363">
        <v>159.9</v>
      </c>
      <c r="M363">
        <v>170.8</v>
      </c>
      <c r="N363">
        <v>121.8</v>
      </c>
      <c r="O363">
        <v>205.2</v>
      </c>
      <c r="P363">
        <v>171</v>
      </c>
      <c r="Q363">
        <v>190.3</v>
      </c>
      <c r="S363">
        <v>175.9</v>
      </c>
      <c r="T363">
        <v>197.3</v>
      </c>
      <c r="V363">
        <v>184</v>
      </c>
      <c r="X363">
        <v>177</v>
      </c>
      <c r="Z363">
        <v>183</v>
      </c>
      <c r="AB363">
        <v>170.7</v>
      </c>
      <c r="AC363">
        <f t="shared" si="258"/>
        <v>170.7</v>
      </c>
      <c r="AE363">
        <v>182</v>
      </c>
      <c r="AG363">
        <v>172.1</v>
      </c>
      <c r="AI363">
        <v>181.1</v>
      </c>
      <c r="AJ363">
        <v>163.4</v>
      </c>
      <c r="AL363">
        <v>168.9</v>
      </c>
      <c r="AN363">
        <v>174.1</v>
      </c>
      <c r="AP363">
        <v>175.8</v>
      </c>
      <c r="AR363">
        <v>172</v>
      </c>
      <c r="AT363">
        <v>175.7</v>
      </c>
    </row>
    <row r="364" spans="1:46" x14ac:dyDescent="0.3">
      <c r="A364" t="s">
        <v>30</v>
      </c>
      <c r="B364">
        <v>2023</v>
      </c>
      <c r="C364" t="s">
        <v>31</v>
      </c>
      <c r="D364">
        <v>174</v>
      </c>
      <c r="F364">
        <v>208.3</v>
      </c>
      <c r="H364">
        <v>192.9</v>
      </c>
      <c r="I364">
        <v>174.3</v>
      </c>
      <c r="J364">
        <v>192.6</v>
      </c>
      <c r="K364">
        <v>156.30000000000001</v>
      </c>
      <c r="L364">
        <v>142.9</v>
      </c>
      <c r="M364">
        <v>170.7</v>
      </c>
      <c r="N364">
        <v>120.3</v>
      </c>
      <c r="O364">
        <v>210.5</v>
      </c>
      <c r="P364">
        <v>176.9</v>
      </c>
      <c r="Q364">
        <v>188.5</v>
      </c>
      <c r="S364">
        <v>175</v>
      </c>
      <c r="T364">
        <v>196.9</v>
      </c>
      <c r="V364">
        <v>189</v>
      </c>
      <c r="X364">
        <v>186.3</v>
      </c>
      <c r="Z364">
        <v>188.6</v>
      </c>
      <c r="AB364" t="s">
        <v>32</v>
      </c>
      <c r="AC364">
        <f t="shared" ref="AC364" si="259">AB365</f>
        <v>172.1</v>
      </c>
      <c r="AE364">
        <v>183.2</v>
      </c>
      <c r="AG364">
        <v>177.2</v>
      </c>
      <c r="AI364">
        <v>184.7</v>
      </c>
      <c r="AJ364">
        <v>168.2</v>
      </c>
      <c r="AL364">
        <v>171.8</v>
      </c>
      <c r="AN364">
        <v>177.8</v>
      </c>
      <c r="AP364">
        <v>178.4</v>
      </c>
      <c r="AR364">
        <v>176.5</v>
      </c>
      <c r="AT364">
        <v>177.8</v>
      </c>
    </row>
    <row r="365" spans="1:46" x14ac:dyDescent="0.3">
      <c r="A365" t="s">
        <v>33</v>
      </c>
      <c r="B365">
        <v>2023</v>
      </c>
      <c r="C365" t="s">
        <v>31</v>
      </c>
      <c r="D365">
        <v>173.3</v>
      </c>
      <c r="F365">
        <v>215.2</v>
      </c>
      <c r="H365">
        <v>197</v>
      </c>
      <c r="I365">
        <v>175.2</v>
      </c>
      <c r="J365">
        <v>178</v>
      </c>
      <c r="K365">
        <v>160.5</v>
      </c>
      <c r="L365">
        <v>175.3</v>
      </c>
      <c r="M365">
        <v>171.2</v>
      </c>
      <c r="N365">
        <v>122.7</v>
      </c>
      <c r="O365">
        <v>204.3</v>
      </c>
      <c r="P365">
        <v>163.69999999999999</v>
      </c>
      <c r="Q365">
        <v>194.3</v>
      </c>
      <c r="S365">
        <v>179.5</v>
      </c>
      <c r="T365">
        <v>201.6</v>
      </c>
      <c r="V365">
        <v>178.7</v>
      </c>
      <c r="X365">
        <v>165.3</v>
      </c>
      <c r="Z365">
        <v>176.6</v>
      </c>
      <c r="AB365">
        <v>172.1</v>
      </c>
      <c r="AC365">
        <f t="shared" ref="AC365:AC366" si="260">AB365</f>
        <v>172.1</v>
      </c>
      <c r="AE365">
        <v>180.1</v>
      </c>
      <c r="AG365">
        <v>168</v>
      </c>
      <c r="AI365">
        <v>178.5</v>
      </c>
      <c r="AJ365">
        <v>159.5</v>
      </c>
      <c r="AL365">
        <v>167.8</v>
      </c>
      <c r="AN365">
        <v>171.8</v>
      </c>
      <c r="AP365">
        <v>178.8</v>
      </c>
      <c r="AR365">
        <v>168.9</v>
      </c>
      <c r="AT365">
        <v>174.9</v>
      </c>
    </row>
    <row r="366" spans="1:46" x14ac:dyDescent="0.3">
      <c r="A366" t="s">
        <v>34</v>
      </c>
      <c r="B366">
        <v>2023</v>
      </c>
      <c r="C366" t="s">
        <v>31</v>
      </c>
      <c r="D366">
        <v>173.8</v>
      </c>
      <c r="F366">
        <v>210.7</v>
      </c>
      <c r="H366">
        <v>194.5</v>
      </c>
      <c r="I366">
        <v>174.6</v>
      </c>
      <c r="J366">
        <v>187.2</v>
      </c>
      <c r="K366">
        <v>158.30000000000001</v>
      </c>
      <c r="L366">
        <v>153.9</v>
      </c>
      <c r="M366">
        <v>170.9</v>
      </c>
      <c r="N366">
        <v>121.1</v>
      </c>
      <c r="O366">
        <v>208.4</v>
      </c>
      <c r="P366">
        <v>171.4</v>
      </c>
      <c r="Q366">
        <v>191.2</v>
      </c>
      <c r="S366">
        <v>176.7</v>
      </c>
      <c r="T366">
        <v>198.2</v>
      </c>
      <c r="V366">
        <v>184.9</v>
      </c>
      <c r="X366">
        <v>177.6</v>
      </c>
      <c r="Z366">
        <v>183.8</v>
      </c>
      <c r="AB366">
        <v>172.1</v>
      </c>
      <c r="AC366">
        <f t="shared" si="260"/>
        <v>172.1</v>
      </c>
      <c r="AE366">
        <v>182</v>
      </c>
      <c r="AG366">
        <v>172.9</v>
      </c>
      <c r="AI366">
        <v>182.3</v>
      </c>
      <c r="AJ366">
        <v>163.6</v>
      </c>
      <c r="AL366">
        <v>169.5</v>
      </c>
      <c r="AN366">
        <v>174.3</v>
      </c>
      <c r="AP366">
        <v>178.6</v>
      </c>
      <c r="AR366">
        <v>172.8</v>
      </c>
      <c r="AT366">
        <v>176.5</v>
      </c>
    </row>
    <row r="367" spans="1:46" x14ac:dyDescent="0.3">
      <c r="A367" t="s">
        <v>30</v>
      </c>
      <c r="B367">
        <v>2023</v>
      </c>
      <c r="C367" t="s">
        <v>35</v>
      </c>
      <c r="D367">
        <v>174.2</v>
      </c>
      <c r="F367">
        <v>205.2</v>
      </c>
      <c r="H367">
        <v>173.9</v>
      </c>
      <c r="I367">
        <v>177</v>
      </c>
      <c r="J367">
        <v>183.4</v>
      </c>
      <c r="K367">
        <v>167.2</v>
      </c>
      <c r="L367">
        <v>140.9</v>
      </c>
      <c r="M367">
        <v>170.4</v>
      </c>
      <c r="N367">
        <v>119.1</v>
      </c>
      <c r="O367">
        <v>212.1</v>
      </c>
      <c r="P367">
        <v>177.6</v>
      </c>
      <c r="Q367">
        <v>189.9</v>
      </c>
      <c r="S367">
        <v>174.8</v>
      </c>
      <c r="T367">
        <v>198.3</v>
      </c>
      <c r="V367">
        <v>190</v>
      </c>
      <c r="X367">
        <v>187</v>
      </c>
      <c r="Z367">
        <v>189.6</v>
      </c>
      <c r="AB367" t="s">
        <v>32</v>
      </c>
      <c r="AC367">
        <f t="shared" ref="AC367" si="261">AB368</f>
        <v>173.5</v>
      </c>
      <c r="AE367">
        <v>181.6</v>
      </c>
      <c r="AG367">
        <v>178.6</v>
      </c>
      <c r="AI367">
        <v>186.6</v>
      </c>
      <c r="AJ367">
        <v>169</v>
      </c>
      <c r="AL367">
        <v>172.8</v>
      </c>
      <c r="AN367">
        <v>178.5</v>
      </c>
      <c r="AP367">
        <v>180.7</v>
      </c>
      <c r="AR367">
        <v>177.9</v>
      </c>
      <c r="AT367">
        <v>178</v>
      </c>
    </row>
    <row r="368" spans="1:46" x14ac:dyDescent="0.3">
      <c r="A368" t="s">
        <v>33</v>
      </c>
      <c r="B368">
        <v>2023</v>
      </c>
      <c r="C368" t="s">
        <v>35</v>
      </c>
      <c r="D368">
        <v>174.7</v>
      </c>
      <c r="F368">
        <v>212.2</v>
      </c>
      <c r="H368">
        <v>177.2</v>
      </c>
      <c r="I368">
        <v>177.9</v>
      </c>
      <c r="J368">
        <v>172.2</v>
      </c>
      <c r="K368">
        <v>172.1</v>
      </c>
      <c r="L368">
        <v>175.8</v>
      </c>
      <c r="M368">
        <v>172.2</v>
      </c>
      <c r="N368">
        <v>121.9</v>
      </c>
      <c r="O368">
        <v>204.8</v>
      </c>
      <c r="P368">
        <v>164.9</v>
      </c>
      <c r="Q368">
        <v>196.6</v>
      </c>
      <c r="S368">
        <v>180.7</v>
      </c>
      <c r="T368">
        <v>202.7</v>
      </c>
      <c r="V368">
        <v>180.3</v>
      </c>
      <c r="X368">
        <v>167</v>
      </c>
      <c r="Z368">
        <v>178.2</v>
      </c>
      <c r="AB368">
        <v>173.5</v>
      </c>
      <c r="AC368">
        <f t="shared" ref="AC368:AC369" si="262">AB368</f>
        <v>173.5</v>
      </c>
      <c r="AE368">
        <v>182.8</v>
      </c>
      <c r="AG368">
        <v>169.2</v>
      </c>
      <c r="AI368">
        <v>180.8</v>
      </c>
      <c r="AJ368">
        <v>159.80000000000001</v>
      </c>
      <c r="AL368">
        <v>168.4</v>
      </c>
      <c r="AN368">
        <v>172.5</v>
      </c>
      <c r="AP368">
        <v>181.4</v>
      </c>
      <c r="AR368">
        <v>170</v>
      </c>
      <c r="AT368">
        <v>176.3</v>
      </c>
    </row>
    <row r="369" spans="1:46" x14ac:dyDescent="0.3">
      <c r="A369" t="s">
        <v>34</v>
      </c>
      <c r="B369">
        <v>2023</v>
      </c>
      <c r="C369" t="s">
        <v>35</v>
      </c>
      <c r="D369">
        <v>174.4</v>
      </c>
      <c r="F369">
        <v>207.7</v>
      </c>
      <c r="H369">
        <v>175.2</v>
      </c>
      <c r="I369">
        <v>177.3</v>
      </c>
      <c r="J369">
        <v>179.3</v>
      </c>
      <c r="K369">
        <v>169.5</v>
      </c>
      <c r="L369">
        <v>152.69999999999999</v>
      </c>
      <c r="M369">
        <v>171</v>
      </c>
      <c r="N369">
        <v>120</v>
      </c>
      <c r="O369">
        <v>209.7</v>
      </c>
      <c r="P369">
        <v>172.3</v>
      </c>
      <c r="Q369">
        <v>193</v>
      </c>
      <c r="S369">
        <v>177</v>
      </c>
      <c r="T369">
        <v>199.5</v>
      </c>
      <c r="V369">
        <v>186.2</v>
      </c>
      <c r="X369">
        <v>178.7</v>
      </c>
      <c r="Z369">
        <v>185.1</v>
      </c>
      <c r="AB369">
        <v>173.5</v>
      </c>
      <c r="AC369">
        <f t="shared" si="262"/>
        <v>173.5</v>
      </c>
      <c r="AE369">
        <v>182.1</v>
      </c>
      <c r="AG369">
        <v>174.2</v>
      </c>
      <c r="AI369">
        <v>184.4</v>
      </c>
      <c r="AJ369">
        <v>164.2</v>
      </c>
      <c r="AL369">
        <v>170.3</v>
      </c>
      <c r="AN369">
        <v>175</v>
      </c>
      <c r="AP369">
        <v>181</v>
      </c>
      <c r="AR369">
        <v>174.1</v>
      </c>
      <c r="AT369">
        <v>177.2</v>
      </c>
    </row>
    <row r="370" spans="1:46" x14ac:dyDescent="0.3">
      <c r="A370" t="s">
        <v>30</v>
      </c>
      <c r="B370">
        <v>2023</v>
      </c>
      <c r="C370" t="s">
        <v>36</v>
      </c>
      <c r="D370">
        <v>174.3</v>
      </c>
      <c r="F370">
        <v>205.2</v>
      </c>
      <c r="H370">
        <v>173.9</v>
      </c>
      <c r="I370">
        <v>177</v>
      </c>
      <c r="J370">
        <v>183.3</v>
      </c>
      <c r="K370">
        <v>167.2</v>
      </c>
      <c r="L370">
        <v>140.9</v>
      </c>
      <c r="M370">
        <v>170.5</v>
      </c>
      <c r="N370">
        <v>119.1</v>
      </c>
      <c r="O370">
        <v>212.1</v>
      </c>
      <c r="P370">
        <v>177.6</v>
      </c>
      <c r="Q370">
        <v>189.9</v>
      </c>
      <c r="S370">
        <v>174.8</v>
      </c>
      <c r="T370">
        <v>198.4</v>
      </c>
      <c r="V370">
        <v>190</v>
      </c>
      <c r="X370">
        <v>187</v>
      </c>
      <c r="Z370">
        <v>189.6</v>
      </c>
      <c r="AB370" t="s">
        <v>32</v>
      </c>
      <c r="AC370">
        <f t="shared" ref="AC370" si="263">AB371</f>
        <v>173.5</v>
      </c>
      <c r="AE370">
        <v>181.4</v>
      </c>
      <c r="AG370">
        <v>178.6</v>
      </c>
      <c r="AI370">
        <v>186.6</v>
      </c>
      <c r="AJ370">
        <v>169</v>
      </c>
      <c r="AL370">
        <v>172.8</v>
      </c>
      <c r="AN370">
        <v>178.5</v>
      </c>
      <c r="AP370">
        <v>180.7</v>
      </c>
      <c r="AR370">
        <v>177.9</v>
      </c>
      <c r="AT370">
        <v>178</v>
      </c>
    </row>
    <row r="371" spans="1:46" x14ac:dyDescent="0.3">
      <c r="A371" t="s">
        <v>33</v>
      </c>
      <c r="B371">
        <v>2023</v>
      </c>
      <c r="C371" t="s">
        <v>36</v>
      </c>
      <c r="D371">
        <v>174.7</v>
      </c>
      <c r="F371">
        <v>212.2</v>
      </c>
      <c r="H371">
        <v>177.2</v>
      </c>
      <c r="I371">
        <v>177.9</v>
      </c>
      <c r="J371">
        <v>172.2</v>
      </c>
      <c r="K371">
        <v>172.1</v>
      </c>
      <c r="L371">
        <v>175.9</v>
      </c>
      <c r="M371">
        <v>172.2</v>
      </c>
      <c r="N371">
        <v>121.9</v>
      </c>
      <c r="O371">
        <v>204.8</v>
      </c>
      <c r="P371">
        <v>164.9</v>
      </c>
      <c r="Q371">
        <v>196.6</v>
      </c>
      <c r="S371">
        <v>180.8</v>
      </c>
      <c r="T371">
        <v>202.7</v>
      </c>
      <c r="V371">
        <v>180.2</v>
      </c>
      <c r="X371">
        <v>167</v>
      </c>
      <c r="Z371">
        <v>178.2</v>
      </c>
      <c r="AB371">
        <v>173.5</v>
      </c>
      <c r="AC371">
        <f t="shared" ref="AC371:AC372" si="264">AB371</f>
        <v>173.5</v>
      </c>
      <c r="AE371">
        <v>182.6</v>
      </c>
      <c r="AG371">
        <v>169.2</v>
      </c>
      <c r="AI371">
        <v>180.8</v>
      </c>
      <c r="AJ371">
        <v>159.80000000000001</v>
      </c>
      <c r="AL371">
        <v>168.4</v>
      </c>
      <c r="AN371">
        <v>172.5</v>
      </c>
      <c r="AP371">
        <v>181.5</v>
      </c>
      <c r="AR371">
        <v>170</v>
      </c>
      <c r="AT371">
        <v>176.3</v>
      </c>
    </row>
    <row r="372" spans="1:46" x14ac:dyDescent="0.3">
      <c r="A372" t="s">
        <v>34</v>
      </c>
      <c r="B372">
        <v>2023</v>
      </c>
      <c r="C372" t="s">
        <v>36</v>
      </c>
      <c r="D372">
        <v>174.4</v>
      </c>
      <c r="F372">
        <v>207.7</v>
      </c>
      <c r="H372">
        <v>175.2</v>
      </c>
      <c r="I372">
        <v>177.3</v>
      </c>
      <c r="J372">
        <v>179.2</v>
      </c>
      <c r="K372">
        <v>169.5</v>
      </c>
      <c r="L372">
        <v>152.80000000000001</v>
      </c>
      <c r="M372">
        <v>171.1</v>
      </c>
      <c r="N372">
        <v>120</v>
      </c>
      <c r="O372">
        <v>209.7</v>
      </c>
      <c r="P372">
        <v>172.3</v>
      </c>
      <c r="Q372">
        <v>193</v>
      </c>
      <c r="S372">
        <v>177</v>
      </c>
      <c r="T372">
        <v>199.5</v>
      </c>
      <c r="V372">
        <v>186.1</v>
      </c>
      <c r="X372">
        <v>178.7</v>
      </c>
      <c r="Z372">
        <v>185.1</v>
      </c>
      <c r="AB372">
        <v>173.5</v>
      </c>
      <c r="AC372">
        <f t="shared" si="264"/>
        <v>173.5</v>
      </c>
      <c r="AE372">
        <v>181.9</v>
      </c>
      <c r="AG372">
        <v>174.2</v>
      </c>
      <c r="AI372">
        <v>184.4</v>
      </c>
      <c r="AJ372">
        <v>164.2</v>
      </c>
      <c r="AL372">
        <v>170.3</v>
      </c>
      <c r="AN372">
        <v>175</v>
      </c>
      <c r="AP372">
        <v>181</v>
      </c>
      <c r="AR372">
        <v>174.1</v>
      </c>
      <c r="AT372">
        <v>177.2</v>
      </c>
    </row>
    <row r="373" spans="1:46" x14ac:dyDescent="0.3">
      <c r="A373" t="s">
        <v>30</v>
      </c>
      <c r="B373">
        <v>2023</v>
      </c>
      <c r="C373" t="s">
        <v>37</v>
      </c>
      <c r="D373">
        <v>173.3</v>
      </c>
      <c r="F373">
        <v>206.9</v>
      </c>
      <c r="H373">
        <v>167.9</v>
      </c>
      <c r="I373">
        <v>178.2</v>
      </c>
      <c r="J373">
        <v>178.5</v>
      </c>
      <c r="K373">
        <v>173.7</v>
      </c>
      <c r="L373">
        <v>142.80000000000001</v>
      </c>
      <c r="M373">
        <v>172.8</v>
      </c>
      <c r="N373">
        <v>120.4</v>
      </c>
      <c r="O373">
        <v>215.5</v>
      </c>
      <c r="P373">
        <v>178.2</v>
      </c>
      <c r="Q373">
        <v>190.5</v>
      </c>
      <c r="S373">
        <v>175.5</v>
      </c>
      <c r="T373">
        <v>199.5</v>
      </c>
      <c r="V373">
        <v>190.7</v>
      </c>
      <c r="X373">
        <v>187.3</v>
      </c>
      <c r="Z373">
        <v>190.2</v>
      </c>
      <c r="AB373" t="s">
        <v>48</v>
      </c>
      <c r="AC373">
        <f t="shared" ref="AC373" si="265">AB374</f>
        <v>175.2</v>
      </c>
      <c r="AE373">
        <v>181.5</v>
      </c>
      <c r="AG373">
        <v>179.1</v>
      </c>
      <c r="AI373">
        <v>187.2</v>
      </c>
      <c r="AJ373">
        <v>169.4</v>
      </c>
      <c r="AL373">
        <v>173.2</v>
      </c>
      <c r="AN373">
        <v>179.4</v>
      </c>
      <c r="AP373">
        <v>183.8</v>
      </c>
      <c r="AR373">
        <v>178.9</v>
      </c>
      <c r="AT373">
        <v>178.8</v>
      </c>
    </row>
    <row r="374" spans="1:46" x14ac:dyDescent="0.3">
      <c r="A374" t="s">
        <v>33</v>
      </c>
      <c r="B374">
        <v>2023</v>
      </c>
      <c r="C374" t="s">
        <v>37</v>
      </c>
      <c r="D374">
        <v>174.8</v>
      </c>
      <c r="F374">
        <v>213.7</v>
      </c>
      <c r="H374">
        <v>172.4</v>
      </c>
      <c r="I374">
        <v>178.8</v>
      </c>
      <c r="J374">
        <v>168.7</v>
      </c>
      <c r="K374">
        <v>179.2</v>
      </c>
      <c r="L374">
        <v>179.9</v>
      </c>
      <c r="M374">
        <v>174.7</v>
      </c>
      <c r="N374">
        <v>123.1</v>
      </c>
      <c r="O374">
        <v>207.8</v>
      </c>
      <c r="P374">
        <v>165.5</v>
      </c>
      <c r="Q374">
        <v>197</v>
      </c>
      <c r="S374">
        <v>182.1</v>
      </c>
      <c r="T374">
        <v>203.5</v>
      </c>
      <c r="V374">
        <v>181</v>
      </c>
      <c r="X374">
        <v>167.7</v>
      </c>
      <c r="Z374">
        <v>178.9</v>
      </c>
      <c r="AB374">
        <v>175.2</v>
      </c>
      <c r="AC374">
        <f t="shared" ref="AC374:AC375" si="266">AB374</f>
        <v>175.2</v>
      </c>
      <c r="AE374">
        <v>182.1</v>
      </c>
      <c r="AG374">
        <v>169.6</v>
      </c>
      <c r="AI374">
        <v>181.5</v>
      </c>
      <c r="AJ374">
        <v>160.1</v>
      </c>
      <c r="AL374">
        <v>168.8</v>
      </c>
      <c r="AN374">
        <v>174.2</v>
      </c>
      <c r="AP374">
        <v>184.4</v>
      </c>
      <c r="AR374">
        <v>170.9</v>
      </c>
      <c r="AT374">
        <v>177.4</v>
      </c>
    </row>
    <row r="375" spans="1:46" x14ac:dyDescent="0.3">
      <c r="A375" t="s">
        <v>34</v>
      </c>
      <c r="B375">
        <v>2023</v>
      </c>
      <c r="C375" t="s">
        <v>37</v>
      </c>
      <c r="D375">
        <v>173.8</v>
      </c>
      <c r="F375">
        <v>209.3</v>
      </c>
      <c r="H375">
        <v>169.6</v>
      </c>
      <c r="I375">
        <v>178.4</v>
      </c>
      <c r="J375">
        <v>174.9</v>
      </c>
      <c r="K375">
        <v>176.3</v>
      </c>
      <c r="L375">
        <v>155.4</v>
      </c>
      <c r="M375">
        <v>173.4</v>
      </c>
      <c r="N375">
        <v>121.3</v>
      </c>
      <c r="O375">
        <v>212.9</v>
      </c>
      <c r="P375">
        <v>172.9</v>
      </c>
      <c r="Q375">
        <v>193.5</v>
      </c>
      <c r="S375">
        <v>177.9</v>
      </c>
      <c r="T375">
        <v>200.6</v>
      </c>
      <c r="V375">
        <v>186.9</v>
      </c>
      <c r="X375">
        <v>179.2</v>
      </c>
      <c r="Z375">
        <v>185.7</v>
      </c>
      <c r="AB375">
        <v>175.2</v>
      </c>
      <c r="AC375">
        <f t="shared" si="266"/>
        <v>175.2</v>
      </c>
      <c r="AE375">
        <v>181.7</v>
      </c>
      <c r="AG375">
        <v>174.6</v>
      </c>
      <c r="AI375">
        <v>185</v>
      </c>
      <c r="AJ375">
        <v>164.5</v>
      </c>
      <c r="AL375">
        <v>170.7</v>
      </c>
      <c r="AN375">
        <v>176.4</v>
      </c>
      <c r="AP375">
        <v>184</v>
      </c>
      <c r="AR375">
        <v>175</v>
      </c>
      <c r="AT375">
        <v>178.1</v>
      </c>
    </row>
    <row r="376" spans="1:46" x14ac:dyDescent="0.3">
      <c r="A376" t="s">
        <v>30</v>
      </c>
      <c r="B376">
        <v>2023</v>
      </c>
      <c r="C376" t="s">
        <v>38</v>
      </c>
      <c r="D376">
        <v>173.2</v>
      </c>
      <c r="F376">
        <v>211.5</v>
      </c>
      <c r="H376">
        <v>171</v>
      </c>
      <c r="I376">
        <v>179.6</v>
      </c>
      <c r="J376">
        <v>173.3</v>
      </c>
      <c r="K376">
        <v>169</v>
      </c>
      <c r="L376">
        <v>148.69999999999999</v>
      </c>
      <c r="M376">
        <v>174.9</v>
      </c>
      <c r="N376">
        <v>121.9</v>
      </c>
      <c r="O376">
        <v>221</v>
      </c>
      <c r="P376">
        <v>178.7</v>
      </c>
      <c r="Q376">
        <v>191.1</v>
      </c>
      <c r="S376">
        <v>176.8</v>
      </c>
      <c r="T376">
        <v>199.9</v>
      </c>
      <c r="V376">
        <v>191.2</v>
      </c>
      <c r="X376">
        <v>187.9</v>
      </c>
      <c r="Z376">
        <v>190.8</v>
      </c>
      <c r="AB376" t="s">
        <v>48</v>
      </c>
      <c r="AC376">
        <f t="shared" ref="AC376" si="267">AB377</f>
        <v>175.6</v>
      </c>
      <c r="AE376">
        <v>182.5</v>
      </c>
      <c r="AG376">
        <v>179.8</v>
      </c>
      <c r="AI376">
        <v>187.8</v>
      </c>
      <c r="AJ376">
        <v>169.7</v>
      </c>
      <c r="AL376">
        <v>173.8</v>
      </c>
      <c r="AN376">
        <v>180.3</v>
      </c>
      <c r="AP376">
        <v>184.9</v>
      </c>
      <c r="AR376">
        <v>179.5</v>
      </c>
      <c r="AT376">
        <v>179.8</v>
      </c>
    </row>
    <row r="377" spans="1:46" x14ac:dyDescent="0.3">
      <c r="A377" t="s">
        <v>33</v>
      </c>
      <c r="B377">
        <v>2023</v>
      </c>
      <c r="C377" t="s">
        <v>38</v>
      </c>
      <c r="D377">
        <v>174.7</v>
      </c>
      <c r="F377">
        <v>219.4</v>
      </c>
      <c r="H377">
        <v>176.7</v>
      </c>
      <c r="I377">
        <v>179.4</v>
      </c>
      <c r="J377">
        <v>164.4</v>
      </c>
      <c r="K377">
        <v>175.8</v>
      </c>
      <c r="L377">
        <v>185</v>
      </c>
      <c r="M377">
        <v>176.9</v>
      </c>
      <c r="N377">
        <v>124.2</v>
      </c>
      <c r="O377">
        <v>211.9</v>
      </c>
      <c r="P377">
        <v>165.9</v>
      </c>
      <c r="Q377">
        <v>197.7</v>
      </c>
      <c r="S377">
        <v>183.1</v>
      </c>
      <c r="T377">
        <v>204.2</v>
      </c>
      <c r="V377">
        <v>181.3</v>
      </c>
      <c r="X377">
        <v>168.1</v>
      </c>
      <c r="Z377">
        <v>179.3</v>
      </c>
      <c r="AB377">
        <v>175.6</v>
      </c>
      <c r="AC377">
        <f t="shared" ref="AC377:AC378" si="268">AB377</f>
        <v>175.6</v>
      </c>
      <c r="AE377">
        <v>183.4</v>
      </c>
      <c r="AG377">
        <v>170.1</v>
      </c>
      <c r="AI377">
        <v>182.2</v>
      </c>
      <c r="AJ377">
        <v>160.4</v>
      </c>
      <c r="AL377">
        <v>169.2</v>
      </c>
      <c r="AN377">
        <v>174.8</v>
      </c>
      <c r="AP377">
        <v>185.6</v>
      </c>
      <c r="AR377">
        <v>171.6</v>
      </c>
      <c r="AT377">
        <v>178.2</v>
      </c>
    </row>
    <row r="378" spans="1:46" x14ac:dyDescent="0.3">
      <c r="A378" t="s">
        <v>34</v>
      </c>
      <c r="B378">
        <v>2023</v>
      </c>
      <c r="C378" t="s">
        <v>38</v>
      </c>
      <c r="D378">
        <v>173.7</v>
      </c>
      <c r="F378">
        <v>214.3</v>
      </c>
      <c r="H378">
        <v>173.2</v>
      </c>
      <c r="I378">
        <v>179.5</v>
      </c>
      <c r="J378">
        <v>170</v>
      </c>
      <c r="K378">
        <v>172.2</v>
      </c>
      <c r="L378">
        <v>161</v>
      </c>
      <c r="M378">
        <v>175.6</v>
      </c>
      <c r="N378">
        <v>122.7</v>
      </c>
      <c r="O378">
        <v>218</v>
      </c>
      <c r="P378">
        <v>173.4</v>
      </c>
      <c r="Q378">
        <v>194.2</v>
      </c>
      <c r="S378">
        <v>179.1</v>
      </c>
      <c r="T378">
        <v>201</v>
      </c>
      <c r="V378">
        <v>187.3</v>
      </c>
      <c r="X378">
        <v>179.7</v>
      </c>
      <c r="Z378">
        <v>186.2</v>
      </c>
      <c r="AB378">
        <v>175.6</v>
      </c>
      <c r="AC378">
        <f t="shared" si="268"/>
        <v>175.6</v>
      </c>
      <c r="AE378">
        <v>182.8</v>
      </c>
      <c r="AG378">
        <v>175.2</v>
      </c>
      <c r="AI378">
        <v>185.7</v>
      </c>
      <c r="AJ378">
        <v>164.8</v>
      </c>
      <c r="AL378">
        <v>171.2</v>
      </c>
      <c r="AN378">
        <v>177.1</v>
      </c>
      <c r="AP378">
        <v>185.2</v>
      </c>
      <c r="AR378">
        <v>175.7</v>
      </c>
      <c r="AT378">
        <v>179.1</v>
      </c>
    </row>
  </sheetData>
  <autoFilter ref="A6:AU378" xr:uid="{E8594F15-BA4C-46B4-941D-EC244B3A4BCA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FC1D-A6A4-4EFE-8A11-B496B34A4070}">
  <dimension ref="A1:AD373"/>
  <sheetViews>
    <sheetView tabSelected="1" workbookViewId="0"/>
  </sheetViews>
  <sheetFormatPr defaultRowHeight="14.4" x14ac:dyDescent="0.3"/>
  <cols>
    <col min="1" max="1" width="11.21875" bestFit="1" customWidth="1"/>
    <col min="2" max="2" width="6.88671875" style="2" bestFit="1" customWidth="1"/>
    <col min="3" max="3" width="9.77734375" bestFit="1" customWidth="1"/>
    <col min="4" max="4" width="20.44140625" bestFit="1" customWidth="1"/>
    <col min="5" max="5" width="14.44140625" customWidth="1"/>
    <col min="6" max="6" width="6" bestFit="1" customWidth="1"/>
    <col min="7" max="7" width="18.109375" customWidth="1"/>
    <col min="8" max="8" width="13.21875" bestFit="1" customWidth="1"/>
    <col min="9" max="9" width="7.6640625" bestFit="1" customWidth="1"/>
    <col min="10" max="10" width="12.109375" bestFit="1" customWidth="1"/>
    <col min="11" max="11" width="19.6640625" customWidth="1"/>
    <col min="12" max="12" width="23.6640625" customWidth="1"/>
    <col min="13" max="13" width="8.21875" bestFit="1" customWidth="1"/>
    <col min="14" max="14" width="23.6640625" bestFit="1" customWidth="1"/>
    <col min="15" max="15" width="32.6640625" bestFit="1" customWidth="1"/>
    <col min="16" max="16" width="19.77734375" customWidth="1"/>
    <col min="17" max="17" width="27.109375" customWidth="1"/>
    <col min="18" max="18" width="9.88671875" bestFit="1" customWidth="1"/>
    <col min="19" max="19" width="11.109375" bestFit="1" customWidth="1"/>
    <col min="20" max="20" width="21.6640625" bestFit="1" customWidth="1"/>
    <col min="21" max="21" width="9.6640625" bestFit="1" customWidth="1"/>
    <col min="22" max="22" width="14.109375" customWidth="1"/>
    <col min="23" max="23" width="28.109375" customWidth="1"/>
    <col min="24" max="24" width="8.5546875" bestFit="1" customWidth="1"/>
    <col min="25" max="25" width="28.33203125" customWidth="1"/>
    <col min="26" max="26" width="26" customWidth="1"/>
    <col min="27" max="27" width="11.33203125" bestFit="1" customWidth="1"/>
    <col min="28" max="28" width="24.109375" bestFit="1" customWidth="1"/>
    <col min="29" max="29" width="14.77734375" bestFit="1" customWidth="1"/>
    <col min="30" max="30" width="14.33203125" bestFit="1" customWidth="1"/>
  </cols>
  <sheetData>
    <row r="1" spans="1:30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1" t="s">
        <v>30</v>
      </c>
      <c r="B2" s="2">
        <v>2013</v>
      </c>
      <c r="C2" s="1" t="s">
        <v>31</v>
      </c>
      <c r="D2" s="1">
        <v>107.5</v>
      </c>
      <c r="E2" s="1">
        <v>106.3</v>
      </c>
      <c r="F2" s="1">
        <v>108.1</v>
      </c>
      <c r="G2" s="1">
        <v>104.9</v>
      </c>
      <c r="H2" s="1">
        <v>106.1</v>
      </c>
      <c r="I2" s="1">
        <v>103.9</v>
      </c>
      <c r="J2" s="1">
        <v>101.9</v>
      </c>
      <c r="K2" s="1">
        <v>106.1</v>
      </c>
      <c r="L2" s="1">
        <v>106.8</v>
      </c>
      <c r="M2" s="1">
        <v>103.1</v>
      </c>
      <c r="N2" s="1">
        <v>104.8</v>
      </c>
      <c r="O2" s="1">
        <v>106.7</v>
      </c>
      <c r="P2" s="1">
        <v>105.5</v>
      </c>
      <c r="Q2" s="1">
        <v>105.1</v>
      </c>
      <c r="R2" s="1">
        <v>106.5</v>
      </c>
      <c r="S2" s="1">
        <v>105.8</v>
      </c>
      <c r="T2" s="1">
        <v>106.4</v>
      </c>
      <c r="U2" s="1">
        <f>U3</f>
        <v>100.3</v>
      </c>
      <c r="V2" s="1">
        <v>105.5</v>
      </c>
      <c r="W2" s="1">
        <v>104.8</v>
      </c>
      <c r="X2" s="1">
        <v>104</v>
      </c>
      <c r="Y2" s="1">
        <v>103.3</v>
      </c>
      <c r="Z2" s="1">
        <v>103.4</v>
      </c>
      <c r="AA2" s="1">
        <v>103.8</v>
      </c>
      <c r="AB2" s="1">
        <v>104.7</v>
      </c>
      <c r="AC2" s="1">
        <v>104</v>
      </c>
      <c r="AD2" s="1">
        <v>105.1</v>
      </c>
    </row>
    <row r="3" spans="1:30" x14ac:dyDescent="0.3">
      <c r="A3" s="1" t="s">
        <v>33</v>
      </c>
      <c r="B3" s="2">
        <v>2013</v>
      </c>
      <c r="C3" s="1" t="s">
        <v>31</v>
      </c>
      <c r="D3" s="1">
        <v>110.5</v>
      </c>
      <c r="E3" s="1">
        <v>109.1</v>
      </c>
      <c r="F3" s="1">
        <v>113</v>
      </c>
      <c r="G3" s="1">
        <v>103.6</v>
      </c>
      <c r="H3" s="1">
        <v>103.4</v>
      </c>
      <c r="I3" s="1">
        <v>102.3</v>
      </c>
      <c r="J3" s="1">
        <v>102.9</v>
      </c>
      <c r="K3" s="1">
        <v>105.8</v>
      </c>
      <c r="L3" s="1">
        <v>105.1</v>
      </c>
      <c r="M3" s="1">
        <v>101.8</v>
      </c>
      <c r="N3" s="1">
        <v>105.1</v>
      </c>
      <c r="O3" s="1">
        <v>107.9</v>
      </c>
      <c r="P3" s="1">
        <v>105.9</v>
      </c>
      <c r="Q3" s="1">
        <v>105.2</v>
      </c>
      <c r="R3" s="1">
        <v>105.9</v>
      </c>
      <c r="S3" s="1">
        <v>105</v>
      </c>
      <c r="T3" s="1">
        <v>105.8</v>
      </c>
      <c r="U3" s="1">
        <v>100.3</v>
      </c>
      <c r="V3" s="1">
        <v>105.4</v>
      </c>
      <c r="W3" s="1">
        <v>104.8</v>
      </c>
      <c r="X3" s="1">
        <v>104.1</v>
      </c>
      <c r="Y3" s="1">
        <v>103.2</v>
      </c>
      <c r="Z3" s="1">
        <v>102.9</v>
      </c>
      <c r="AA3" s="1">
        <v>103.5</v>
      </c>
      <c r="AB3" s="1">
        <v>104.3</v>
      </c>
      <c r="AC3" s="1">
        <v>103.7</v>
      </c>
      <c r="AD3" s="1">
        <v>104</v>
      </c>
    </row>
    <row r="4" spans="1:30" x14ac:dyDescent="0.3">
      <c r="A4" s="1" t="s">
        <v>34</v>
      </c>
      <c r="B4" s="2">
        <v>2013</v>
      </c>
      <c r="C4" s="1" t="s">
        <v>31</v>
      </c>
      <c r="D4" s="1">
        <v>108.4</v>
      </c>
      <c r="E4" s="1">
        <v>107.3</v>
      </c>
      <c r="F4" s="1">
        <v>110</v>
      </c>
      <c r="G4" s="1">
        <v>104.4</v>
      </c>
      <c r="H4" s="1">
        <v>105.1</v>
      </c>
      <c r="I4" s="1">
        <v>103.2</v>
      </c>
      <c r="J4" s="1">
        <v>102.2</v>
      </c>
      <c r="K4" s="1">
        <v>106</v>
      </c>
      <c r="L4" s="1">
        <v>106.2</v>
      </c>
      <c r="M4" s="1">
        <v>102.7</v>
      </c>
      <c r="N4" s="1">
        <v>104.9</v>
      </c>
      <c r="O4" s="1">
        <v>107.3</v>
      </c>
      <c r="P4" s="1">
        <v>105.6</v>
      </c>
      <c r="Q4" s="1">
        <v>105.1</v>
      </c>
      <c r="R4" s="1">
        <v>106.3</v>
      </c>
      <c r="S4" s="1">
        <v>105.5</v>
      </c>
      <c r="T4" s="1">
        <v>106.2</v>
      </c>
      <c r="U4" s="1">
        <v>100.3</v>
      </c>
      <c r="V4" s="1">
        <v>105.5</v>
      </c>
      <c r="W4" s="1">
        <v>104.8</v>
      </c>
      <c r="X4" s="1">
        <v>104</v>
      </c>
      <c r="Y4" s="1">
        <v>103.2</v>
      </c>
      <c r="Z4" s="1">
        <v>103.1</v>
      </c>
      <c r="AA4" s="1">
        <v>103.6</v>
      </c>
      <c r="AB4" s="1">
        <v>104.5</v>
      </c>
      <c r="AC4" s="1">
        <v>103.9</v>
      </c>
      <c r="AD4" s="1">
        <v>104.6</v>
      </c>
    </row>
    <row r="5" spans="1:30" x14ac:dyDescent="0.3">
      <c r="A5" s="1" t="s">
        <v>30</v>
      </c>
      <c r="B5" s="2">
        <v>2013</v>
      </c>
      <c r="C5" s="1" t="s">
        <v>35</v>
      </c>
      <c r="D5" s="1">
        <v>109.2</v>
      </c>
      <c r="E5" s="1">
        <v>108.7</v>
      </c>
      <c r="F5" s="1">
        <v>110.2</v>
      </c>
      <c r="G5" s="1">
        <v>105.4</v>
      </c>
      <c r="H5" s="1">
        <v>106.7</v>
      </c>
      <c r="I5" s="1">
        <v>104</v>
      </c>
      <c r="J5" s="1">
        <v>102.4</v>
      </c>
      <c r="K5" s="1">
        <v>105.9</v>
      </c>
      <c r="L5" s="1">
        <v>105.7</v>
      </c>
      <c r="M5" s="1">
        <v>103.1</v>
      </c>
      <c r="N5" s="1">
        <v>105.1</v>
      </c>
      <c r="O5" s="1">
        <v>107.7</v>
      </c>
      <c r="P5" s="1">
        <v>106.3</v>
      </c>
      <c r="Q5" s="1">
        <v>105.6</v>
      </c>
      <c r="R5" s="1">
        <v>107.1</v>
      </c>
      <c r="S5" s="1">
        <v>106.3</v>
      </c>
      <c r="T5" s="1">
        <v>107</v>
      </c>
      <c r="U5" s="1">
        <f>U6</f>
        <v>100.4</v>
      </c>
      <c r="V5" s="1">
        <v>106.2</v>
      </c>
      <c r="W5" s="1">
        <v>105.2</v>
      </c>
      <c r="X5" s="1">
        <v>104.4</v>
      </c>
      <c r="Y5" s="1">
        <v>103.9</v>
      </c>
      <c r="Z5" s="1">
        <v>104</v>
      </c>
      <c r="AA5" s="1">
        <v>104.1</v>
      </c>
      <c r="AB5" s="1">
        <v>104.6</v>
      </c>
      <c r="AC5" s="1">
        <v>104.4</v>
      </c>
      <c r="AD5" s="1">
        <v>105.8</v>
      </c>
    </row>
    <row r="6" spans="1:30" x14ac:dyDescent="0.3">
      <c r="A6" s="1" t="s">
        <v>33</v>
      </c>
      <c r="B6" s="2">
        <v>2013</v>
      </c>
      <c r="C6" s="1" t="s">
        <v>35</v>
      </c>
      <c r="D6" s="1">
        <v>112.9</v>
      </c>
      <c r="E6" s="1">
        <v>112.9</v>
      </c>
      <c r="F6" s="1">
        <v>116.9</v>
      </c>
      <c r="G6" s="1">
        <v>104</v>
      </c>
      <c r="H6" s="1">
        <v>103.5</v>
      </c>
      <c r="I6" s="1">
        <v>103.1</v>
      </c>
      <c r="J6" s="1">
        <v>104.9</v>
      </c>
      <c r="K6" s="1">
        <v>104.1</v>
      </c>
      <c r="L6" s="1">
        <v>103.8</v>
      </c>
      <c r="M6" s="1">
        <v>102.3</v>
      </c>
      <c r="N6" s="1">
        <v>106</v>
      </c>
      <c r="O6" s="1">
        <v>109</v>
      </c>
      <c r="P6" s="1">
        <v>107.2</v>
      </c>
      <c r="Q6" s="1">
        <v>106</v>
      </c>
      <c r="R6" s="1">
        <v>106.6</v>
      </c>
      <c r="S6" s="1">
        <v>105.5</v>
      </c>
      <c r="T6" s="1">
        <v>106.4</v>
      </c>
      <c r="U6" s="1">
        <v>100.4</v>
      </c>
      <c r="V6" s="1">
        <v>105.7</v>
      </c>
      <c r="W6" s="1">
        <v>105.2</v>
      </c>
      <c r="X6" s="1">
        <v>104.7</v>
      </c>
      <c r="Y6" s="1">
        <v>104.4</v>
      </c>
      <c r="Z6" s="1">
        <v>103.3</v>
      </c>
      <c r="AA6" s="1">
        <v>103.7</v>
      </c>
      <c r="AB6" s="1">
        <v>104.3</v>
      </c>
      <c r="AC6" s="1">
        <v>104.3</v>
      </c>
      <c r="AD6" s="1">
        <v>104.7</v>
      </c>
    </row>
    <row r="7" spans="1:30" x14ac:dyDescent="0.3">
      <c r="A7" s="1" t="s">
        <v>34</v>
      </c>
      <c r="B7" s="2">
        <v>2013</v>
      </c>
      <c r="C7" s="1" t="s">
        <v>35</v>
      </c>
      <c r="D7" s="1">
        <v>110.4</v>
      </c>
      <c r="E7" s="1">
        <v>110.2</v>
      </c>
      <c r="F7" s="1">
        <v>112.8</v>
      </c>
      <c r="G7" s="1">
        <v>104.9</v>
      </c>
      <c r="H7" s="1">
        <v>105.5</v>
      </c>
      <c r="I7" s="1">
        <v>103.6</v>
      </c>
      <c r="J7" s="1">
        <v>103.2</v>
      </c>
      <c r="K7" s="1">
        <v>105.3</v>
      </c>
      <c r="L7" s="1">
        <v>105.1</v>
      </c>
      <c r="M7" s="1">
        <v>102.8</v>
      </c>
      <c r="N7" s="1">
        <v>105.5</v>
      </c>
      <c r="O7" s="1">
        <v>108.3</v>
      </c>
      <c r="P7" s="1">
        <v>106.6</v>
      </c>
      <c r="Q7" s="1">
        <v>105.7</v>
      </c>
      <c r="R7" s="1">
        <v>106.9</v>
      </c>
      <c r="S7" s="1">
        <v>106</v>
      </c>
      <c r="T7" s="1">
        <v>106.8</v>
      </c>
      <c r="U7" s="1">
        <v>100.4</v>
      </c>
      <c r="V7" s="1">
        <v>106</v>
      </c>
      <c r="W7" s="1">
        <v>105.2</v>
      </c>
      <c r="X7" s="1">
        <v>104.5</v>
      </c>
      <c r="Y7" s="1">
        <v>104.2</v>
      </c>
      <c r="Z7" s="1">
        <v>103.6</v>
      </c>
      <c r="AA7" s="1">
        <v>103.9</v>
      </c>
      <c r="AB7" s="1">
        <v>104.5</v>
      </c>
      <c r="AC7" s="1">
        <v>104.4</v>
      </c>
      <c r="AD7" s="1">
        <v>105.3</v>
      </c>
    </row>
    <row r="8" spans="1:30" x14ac:dyDescent="0.3">
      <c r="A8" s="1" t="s">
        <v>30</v>
      </c>
      <c r="B8" s="2">
        <v>2013</v>
      </c>
      <c r="C8" s="1" t="s">
        <v>36</v>
      </c>
      <c r="D8" s="1">
        <v>110.2</v>
      </c>
      <c r="E8" s="1">
        <v>108.8</v>
      </c>
      <c r="F8" s="1">
        <v>109.9</v>
      </c>
      <c r="G8" s="1">
        <v>105.6</v>
      </c>
      <c r="H8" s="1">
        <v>106.2</v>
      </c>
      <c r="I8" s="1">
        <v>105.7</v>
      </c>
      <c r="J8" s="1">
        <v>101.4</v>
      </c>
      <c r="K8" s="1">
        <v>105.7</v>
      </c>
      <c r="L8" s="1">
        <v>105</v>
      </c>
      <c r="M8" s="1">
        <v>103.3</v>
      </c>
      <c r="N8" s="1">
        <v>105.6</v>
      </c>
      <c r="O8" s="1">
        <v>108.2</v>
      </c>
      <c r="P8" s="1">
        <v>106.6</v>
      </c>
      <c r="Q8" s="1">
        <v>106.5</v>
      </c>
      <c r="R8" s="1">
        <v>107.6</v>
      </c>
      <c r="S8" s="1">
        <v>106.8</v>
      </c>
      <c r="T8" s="1">
        <v>107.5</v>
      </c>
      <c r="U8" s="1">
        <f>U9</f>
        <v>100.4</v>
      </c>
      <c r="V8" s="1">
        <v>106.1</v>
      </c>
      <c r="W8" s="1">
        <v>105.6</v>
      </c>
      <c r="X8" s="1">
        <v>104.7</v>
      </c>
      <c r="Y8" s="1">
        <v>104.6</v>
      </c>
      <c r="Z8" s="1">
        <v>104</v>
      </c>
      <c r="AA8" s="1">
        <v>104.3</v>
      </c>
      <c r="AB8" s="1">
        <v>104.3</v>
      </c>
      <c r="AC8" s="1">
        <v>104.6</v>
      </c>
      <c r="AD8" s="1">
        <v>106</v>
      </c>
    </row>
    <row r="9" spans="1:30" x14ac:dyDescent="0.3">
      <c r="A9" s="1" t="s">
        <v>33</v>
      </c>
      <c r="B9" s="2">
        <v>2013</v>
      </c>
      <c r="C9" s="1" t="s">
        <v>36</v>
      </c>
      <c r="D9" s="1">
        <v>113.9</v>
      </c>
      <c r="E9" s="1">
        <v>111.4</v>
      </c>
      <c r="F9" s="1">
        <v>113.2</v>
      </c>
      <c r="G9" s="1">
        <v>104.3</v>
      </c>
      <c r="H9" s="1">
        <v>102.7</v>
      </c>
      <c r="I9" s="1">
        <v>104.9</v>
      </c>
      <c r="J9" s="1">
        <v>103.8</v>
      </c>
      <c r="K9" s="1">
        <v>103.5</v>
      </c>
      <c r="L9" s="1">
        <v>102.6</v>
      </c>
      <c r="M9" s="1">
        <v>102.4</v>
      </c>
      <c r="N9" s="1">
        <v>107</v>
      </c>
      <c r="O9" s="1">
        <v>109.8</v>
      </c>
      <c r="P9" s="1">
        <v>107.3</v>
      </c>
      <c r="Q9" s="1">
        <v>106.8</v>
      </c>
      <c r="R9" s="1">
        <v>107.2</v>
      </c>
      <c r="S9" s="1">
        <v>106</v>
      </c>
      <c r="T9" s="1">
        <v>107</v>
      </c>
      <c r="U9" s="1">
        <v>100.4</v>
      </c>
      <c r="V9" s="1">
        <v>106</v>
      </c>
      <c r="W9" s="1">
        <v>105.7</v>
      </c>
      <c r="X9" s="1">
        <v>105.2</v>
      </c>
      <c r="Y9" s="1">
        <v>105.5</v>
      </c>
      <c r="Z9" s="1">
        <v>103.5</v>
      </c>
      <c r="AA9" s="1">
        <v>103.8</v>
      </c>
      <c r="AB9" s="1">
        <v>104.2</v>
      </c>
      <c r="AC9" s="1">
        <v>104.9</v>
      </c>
      <c r="AD9" s="1">
        <v>105</v>
      </c>
    </row>
    <row r="10" spans="1:30" x14ac:dyDescent="0.3">
      <c r="A10" s="1" t="s">
        <v>34</v>
      </c>
      <c r="B10" s="2">
        <v>2013</v>
      </c>
      <c r="C10" s="1" t="s">
        <v>36</v>
      </c>
      <c r="D10" s="1">
        <v>111.4</v>
      </c>
      <c r="E10" s="1">
        <v>109.7</v>
      </c>
      <c r="F10" s="1">
        <v>111.2</v>
      </c>
      <c r="G10" s="1">
        <v>105.1</v>
      </c>
      <c r="H10" s="1">
        <v>104.9</v>
      </c>
      <c r="I10" s="1">
        <v>105.3</v>
      </c>
      <c r="J10" s="1">
        <v>102.2</v>
      </c>
      <c r="K10" s="1">
        <v>105</v>
      </c>
      <c r="L10" s="1">
        <v>104.2</v>
      </c>
      <c r="M10" s="1">
        <v>103</v>
      </c>
      <c r="N10" s="1">
        <v>106.2</v>
      </c>
      <c r="O10" s="1">
        <v>108.9</v>
      </c>
      <c r="P10" s="1">
        <v>106.9</v>
      </c>
      <c r="Q10" s="1">
        <v>106.6</v>
      </c>
      <c r="R10" s="1">
        <v>107.4</v>
      </c>
      <c r="S10" s="1">
        <v>106.5</v>
      </c>
      <c r="T10" s="1">
        <v>107.3</v>
      </c>
      <c r="U10" s="1">
        <v>100.4</v>
      </c>
      <c r="V10" s="1">
        <v>106.1</v>
      </c>
      <c r="W10" s="1">
        <v>105.6</v>
      </c>
      <c r="X10" s="1">
        <v>104.9</v>
      </c>
      <c r="Y10" s="1">
        <v>105.1</v>
      </c>
      <c r="Z10" s="1">
        <v>103.7</v>
      </c>
      <c r="AA10" s="1">
        <v>104</v>
      </c>
      <c r="AB10" s="1">
        <v>104.3</v>
      </c>
      <c r="AC10" s="1">
        <v>104.7</v>
      </c>
      <c r="AD10" s="1">
        <v>105.5</v>
      </c>
    </row>
    <row r="11" spans="1:30" x14ac:dyDescent="0.3">
      <c r="A11" s="1" t="s">
        <v>30</v>
      </c>
      <c r="B11" s="2">
        <v>2013</v>
      </c>
      <c r="C11" s="1" t="s">
        <v>37</v>
      </c>
      <c r="D11" s="1">
        <v>110.2</v>
      </c>
      <c r="E11" s="1">
        <v>109.5</v>
      </c>
      <c r="F11" s="1">
        <v>106.9</v>
      </c>
      <c r="G11" s="1">
        <v>106.3</v>
      </c>
      <c r="H11" s="1">
        <v>105.7</v>
      </c>
      <c r="I11" s="1">
        <v>108.3</v>
      </c>
      <c r="J11" s="1">
        <v>103.4</v>
      </c>
      <c r="K11" s="1">
        <v>105.7</v>
      </c>
      <c r="L11" s="1">
        <v>104.2</v>
      </c>
      <c r="M11" s="1">
        <v>103.2</v>
      </c>
      <c r="N11" s="1">
        <v>106.5</v>
      </c>
      <c r="O11" s="1">
        <v>108.8</v>
      </c>
      <c r="P11" s="1">
        <v>107.1</v>
      </c>
      <c r="Q11" s="1">
        <v>107.1</v>
      </c>
      <c r="R11" s="1">
        <v>108.1</v>
      </c>
      <c r="S11" s="1">
        <v>107.4</v>
      </c>
      <c r="T11" s="1">
        <v>108</v>
      </c>
      <c r="U11" s="1">
        <f>U12</f>
        <v>100.5</v>
      </c>
      <c r="V11" s="1">
        <v>106.5</v>
      </c>
      <c r="W11" s="1">
        <v>106.1</v>
      </c>
      <c r="X11" s="1">
        <v>105.1</v>
      </c>
      <c r="Y11" s="1">
        <v>104.4</v>
      </c>
      <c r="Z11" s="1">
        <v>104.5</v>
      </c>
      <c r="AA11" s="1">
        <v>104.8</v>
      </c>
      <c r="AB11" s="1">
        <v>102.7</v>
      </c>
      <c r="AC11" s="1">
        <v>104.6</v>
      </c>
      <c r="AD11" s="1">
        <v>106.4</v>
      </c>
    </row>
    <row r="12" spans="1:30" x14ac:dyDescent="0.3">
      <c r="A12" s="1" t="s">
        <v>33</v>
      </c>
      <c r="B12" s="2">
        <v>2013</v>
      </c>
      <c r="C12" s="1" t="s">
        <v>37</v>
      </c>
      <c r="D12" s="1">
        <v>114.6</v>
      </c>
      <c r="E12" s="1">
        <v>113.4</v>
      </c>
      <c r="F12" s="1">
        <v>106</v>
      </c>
      <c r="G12" s="1">
        <v>104.7</v>
      </c>
      <c r="H12" s="1">
        <v>102.1</v>
      </c>
      <c r="I12" s="1">
        <v>109.5</v>
      </c>
      <c r="J12" s="1">
        <v>109.7</v>
      </c>
      <c r="K12" s="1">
        <v>104.6</v>
      </c>
      <c r="L12" s="1">
        <v>102</v>
      </c>
      <c r="M12" s="1">
        <v>103.5</v>
      </c>
      <c r="N12" s="1">
        <v>108.2</v>
      </c>
      <c r="O12" s="1">
        <v>110.6</v>
      </c>
      <c r="P12" s="1">
        <v>108.8</v>
      </c>
      <c r="Q12" s="1">
        <v>108.5</v>
      </c>
      <c r="R12" s="1">
        <v>107.9</v>
      </c>
      <c r="S12" s="1">
        <v>106.4</v>
      </c>
      <c r="T12" s="1">
        <v>107.7</v>
      </c>
      <c r="U12" s="1">
        <v>100.5</v>
      </c>
      <c r="V12" s="1">
        <v>106.4</v>
      </c>
      <c r="W12" s="1">
        <v>106.5</v>
      </c>
      <c r="X12" s="1">
        <v>105.7</v>
      </c>
      <c r="Y12" s="1">
        <v>105</v>
      </c>
      <c r="Z12" s="1">
        <v>104</v>
      </c>
      <c r="AA12" s="1">
        <v>105.2</v>
      </c>
      <c r="AB12" s="1">
        <v>103.2</v>
      </c>
      <c r="AC12" s="1">
        <v>105.1</v>
      </c>
      <c r="AD12" s="1">
        <v>105.7</v>
      </c>
    </row>
    <row r="13" spans="1:30" x14ac:dyDescent="0.3">
      <c r="A13" s="1" t="s">
        <v>34</v>
      </c>
      <c r="B13" s="2">
        <v>2013</v>
      </c>
      <c r="C13" s="1" t="s">
        <v>37</v>
      </c>
      <c r="D13" s="1">
        <v>111.6</v>
      </c>
      <c r="E13" s="1">
        <v>110.9</v>
      </c>
      <c r="F13" s="1">
        <v>106.6</v>
      </c>
      <c r="G13" s="1">
        <v>105.7</v>
      </c>
      <c r="H13" s="1">
        <v>104.4</v>
      </c>
      <c r="I13" s="1">
        <v>108.9</v>
      </c>
      <c r="J13" s="1">
        <v>105.5</v>
      </c>
      <c r="K13" s="1">
        <v>105.3</v>
      </c>
      <c r="L13" s="1">
        <v>103.5</v>
      </c>
      <c r="M13" s="1">
        <v>103.3</v>
      </c>
      <c r="N13" s="1">
        <v>107.2</v>
      </c>
      <c r="O13" s="1">
        <v>109.6</v>
      </c>
      <c r="P13" s="1">
        <v>107.7</v>
      </c>
      <c r="Q13" s="1">
        <v>107.5</v>
      </c>
      <c r="R13" s="1">
        <v>108</v>
      </c>
      <c r="S13" s="1">
        <v>107</v>
      </c>
      <c r="T13" s="1">
        <v>107.9</v>
      </c>
      <c r="U13" s="1">
        <v>100.5</v>
      </c>
      <c r="V13" s="1">
        <v>106.5</v>
      </c>
      <c r="W13" s="1">
        <v>106.3</v>
      </c>
      <c r="X13" s="1">
        <v>105.3</v>
      </c>
      <c r="Y13" s="1">
        <v>104.7</v>
      </c>
      <c r="Z13" s="1">
        <v>104.2</v>
      </c>
      <c r="AA13" s="1">
        <v>105</v>
      </c>
      <c r="AB13" s="1">
        <v>102.9</v>
      </c>
      <c r="AC13" s="1">
        <v>104.8</v>
      </c>
      <c r="AD13" s="1">
        <v>106.1</v>
      </c>
    </row>
    <row r="14" spans="1:30" x14ac:dyDescent="0.3">
      <c r="A14" s="1" t="s">
        <v>30</v>
      </c>
      <c r="B14" s="2">
        <v>2013</v>
      </c>
      <c r="C14" s="1" t="s">
        <v>38</v>
      </c>
      <c r="D14" s="1">
        <v>110.9</v>
      </c>
      <c r="E14" s="1">
        <v>109.8</v>
      </c>
      <c r="F14" s="1">
        <v>105.9</v>
      </c>
      <c r="G14" s="1">
        <v>107.5</v>
      </c>
      <c r="H14" s="1">
        <v>105.3</v>
      </c>
      <c r="I14" s="1">
        <v>108.1</v>
      </c>
      <c r="J14" s="1">
        <v>107.3</v>
      </c>
      <c r="K14" s="1">
        <v>106.1</v>
      </c>
      <c r="L14" s="1">
        <v>103.7</v>
      </c>
      <c r="M14" s="1">
        <v>104</v>
      </c>
      <c r="N14" s="1">
        <v>107.4</v>
      </c>
      <c r="O14" s="1">
        <v>109.9</v>
      </c>
      <c r="P14" s="1">
        <v>108.1</v>
      </c>
      <c r="Q14" s="1">
        <v>108.1</v>
      </c>
      <c r="R14" s="1">
        <v>108.8</v>
      </c>
      <c r="S14" s="1">
        <v>107.9</v>
      </c>
      <c r="T14" s="1">
        <v>108.6</v>
      </c>
      <c r="U14" s="1">
        <f>U15</f>
        <v>100.5</v>
      </c>
      <c r="V14" s="1">
        <v>107.5</v>
      </c>
      <c r="W14" s="1">
        <v>106.8</v>
      </c>
      <c r="X14" s="1">
        <v>105.7</v>
      </c>
      <c r="Y14" s="1">
        <v>104.1</v>
      </c>
      <c r="Z14" s="1">
        <v>105</v>
      </c>
      <c r="AA14" s="1">
        <v>105.5</v>
      </c>
      <c r="AB14" s="1">
        <v>102.1</v>
      </c>
      <c r="AC14" s="1">
        <v>104.8</v>
      </c>
      <c r="AD14" s="1">
        <v>107.2</v>
      </c>
    </row>
    <row r="15" spans="1:30" x14ac:dyDescent="0.3">
      <c r="A15" s="1" t="s">
        <v>33</v>
      </c>
      <c r="B15" s="2">
        <v>2013</v>
      </c>
      <c r="C15" s="1" t="s">
        <v>38</v>
      </c>
      <c r="D15" s="1">
        <v>115.4</v>
      </c>
      <c r="E15" s="1">
        <v>114.2</v>
      </c>
      <c r="F15" s="1">
        <v>102.7</v>
      </c>
      <c r="G15" s="1">
        <v>105.5</v>
      </c>
      <c r="H15" s="1">
        <v>101.5</v>
      </c>
      <c r="I15" s="1">
        <v>110.6</v>
      </c>
      <c r="J15" s="1">
        <v>123.7</v>
      </c>
      <c r="K15" s="1">
        <v>105.2</v>
      </c>
      <c r="L15" s="1">
        <v>101.9</v>
      </c>
      <c r="M15" s="1">
        <v>105</v>
      </c>
      <c r="N15" s="1">
        <v>109.1</v>
      </c>
      <c r="O15" s="1">
        <v>111.3</v>
      </c>
      <c r="P15" s="1">
        <v>111.1</v>
      </c>
      <c r="Q15" s="1">
        <v>109.8</v>
      </c>
      <c r="R15" s="1">
        <v>108.5</v>
      </c>
      <c r="S15" s="1">
        <v>106.7</v>
      </c>
      <c r="T15" s="1">
        <v>108.3</v>
      </c>
      <c r="U15" s="1">
        <v>100.5</v>
      </c>
      <c r="V15" s="1">
        <v>107.2</v>
      </c>
      <c r="W15" s="1">
        <v>107.1</v>
      </c>
      <c r="X15" s="1">
        <v>106.2</v>
      </c>
      <c r="Y15" s="1">
        <v>103.9</v>
      </c>
      <c r="Z15" s="1">
        <v>104.6</v>
      </c>
      <c r="AA15" s="1">
        <v>105.7</v>
      </c>
      <c r="AB15" s="1">
        <v>102.6</v>
      </c>
      <c r="AC15" s="1">
        <v>104.9</v>
      </c>
      <c r="AD15" s="1">
        <v>106.6</v>
      </c>
    </row>
    <row r="16" spans="1:30" x14ac:dyDescent="0.3">
      <c r="A16" s="1" t="s">
        <v>34</v>
      </c>
      <c r="B16" s="2">
        <v>2013</v>
      </c>
      <c r="C16" s="1" t="s">
        <v>38</v>
      </c>
      <c r="D16" s="1">
        <v>112.3</v>
      </c>
      <c r="E16" s="1">
        <v>111.3</v>
      </c>
      <c r="F16" s="1">
        <v>104.7</v>
      </c>
      <c r="G16" s="1">
        <v>106.8</v>
      </c>
      <c r="H16" s="1">
        <v>103.9</v>
      </c>
      <c r="I16" s="1">
        <v>109.3</v>
      </c>
      <c r="J16" s="1">
        <v>112.9</v>
      </c>
      <c r="K16" s="1">
        <v>105.8</v>
      </c>
      <c r="L16" s="1">
        <v>103.1</v>
      </c>
      <c r="M16" s="1">
        <v>104.3</v>
      </c>
      <c r="N16" s="1">
        <v>108.1</v>
      </c>
      <c r="O16" s="1">
        <v>110.5</v>
      </c>
      <c r="P16" s="1">
        <v>109.2</v>
      </c>
      <c r="Q16" s="1">
        <v>108.6</v>
      </c>
      <c r="R16" s="1">
        <v>108.7</v>
      </c>
      <c r="S16" s="1">
        <v>107.4</v>
      </c>
      <c r="T16" s="1">
        <v>108.5</v>
      </c>
      <c r="U16" s="1">
        <v>100.5</v>
      </c>
      <c r="V16" s="1">
        <v>107.4</v>
      </c>
      <c r="W16" s="1">
        <v>106.9</v>
      </c>
      <c r="X16" s="1">
        <v>105.9</v>
      </c>
      <c r="Y16" s="1">
        <v>104</v>
      </c>
      <c r="Z16" s="1">
        <v>104.8</v>
      </c>
      <c r="AA16" s="1">
        <v>105.6</v>
      </c>
      <c r="AB16" s="1">
        <v>102.3</v>
      </c>
      <c r="AC16" s="1">
        <v>104.8</v>
      </c>
      <c r="AD16" s="1">
        <v>106.9</v>
      </c>
    </row>
    <row r="17" spans="1:30" x14ac:dyDescent="0.3">
      <c r="A17" s="1" t="s">
        <v>30</v>
      </c>
      <c r="B17" s="2">
        <v>2013</v>
      </c>
      <c r="C17" s="1" t="s">
        <v>39</v>
      </c>
      <c r="D17" s="1">
        <v>112.3</v>
      </c>
      <c r="E17" s="1">
        <v>112.1</v>
      </c>
      <c r="F17" s="1">
        <v>108.1</v>
      </c>
      <c r="G17" s="1">
        <v>108.3</v>
      </c>
      <c r="H17" s="1">
        <v>105.9</v>
      </c>
      <c r="I17" s="1">
        <v>109.2</v>
      </c>
      <c r="J17" s="1">
        <v>118</v>
      </c>
      <c r="K17" s="1">
        <v>106.8</v>
      </c>
      <c r="L17" s="1">
        <v>104.1</v>
      </c>
      <c r="M17" s="1">
        <v>105.4</v>
      </c>
      <c r="N17" s="1">
        <v>108.2</v>
      </c>
      <c r="O17" s="1">
        <v>111</v>
      </c>
      <c r="P17" s="1">
        <v>110.6</v>
      </c>
      <c r="Q17" s="1">
        <v>109</v>
      </c>
      <c r="R17" s="1">
        <v>109.7</v>
      </c>
      <c r="S17" s="1">
        <v>108.8</v>
      </c>
      <c r="T17" s="1">
        <v>109.5</v>
      </c>
      <c r="U17" s="1">
        <f>U18</f>
        <v>106.6</v>
      </c>
      <c r="V17" s="1">
        <v>108.5</v>
      </c>
      <c r="W17" s="1">
        <v>107.5</v>
      </c>
      <c r="X17" s="1">
        <v>106.3</v>
      </c>
      <c r="Y17" s="1">
        <v>105</v>
      </c>
      <c r="Z17" s="1">
        <v>105.6</v>
      </c>
      <c r="AA17" s="1">
        <v>106.5</v>
      </c>
      <c r="AB17" s="1">
        <v>102.5</v>
      </c>
      <c r="AC17" s="1">
        <v>105.5</v>
      </c>
      <c r="AD17" s="1">
        <v>108.9</v>
      </c>
    </row>
    <row r="18" spans="1:30" x14ac:dyDescent="0.3">
      <c r="A18" s="1" t="s">
        <v>33</v>
      </c>
      <c r="B18" s="2">
        <v>2013</v>
      </c>
      <c r="C18" s="1" t="s">
        <v>39</v>
      </c>
      <c r="D18" s="1">
        <v>117</v>
      </c>
      <c r="E18" s="1">
        <v>120.1</v>
      </c>
      <c r="F18" s="1">
        <v>112.5</v>
      </c>
      <c r="G18" s="1">
        <v>107.3</v>
      </c>
      <c r="H18" s="1">
        <v>101.3</v>
      </c>
      <c r="I18" s="1">
        <v>112.4</v>
      </c>
      <c r="J18" s="1">
        <v>143.6</v>
      </c>
      <c r="K18" s="1">
        <v>105.4</v>
      </c>
      <c r="L18" s="1">
        <v>101.4</v>
      </c>
      <c r="M18" s="1">
        <v>106.4</v>
      </c>
      <c r="N18" s="1">
        <v>110</v>
      </c>
      <c r="O18" s="1">
        <v>112.2</v>
      </c>
      <c r="P18" s="1">
        <v>115</v>
      </c>
      <c r="Q18" s="1">
        <v>110.9</v>
      </c>
      <c r="R18" s="1">
        <v>109.2</v>
      </c>
      <c r="S18" s="1">
        <v>107.2</v>
      </c>
      <c r="T18" s="1">
        <v>108.9</v>
      </c>
      <c r="U18" s="1">
        <v>106.6</v>
      </c>
      <c r="V18" s="1">
        <v>108</v>
      </c>
      <c r="W18" s="1">
        <v>107.7</v>
      </c>
      <c r="X18" s="1">
        <v>106.5</v>
      </c>
      <c r="Y18" s="1">
        <v>105.2</v>
      </c>
      <c r="Z18" s="1">
        <v>105.2</v>
      </c>
      <c r="AA18" s="1">
        <v>108.1</v>
      </c>
      <c r="AB18" s="1">
        <v>103.3</v>
      </c>
      <c r="AC18" s="1">
        <v>106.1</v>
      </c>
      <c r="AD18" s="1">
        <v>109.7</v>
      </c>
    </row>
    <row r="19" spans="1:30" x14ac:dyDescent="0.3">
      <c r="A19" s="1" t="s">
        <v>34</v>
      </c>
      <c r="B19" s="2">
        <v>2013</v>
      </c>
      <c r="C19" s="1" t="s">
        <v>39</v>
      </c>
      <c r="D19" s="1">
        <v>113.8</v>
      </c>
      <c r="E19" s="1">
        <v>114.9</v>
      </c>
      <c r="F19" s="1">
        <v>109.8</v>
      </c>
      <c r="G19" s="1">
        <v>107.9</v>
      </c>
      <c r="H19" s="1">
        <v>104.2</v>
      </c>
      <c r="I19" s="1">
        <v>110.7</v>
      </c>
      <c r="J19" s="1">
        <v>126.7</v>
      </c>
      <c r="K19" s="1">
        <v>106.3</v>
      </c>
      <c r="L19" s="1">
        <v>103.2</v>
      </c>
      <c r="M19" s="1">
        <v>105.7</v>
      </c>
      <c r="N19" s="1">
        <v>109</v>
      </c>
      <c r="O19" s="1">
        <v>111.6</v>
      </c>
      <c r="P19" s="1">
        <v>112.2</v>
      </c>
      <c r="Q19" s="1">
        <v>109.5</v>
      </c>
      <c r="R19" s="1">
        <v>109.5</v>
      </c>
      <c r="S19" s="1">
        <v>108.1</v>
      </c>
      <c r="T19" s="1">
        <v>109.3</v>
      </c>
      <c r="U19" s="1">
        <v>106.6</v>
      </c>
      <c r="V19" s="1">
        <v>108.3</v>
      </c>
      <c r="W19" s="1">
        <v>107.6</v>
      </c>
      <c r="X19" s="1">
        <v>106.4</v>
      </c>
      <c r="Y19" s="1">
        <v>105.1</v>
      </c>
      <c r="Z19" s="1">
        <v>105.4</v>
      </c>
      <c r="AA19" s="1">
        <v>107.4</v>
      </c>
      <c r="AB19" s="1">
        <v>102.8</v>
      </c>
      <c r="AC19" s="1">
        <v>105.8</v>
      </c>
      <c r="AD19" s="1">
        <v>109.3</v>
      </c>
    </row>
    <row r="20" spans="1:30" x14ac:dyDescent="0.3">
      <c r="A20" s="1" t="s">
        <v>30</v>
      </c>
      <c r="B20" s="2">
        <v>2013</v>
      </c>
      <c r="C20" s="1" t="s">
        <v>40</v>
      </c>
      <c r="D20" s="1">
        <v>113.4</v>
      </c>
      <c r="E20" s="1">
        <v>114.9</v>
      </c>
      <c r="F20" s="1">
        <v>110.5</v>
      </c>
      <c r="G20" s="1">
        <v>109.3</v>
      </c>
      <c r="H20" s="1">
        <v>106.2</v>
      </c>
      <c r="I20" s="1">
        <v>110.3</v>
      </c>
      <c r="J20" s="1">
        <v>129.19999999999999</v>
      </c>
      <c r="K20" s="1">
        <v>107.1</v>
      </c>
      <c r="L20" s="1">
        <v>104.3</v>
      </c>
      <c r="M20" s="1">
        <v>106.4</v>
      </c>
      <c r="N20" s="1">
        <v>109.1</v>
      </c>
      <c r="O20" s="1">
        <v>112.1</v>
      </c>
      <c r="P20" s="1">
        <v>113.1</v>
      </c>
      <c r="Q20" s="1">
        <v>109.8</v>
      </c>
      <c r="R20" s="1">
        <v>110.5</v>
      </c>
      <c r="S20" s="1">
        <v>109.5</v>
      </c>
      <c r="T20" s="1">
        <v>110.3</v>
      </c>
      <c r="U20" s="1">
        <f>U21</f>
        <v>107.7</v>
      </c>
      <c r="V20" s="1">
        <v>109.5</v>
      </c>
      <c r="W20" s="1">
        <v>108.3</v>
      </c>
      <c r="X20" s="1">
        <v>106.9</v>
      </c>
      <c r="Y20" s="1">
        <v>106.8</v>
      </c>
      <c r="Z20" s="1">
        <v>106.4</v>
      </c>
      <c r="AA20" s="1">
        <v>107.8</v>
      </c>
      <c r="AB20" s="1">
        <v>102.5</v>
      </c>
      <c r="AC20" s="1">
        <v>106.5</v>
      </c>
      <c r="AD20" s="1">
        <v>110.7</v>
      </c>
    </row>
    <row r="21" spans="1:30" x14ac:dyDescent="0.3">
      <c r="A21" s="1" t="s">
        <v>33</v>
      </c>
      <c r="B21" s="2">
        <v>2013</v>
      </c>
      <c r="C21" s="1" t="s">
        <v>40</v>
      </c>
      <c r="D21" s="1">
        <v>117.8</v>
      </c>
      <c r="E21" s="1">
        <v>119.2</v>
      </c>
      <c r="F21" s="1">
        <v>114</v>
      </c>
      <c r="G21" s="1">
        <v>108.3</v>
      </c>
      <c r="H21" s="1">
        <v>101.1</v>
      </c>
      <c r="I21" s="1">
        <v>113.2</v>
      </c>
      <c r="J21" s="1">
        <v>160.9</v>
      </c>
      <c r="K21" s="1">
        <v>105.1</v>
      </c>
      <c r="L21" s="1">
        <v>101.3</v>
      </c>
      <c r="M21" s="1">
        <v>107.5</v>
      </c>
      <c r="N21" s="1">
        <v>110.4</v>
      </c>
      <c r="O21" s="1">
        <v>113.1</v>
      </c>
      <c r="P21" s="1">
        <v>117.5</v>
      </c>
      <c r="Q21" s="1">
        <v>111.7</v>
      </c>
      <c r="R21" s="1">
        <v>109.8</v>
      </c>
      <c r="S21" s="1">
        <v>107.8</v>
      </c>
      <c r="T21" s="1">
        <v>109.5</v>
      </c>
      <c r="U21" s="1">
        <v>107.7</v>
      </c>
      <c r="V21" s="1">
        <v>108.6</v>
      </c>
      <c r="W21" s="1">
        <v>108.1</v>
      </c>
      <c r="X21" s="1">
        <v>107.1</v>
      </c>
      <c r="Y21" s="1">
        <v>107.3</v>
      </c>
      <c r="Z21" s="1">
        <v>105.9</v>
      </c>
      <c r="AA21" s="1">
        <v>110.1</v>
      </c>
      <c r="AB21" s="1">
        <v>103.2</v>
      </c>
      <c r="AC21" s="1">
        <v>107.3</v>
      </c>
      <c r="AD21" s="1">
        <v>111.4</v>
      </c>
    </row>
    <row r="22" spans="1:30" x14ac:dyDescent="0.3">
      <c r="A22" s="1" t="s">
        <v>34</v>
      </c>
      <c r="B22" s="2">
        <v>2013</v>
      </c>
      <c r="C22" s="1" t="s">
        <v>40</v>
      </c>
      <c r="D22" s="1">
        <v>114.8</v>
      </c>
      <c r="E22" s="1">
        <v>116.4</v>
      </c>
      <c r="F22" s="1">
        <v>111.9</v>
      </c>
      <c r="G22" s="1">
        <v>108.9</v>
      </c>
      <c r="H22" s="1">
        <v>104.3</v>
      </c>
      <c r="I22" s="1">
        <v>111.7</v>
      </c>
      <c r="J22" s="1">
        <v>140</v>
      </c>
      <c r="K22" s="1">
        <v>106.4</v>
      </c>
      <c r="L22" s="1">
        <v>103.3</v>
      </c>
      <c r="M22" s="1">
        <v>106.8</v>
      </c>
      <c r="N22" s="1">
        <v>109.6</v>
      </c>
      <c r="O22" s="1">
        <v>112.6</v>
      </c>
      <c r="P22" s="1">
        <v>114.7</v>
      </c>
      <c r="Q22" s="1">
        <v>110.3</v>
      </c>
      <c r="R22" s="1">
        <v>110.2</v>
      </c>
      <c r="S22" s="1">
        <v>108.8</v>
      </c>
      <c r="T22" s="1">
        <v>110</v>
      </c>
      <c r="U22" s="1">
        <v>107.7</v>
      </c>
      <c r="V22" s="1">
        <v>109.2</v>
      </c>
      <c r="W22" s="1">
        <v>108.2</v>
      </c>
      <c r="X22" s="1">
        <v>107</v>
      </c>
      <c r="Y22" s="1">
        <v>107.1</v>
      </c>
      <c r="Z22" s="1">
        <v>106.1</v>
      </c>
      <c r="AA22" s="1">
        <v>109.1</v>
      </c>
      <c r="AB22" s="1">
        <v>102.8</v>
      </c>
      <c r="AC22" s="1">
        <v>106.9</v>
      </c>
      <c r="AD22" s="1">
        <v>111</v>
      </c>
    </row>
    <row r="23" spans="1:30" x14ac:dyDescent="0.3">
      <c r="A23" s="1" t="s">
        <v>30</v>
      </c>
      <c r="B23" s="2">
        <v>2013</v>
      </c>
      <c r="C23" s="1" t="s">
        <v>41</v>
      </c>
      <c r="D23" s="1">
        <v>114.3</v>
      </c>
      <c r="E23" s="1">
        <v>115.4</v>
      </c>
      <c r="F23" s="1">
        <v>111.1</v>
      </c>
      <c r="G23" s="1">
        <v>110</v>
      </c>
      <c r="H23" s="1">
        <v>106.4</v>
      </c>
      <c r="I23" s="1">
        <v>110.8</v>
      </c>
      <c r="J23" s="1">
        <v>138.9</v>
      </c>
      <c r="K23" s="1">
        <v>107.4</v>
      </c>
      <c r="L23" s="1">
        <v>104.1</v>
      </c>
      <c r="M23" s="1">
        <v>106.9</v>
      </c>
      <c r="N23" s="1">
        <v>109.7</v>
      </c>
      <c r="O23" s="1">
        <v>112.6</v>
      </c>
      <c r="P23" s="1">
        <v>114.9</v>
      </c>
      <c r="Q23" s="1">
        <v>110.7</v>
      </c>
      <c r="R23" s="1">
        <v>111.3</v>
      </c>
      <c r="S23" s="1">
        <v>110.2</v>
      </c>
      <c r="T23" s="1">
        <v>111.1</v>
      </c>
      <c r="U23" s="1">
        <f>U24</f>
        <v>108.9</v>
      </c>
      <c r="V23" s="1">
        <v>109.9</v>
      </c>
      <c r="W23" s="1">
        <v>108.7</v>
      </c>
      <c r="X23" s="1">
        <v>107.5</v>
      </c>
      <c r="Y23" s="1">
        <v>107.8</v>
      </c>
      <c r="Z23" s="1">
        <v>106.8</v>
      </c>
      <c r="AA23" s="1">
        <v>108.7</v>
      </c>
      <c r="AB23" s="1">
        <v>105</v>
      </c>
      <c r="AC23" s="1">
        <v>107.5</v>
      </c>
      <c r="AD23" s="1">
        <v>112.1</v>
      </c>
    </row>
    <row r="24" spans="1:30" x14ac:dyDescent="0.3">
      <c r="A24" s="1" t="s">
        <v>33</v>
      </c>
      <c r="B24" s="2">
        <v>2013</v>
      </c>
      <c r="C24" s="1" t="s">
        <v>41</v>
      </c>
      <c r="D24" s="1">
        <v>118.3</v>
      </c>
      <c r="E24" s="1">
        <v>120.4</v>
      </c>
      <c r="F24" s="1">
        <v>112.7</v>
      </c>
      <c r="G24" s="1">
        <v>108.9</v>
      </c>
      <c r="H24" s="1">
        <v>101.1</v>
      </c>
      <c r="I24" s="1">
        <v>108.7</v>
      </c>
      <c r="J24" s="1">
        <v>177</v>
      </c>
      <c r="K24" s="1">
        <v>104.7</v>
      </c>
      <c r="L24" s="1">
        <v>101</v>
      </c>
      <c r="M24" s="1">
        <v>108.5</v>
      </c>
      <c r="N24" s="1">
        <v>110.9</v>
      </c>
      <c r="O24" s="1">
        <v>114.3</v>
      </c>
      <c r="P24" s="1">
        <v>119.6</v>
      </c>
      <c r="Q24" s="1">
        <v>112.4</v>
      </c>
      <c r="R24" s="1">
        <v>110.6</v>
      </c>
      <c r="S24" s="1">
        <v>108.3</v>
      </c>
      <c r="T24" s="1">
        <v>110.2</v>
      </c>
      <c r="U24" s="1">
        <v>108.9</v>
      </c>
      <c r="V24" s="1">
        <v>109.3</v>
      </c>
      <c r="W24" s="1">
        <v>108.7</v>
      </c>
      <c r="X24" s="1">
        <v>107.6</v>
      </c>
      <c r="Y24" s="1">
        <v>108.1</v>
      </c>
      <c r="Z24" s="1">
        <v>106.5</v>
      </c>
      <c r="AA24" s="1">
        <v>110.8</v>
      </c>
      <c r="AB24" s="1">
        <v>106</v>
      </c>
      <c r="AC24" s="1">
        <v>108.3</v>
      </c>
      <c r="AD24" s="1">
        <v>112.7</v>
      </c>
    </row>
    <row r="25" spans="1:30" x14ac:dyDescent="0.3">
      <c r="A25" s="1" t="s">
        <v>34</v>
      </c>
      <c r="B25" s="2">
        <v>2013</v>
      </c>
      <c r="C25" s="1" t="s">
        <v>41</v>
      </c>
      <c r="D25" s="1">
        <v>115.6</v>
      </c>
      <c r="E25" s="1">
        <v>117.2</v>
      </c>
      <c r="F25" s="1">
        <v>111.7</v>
      </c>
      <c r="G25" s="1">
        <v>109.6</v>
      </c>
      <c r="H25" s="1">
        <v>104.5</v>
      </c>
      <c r="I25" s="1">
        <v>109.8</v>
      </c>
      <c r="J25" s="1">
        <v>151.80000000000001</v>
      </c>
      <c r="K25" s="1">
        <v>106.5</v>
      </c>
      <c r="L25" s="1">
        <v>103.1</v>
      </c>
      <c r="M25" s="1">
        <v>107.4</v>
      </c>
      <c r="N25" s="1">
        <v>110.2</v>
      </c>
      <c r="O25" s="1">
        <v>113.4</v>
      </c>
      <c r="P25" s="1">
        <v>116.6</v>
      </c>
      <c r="Q25" s="1">
        <v>111.2</v>
      </c>
      <c r="R25" s="1">
        <v>111</v>
      </c>
      <c r="S25" s="1">
        <v>109.4</v>
      </c>
      <c r="T25" s="1">
        <v>110.7</v>
      </c>
      <c r="U25" s="1">
        <v>108.9</v>
      </c>
      <c r="V25" s="1">
        <v>109.7</v>
      </c>
      <c r="W25" s="1">
        <v>108.7</v>
      </c>
      <c r="X25" s="1">
        <v>107.5</v>
      </c>
      <c r="Y25" s="1">
        <v>108</v>
      </c>
      <c r="Z25" s="1">
        <v>106.6</v>
      </c>
      <c r="AA25" s="1">
        <v>109.9</v>
      </c>
      <c r="AB25" s="1">
        <v>105.4</v>
      </c>
      <c r="AC25" s="1">
        <v>107.9</v>
      </c>
      <c r="AD25" s="1">
        <v>112.4</v>
      </c>
    </row>
    <row r="26" spans="1:30" x14ac:dyDescent="0.3">
      <c r="A26" s="1" t="s">
        <v>30</v>
      </c>
      <c r="B26" s="2">
        <v>2013</v>
      </c>
      <c r="C26" s="1" t="s">
        <v>42</v>
      </c>
      <c r="D26" s="1">
        <v>115.4</v>
      </c>
      <c r="E26" s="1">
        <v>115.7</v>
      </c>
      <c r="F26" s="1">
        <v>111.7</v>
      </c>
      <c r="G26" s="1">
        <v>111</v>
      </c>
      <c r="H26" s="1">
        <v>107.4</v>
      </c>
      <c r="I26" s="1">
        <v>110.9</v>
      </c>
      <c r="J26" s="1">
        <v>154</v>
      </c>
      <c r="K26" s="1">
        <v>108.1</v>
      </c>
      <c r="L26" s="1">
        <v>104.2</v>
      </c>
      <c r="M26" s="1">
        <v>107.9</v>
      </c>
      <c r="N26" s="1">
        <v>110.4</v>
      </c>
      <c r="O26" s="1">
        <v>114</v>
      </c>
      <c r="P26" s="1">
        <v>117.8</v>
      </c>
      <c r="Q26" s="1">
        <v>111.7</v>
      </c>
      <c r="R26" s="1">
        <v>112.7</v>
      </c>
      <c r="S26" s="1">
        <v>111.4</v>
      </c>
      <c r="T26" s="1">
        <v>112.5</v>
      </c>
      <c r="U26" s="1">
        <f>U27</f>
        <v>109.7</v>
      </c>
      <c r="V26" s="1">
        <v>111.1</v>
      </c>
      <c r="W26" s="1">
        <v>109.6</v>
      </c>
      <c r="X26" s="1">
        <v>108.3</v>
      </c>
      <c r="Y26" s="1">
        <v>109.3</v>
      </c>
      <c r="Z26" s="1">
        <v>107.7</v>
      </c>
      <c r="AA26" s="1">
        <v>109.8</v>
      </c>
      <c r="AB26" s="1">
        <v>106.7</v>
      </c>
      <c r="AC26" s="1">
        <v>108.7</v>
      </c>
      <c r="AD26" s="1">
        <v>114.2</v>
      </c>
    </row>
    <row r="27" spans="1:30" x14ac:dyDescent="0.3">
      <c r="A27" s="1" t="s">
        <v>33</v>
      </c>
      <c r="B27" s="2">
        <v>2013</v>
      </c>
      <c r="C27" s="1" t="s">
        <v>42</v>
      </c>
      <c r="D27" s="1">
        <v>118.6</v>
      </c>
      <c r="E27" s="1">
        <v>119.1</v>
      </c>
      <c r="F27" s="1">
        <v>113.2</v>
      </c>
      <c r="G27" s="1">
        <v>109.6</v>
      </c>
      <c r="H27" s="1">
        <v>101.7</v>
      </c>
      <c r="I27" s="1">
        <v>103.2</v>
      </c>
      <c r="J27" s="1">
        <v>174.3</v>
      </c>
      <c r="K27" s="1">
        <v>105.1</v>
      </c>
      <c r="L27" s="1">
        <v>100.8</v>
      </c>
      <c r="M27" s="1">
        <v>109.1</v>
      </c>
      <c r="N27" s="1">
        <v>111.1</v>
      </c>
      <c r="O27" s="1">
        <v>115.4</v>
      </c>
      <c r="P27" s="1">
        <v>119.2</v>
      </c>
      <c r="Q27" s="1">
        <v>112.9</v>
      </c>
      <c r="R27" s="1">
        <v>111.4</v>
      </c>
      <c r="S27" s="1">
        <v>109</v>
      </c>
      <c r="T27" s="1">
        <v>111.1</v>
      </c>
      <c r="U27" s="1">
        <v>109.7</v>
      </c>
      <c r="V27" s="1">
        <v>109.5</v>
      </c>
      <c r="W27" s="1">
        <v>109.6</v>
      </c>
      <c r="X27" s="1">
        <v>107.9</v>
      </c>
      <c r="Y27" s="1">
        <v>110.4</v>
      </c>
      <c r="Z27" s="1">
        <v>107.4</v>
      </c>
      <c r="AA27" s="1">
        <v>111.2</v>
      </c>
      <c r="AB27" s="1">
        <v>106.9</v>
      </c>
      <c r="AC27" s="1">
        <v>109.4</v>
      </c>
      <c r="AD27" s="1">
        <v>113.2</v>
      </c>
    </row>
    <row r="28" spans="1:30" x14ac:dyDescent="0.3">
      <c r="A28" s="1" t="s">
        <v>34</v>
      </c>
      <c r="B28" s="2">
        <v>2013</v>
      </c>
      <c r="C28" s="1" t="s">
        <v>42</v>
      </c>
      <c r="D28" s="1">
        <v>116.4</v>
      </c>
      <c r="E28" s="1">
        <v>116.9</v>
      </c>
      <c r="F28" s="1">
        <v>112.3</v>
      </c>
      <c r="G28" s="1">
        <v>110.5</v>
      </c>
      <c r="H28" s="1">
        <v>105.3</v>
      </c>
      <c r="I28" s="1">
        <v>107.3</v>
      </c>
      <c r="J28" s="1">
        <v>160.9</v>
      </c>
      <c r="K28" s="1">
        <v>107.1</v>
      </c>
      <c r="L28" s="1">
        <v>103.1</v>
      </c>
      <c r="M28" s="1">
        <v>108.3</v>
      </c>
      <c r="N28" s="1">
        <v>110.7</v>
      </c>
      <c r="O28" s="1">
        <v>114.6</v>
      </c>
      <c r="P28" s="1">
        <v>118.3</v>
      </c>
      <c r="Q28" s="1">
        <v>112</v>
      </c>
      <c r="R28" s="1">
        <v>112.2</v>
      </c>
      <c r="S28" s="1">
        <v>110.4</v>
      </c>
      <c r="T28" s="1">
        <v>111.9</v>
      </c>
      <c r="U28" s="1">
        <v>109.7</v>
      </c>
      <c r="V28" s="1">
        <v>110.5</v>
      </c>
      <c r="W28" s="1">
        <v>109.6</v>
      </c>
      <c r="X28" s="1">
        <v>108.1</v>
      </c>
      <c r="Y28" s="1">
        <v>109.9</v>
      </c>
      <c r="Z28" s="1">
        <v>107.5</v>
      </c>
      <c r="AA28" s="1">
        <v>110.6</v>
      </c>
      <c r="AB28" s="1">
        <v>106.8</v>
      </c>
      <c r="AC28" s="1">
        <v>109</v>
      </c>
      <c r="AD28" s="1">
        <v>113.7</v>
      </c>
    </row>
    <row r="29" spans="1:30" x14ac:dyDescent="0.3">
      <c r="A29" s="1" t="s">
        <v>30</v>
      </c>
      <c r="B29" s="2">
        <v>2013</v>
      </c>
      <c r="C29" s="1" t="s">
        <v>43</v>
      </c>
      <c r="D29" s="1">
        <v>116.3</v>
      </c>
      <c r="E29" s="1">
        <v>115.4</v>
      </c>
      <c r="F29" s="1">
        <v>112.6</v>
      </c>
      <c r="G29" s="1">
        <v>111.7</v>
      </c>
      <c r="H29" s="1">
        <v>107.7</v>
      </c>
      <c r="I29" s="1">
        <v>113.2</v>
      </c>
      <c r="J29" s="1">
        <v>164.9</v>
      </c>
      <c r="K29" s="1">
        <v>108.3</v>
      </c>
      <c r="L29" s="1">
        <v>103.9</v>
      </c>
      <c r="M29" s="1">
        <v>108.2</v>
      </c>
      <c r="N29" s="1">
        <v>111.1</v>
      </c>
      <c r="O29" s="1">
        <v>114.9</v>
      </c>
      <c r="P29" s="1">
        <v>119.8</v>
      </c>
      <c r="Q29" s="1">
        <v>112.2</v>
      </c>
      <c r="R29" s="1">
        <v>113.6</v>
      </c>
      <c r="S29" s="1">
        <v>112.3</v>
      </c>
      <c r="T29" s="1">
        <v>113.4</v>
      </c>
      <c r="U29" s="1">
        <f>U30</f>
        <v>110.5</v>
      </c>
      <c r="V29" s="1">
        <v>111.6</v>
      </c>
      <c r="W29" s="1">
        <v>110.4</v>
      </c>
      <c r="X29" s="1">
        <v>108.9</v>
      </c>
      <c r="Y29" s="1">
        <v>109.3</v>
      </c>
      <c r="Z29" s="1">
        <v>108.3</v>
      </c>
      <c r="AA29" s="1">
        <v>110.2</v>
      </c>
      <c r="AB29" s="1">
        <v>107.5</v>
      </c>
      <c r="AC29" s="1">
        <v>109.1</v>
      </c>
      <c r="AD29" s="1">
        <v>115.5</v>
      </c>
    </row>
    <row r="30" spans="1:30" x14ac:dyDescent="0.3">
      <c r="A30" s="1" t="s">
        <v>33</v>
      </c>
      <c r="B30" s="2">
        <v>2013</v>
      </c>
      <c r="C30" s="1" t="s">
        <v>43</v>
      </c>
      <c r="D30" s="1">
        <v>118.9</v>
      </c>
      <c r="E30" s="1">
        <v>118.1</v>
      </c>
      <c r="F30" s="1">
        <v>114.5</v>
      </c>
      <c r="G30" s="1">
        <v>110.4</v>
      </c>
      <c r="H30" s="1">
        <v>102.3</v>
      </c>
      <c r="I30" s="1">
        <v>106.2</v>
      </c>
      <c r="J30" s="1">
        <v>183.5</v>
      </c>
      <c r="K30" s="1">
        <v>105.3</v>
      </c>
      <c r="L30" s="1">
        <v>100.2</v>
      </c>
      <c r="M30" s="1">
        <v>109.6</v>
      </c>
      <c r="N30" s="1">
        <v>111.4</v>
      </c>
      <c r="O30" s="1">
        <v>116</v>
      </c>
      <c r="P30" s="1">
        <v>120.8</v>
      </c>
      <c r="Q30" s="1">
        <v>113.5</v>
      </c>
      <c r="R30" s="1">
        <v>112.5</v>
      </c>
      <c r="S30" s="1">
        <v>109.7</v>
      </c>
      <c r="T30" s="1">
        <v>112</v>
      </c>
      <c r="U30" s="1">
        <v>110.5</v>
      </c>
      <c r="V30" s="1">
        <v>109.7</v>
      </c>
      <c r="W30" s="1">
        <v>110.2</v>
      </c>
      <c r="X30" s="1">
        <v>108.2</v>
      </c>
      <c r="Y30" s="1">
        <v>109.7</v>
      </c>
      <c r="Z30" s="1">
        <v>108</v>
      </c>
      <c r="AA30" s="1">
        <v>111.3</v>
      </c>
      <c r="AB30" s="1">
        <v>107.3</v>
      </c>
      <c r="AC30" s="1">
        <v>109.4</v>
      </c>
      <c r="AD30" s="1">
        <v>114</v>
      </c>
    </row>
    <row r="31" spans="1:30" x14ac:dyDescent="0.3">
      <c r="A31" s="1" t="s">
        <v>34</v>
      </c>
      <c r="B31" s="2">
        <v>2013</v>
      </c>
      <c r="C31" s="1" t="s">
        <v>43</v>
      </c>
      <c r="D31" s="1">
        <v>117.1</v>
      </c>
      <c r="E31" s="1">
        <v>116.3</v>
      </c>
      <c r="F31" s="1">
        <v>113.3</v>
      </c>
      <c r="G31" s="1">
        <v>111.2</v>
      </c>
      <c r="H31" s="1">
        <v>105.7</v>
      </c>
      <c r="I31" s="1">
        <v>109.9</v>
      </c>
      <c r="J31" s="1">
        <v>171.2</v>
      </c>
      <c r="K31" s="1">
        <v>107.3</v>
      </c>
      <c r="L31" s="1">
        <v>102.7</v>
      </c>
      <c r="M31" s="1">
        <v>108.7</v>
      </c>
      <c r="N31" s="1">
        <v>111.2</v>
      </c>
      <c r="O31" s="1">
        <v>115.4</v>
      </c>
      <c r="P31" s="1">
        <v>120.2</v>
      </c>
      <c r="Q31" s="1">
        <v>112.5</v>
      </c>
      <c r="R31" s="1">
        <v>113.2</v>
      </c>
      <c r="S31" s="1">
        <v>111.2</v>
      </c>
      <c r="T31" s="1">
        <v>112.8</v>
      </c>
      <c r="U31" s="1">
        <v>110.5</v>
      </c>
      <c r="V31" s="1">
        <v>110.9</v>
      </c>
      <c r="W31" s="1">
        <v>110.3</v>
      </c>
      <c r="X31" s="1">
        <v>108.6</v>
      </c>
      <c r="Y31" s="1">
        <v>109.5</v>
      </c>
      <c r="Z31" s="1">
        <v>108.1</v>
      </c>
      <c r="AA31" s="1">
        <v>110.8</v>
      </c>
      <c r="AB31" s="1">
        <v>107.4</v>
      </c>
      <c r="AC31" s="1">
        <v>109.2</v>
      </c>
      <c r="AD31" s="1">
        <v>114.8</v>
      </c>
    </row>
    <row r="32" spans="1:30" x14ac:dyDescent="0.3">
      <c r="A32" s="1" t="s">
        <v>30</v>
      </c>
      <c r="B32" s="2">
        <v>2013</v>
      </c>
      <c r="C32" s="1" t="s">
        <v>45</v>
      </c>
      <c r="D32" s="1">
        <v>117.3</v>
      </c>
      <c r="E32" s="1">
        <v>114.9</v>
      </c>
      <c r="F32" s="1">
        <v>116.2</v>
      </c>
      <c r="G32" s="1">
        <v>112.8</v>
      </c>
      <c r="H32" s="1">
        <v>108.9</v>
      </c>
      <c r="I32" s="1">
        <v>116.6</v>
      </c>
      <c r="J32" s="1">
        <v>178.1</v>
      </c>
      <c r="K32" s="1">
        <v>109.1</v>
      </c>
      <c r="L32" s="1">
        <v>103.6</v>
      </c>
      <c r="M32" s="1">
        <v>109</v>
      </c>
      <c r="N32" s="1">
        <v>111.8</v>
      </c>
      <c r="O32" s="1">
        <v>116</v>
      </c>
      <c r="P32" s="1">
        <v>122.5</v>
      </c>
      <c r="Q32" s="1">
        <v>112.8</v>
      </c>
      <c r="R32" s="1">
        <v>114.6</v>
      </c>
      <c r="S32" s="1">
        <v>113.1</v>
      </c>
      <c r="T32" s="1">
        <v>114.4</v>
      </c>
      <c r="U32" s="1">
        <f>U33</f>
        <v>111.1</v>
      </c>
      <c r="V32" s="1">
        <v>112.6</v>
      </c>
      <c r="W32" s="1">
        <v>111.3</v>
      </c>
      <c r="X32" s="1">
        <v>109.7</v>
      </c>
      <c r="Y32" s="1">
        <v>109.6</v>
      </c>
      <c r="Z32" s="1">
        <v>108.7</v>
      </c>
      <c r="AA32" s="1">
        <v>111</v>
      </c>
      <c r="AB32" s="1">
        <v>108.2</v>
      </c>
      <c r="AC32" s="1">
        <v>109.8</v>
      </c>
      <c r="AD32" s="1">
        <v>117.4</v>
      </c>
    </row>
    <row r="33" spans="1:30" x14ac:dyDescent="0.3">
      <c r="A33" s="1" t="s">
        <v>33</v>
      </c>
      <c r="B33" s="2">
        <v>2013</v>
      </c>
      <c r="C33" s="1" t="s">
        <v>45</v>
      </c>
      <c r="D33" s="1">
        <v>119.8</v>
      </c>
      <c r="E33" s="1">
        <v>116.3</v>
      </c>
      <c r="F33" s="1">
        <v>122.6</v>
      </c>
      <c r="G33" s="1">
        <v>112</v>
      </c>
      <c r="H33" s="1">
        <v>103.2</v>
      </c>
      <c r="I33" s="1">
        <v>110</v>
      </c>
      <c r="J33" s="1">
        <v>192.8</v>
      </c>
      <c r="K33" s="1">
        <v>106.3</v>
      </c>
      <c r="L33" s="1">
        <v>99.5</v>
      </c>
      <c r="M33" s="1">
        <v>110.3</v>
      </c>
      <c r="N33" s="1">
        <v>111.8</v>
      </c>
      <c r="O33" s="1">
        <v>117.1</v>
      </c>
      <c r="P33" s="1">
        <v>122.9</v>
      </c>
      <c r="Q33" s="1">
        <v>114.1</v>
      </c>
      <c r="R33" s="1">
        <v>113.5</v>
      </c>
      <c r="S33" s="1">
        <v>110.3</v>
      </c>
      <c r="T33" s="1">
        <v>113</v>
      </c>
      <c r="U33" s="1">
        <v>111.1</v>
      </c>
      <c r="V33" s="1">
        <v>110</v>
      </c>
      <c r="W33" s="1">
        <v>110.9</v>
      </c>
      <c r="X33" s="1">
        <v>108.6</v>
      </c>
      <c r="Y33" s="1">
        <v>109.5</v>
      </c>
      <c r="Z33" s="1">
        <v>108.5</v>
      </c>
      <c r="AA33" s="1">
        <v>111.3</v>
      </c>
      <c r="AB33" s="1">
        <v>107.9</v>
      </c>
      <c r="AC33" s="1">
        <v>109.6</v>
      </c>
      <c r="AD33" s="1">
        <v>115</v>
      </c>
    </row>
    <row r="34" spans="1:30" x14ac:dyDescent="0.3">
      <c r="A34" s="1" t="s">
        <v>34</v>
      </c>
      <c r="B34" s="2">
        <v>2013</v>
      </c>
      <c r="C34" s="1" t="s">
        <v>45</v>
      </c>
      <c r="D34" s="1">
        <v>118.1</v>
      </c>
      <c r="E34" s="1">
        <v>115.4</v>
      </c>
      <c r="F34" s="1">
        <v>118.7</v>
      </c>
      <c r="G34" s="1">
        <v>112.5</v>
      </c>
      <c r="H34" s="1">
        <v>106.8</v>
      </c>
      <c r="I34" s="1">
        <v>113.5</v>
      </c>
      <c r="J34" s="1">
        <v>183.1</v>
      </c>
      <c r="K34" s="1">
        <v>108.2</v>
      </c>
      <c r="L34" s="1">
        <v>102.2</v>
      </c>
      <c r="M34" s="1">
        <v>109.4</v>
      </c>
      <c r="N34" s="1">
        <v>111.8</v>
      </c>
      <c r="O34" s="1">
        <v>116.5</v>
      </c>
      <c r="P34" s="1">
        <v>122.6</v>
      </c>
      <c r="Q34" s="1">
        <v>113.1</v>
      </c>
      <c r="R34" s="1">
        <v>114.2</v>
      </c>
      <c r="S34" s="1">
        <v>111.9</v>
      </c>
      <c r="T34" s="1">
        <v>113.8</v>
      </c>
      <c r="U34" s="1">
        <v>111.1</v>
      </c>
      <c r="V34" s="1">
        <v>111.6</v>
      </c>
      <c r="W34" s="1">
        <v>111.1</v>
      </c>
      <c r="X34" s="1">
        <v>109.3</v>
      </c>
      <c r="Y34" s="1">
        <v>109.5</v>
      </c>
      <c r="Z34" s="1">
        <v>108.6</v>
      </c>
      <c r="AA34" s="1">
        <v>111.2</v>
      </c>
      <c r="AB34" s="1">
        <v>108.1</v>
      </c>
      <c r="AC34" s="1">
        <v>109.7</v>
      </c>
      <c r="AD34" s="1">
        <v>116.3</v>
      </c>
    </row>
    <row r="35" spans="1:30" x14ac:dyDescent="0.3">
      <c r="A35" s="1" t="s">
        <v>30</v>
      </c>
      <c r="B35" s="2">
        <v>2013</v>
      </c>
      <c r="C35" s="1" t="s">
        <v>46</v>
      </c>
      <c r="D35" s="1">
        <v>118.4</v>
      </c>
      <c r="E35" s="1">
        <v>115.9</v>
      </c>
      <c r="F35" s="1">
        <v>120.4</v>
      </c>
      <c r="G35" s="1">
        <v>113.8</v>
      </c>
      <c r="H35" s="1">
        <v>109.5</v>
      </c>
      <c r="I35" s="1">
        <v>115.5</v>
      </c>
      <c r="J35" s="1">
        <v>145.69999999999999</v>
      </c>
      <c r="K35" s="1">
        <v>109.5</v>
      </c>
      <c r="L35" s="1">
        <v>102.9</v>
      </c>
      <c r="M35" s="1">
        <v>109.8</v>
      </c>
      <c r="N35" s="1">
        <v>112.1</v>
      </c>
      <c r="O35" s="1">
        <v>116.8</v>
      </c>
      <c r="P35" s="1">
        <v>118.7</v>
      </c>
      <c r="Q35" s="1">
        <v>113.6</v>
      </c>
      <c r="R35" s="1">
        <v>115.8</v>
      </c>
      <c r="S35" s="1">
        <v>114</v>
      </c>
      <c r="T35" s="1">
        <v>115.5</v>
      </c>
      <c r="U35" s="1">
        <f>U36</f>
        <v>110.7</v>
      </c>
      <c r="V35" s="1">
        <v>112.8</v>
      </c>
      <c r="W35" s="1">
        <v>112.1</v>
      </c>
      <c r="X35" s="1">
        <v>110.1</v>
      </c>
      <c r="Y35" s="1">
        <v>109.9</v>
      </c>
      <c r="Z35" s="1">
        <v>109.2</v>
      </c>
      <c r="AA35" s="1">
        <v>111.6</v>
      </c>
      <c r="AB35" s="1">
        <v>108.1</v>
      </c>
      <c r="AC35" s="1">
        <v>110.1</v>
      </c>
      <c r="AD35" s="1">
        <v>115.5</v>
      </c>
    </row>
    <row r="36" spans="1:30" x14ac:dyDescent="0.3">
      <c r="A36" s="1" t="s">
        <v>33</v>
      </c>
      <c r="B36" s="2">
        <v>2013</v>
      </c>
      <c r="C36" s="1" t="s">
        <v>46</v>
      </c>
      <c r="D36" s="1">
        <v>120.5</v>
      </c>
      <c r="E36" s="1">
        <v>118.1</v>
      </c>
      <c r="F36" s="1">
        <v>128.5</v>
      </c>
      <c r="G36" s="1">
        <v>112.8</v>
      </c>
      <c r="H36" s="1">
        <v>103.4</v>
      </c>
      <c r="I36" s="1">
        <v>110.7</v>
      </c>
      <c r="J36" s="1">
        <v>144.80000000000001</v>
      </c>
      <c r="K36" s="1">
        <v>107.1</v>
      </c>
      <c r="L36" s="1">
        <v>98.6</v>
      </c>
      <c r="M36" s="1">
        <v>111.9</v>
      </c>
      <c r="N36" s="1">
        <v>112.1</v>
      </c>
      <c r="O36" s="1">
        <v>118.1</v>
      </c>
      <c r="P36" s="1">
        <v>117.8</v>
      </c>
      <c r="Q36" s="1">
        <v>115</v>
      </c>
      <c r="R36" s="1">
        <v>114.2</v>
      </c>
      <c r="S36" s="1">
        <v>110.9</v>
      </c>
      <c r="T36" s="1">
        <v>113.7</v>
      </c>
      <c r="U36" s="1">
        <v>110.7</v>
      </c>
      <c r="V36" s="1">
        <v>110.4</v>
      </c>
      <c r="W36" s="1">
        <v>111.3</v>
      </c>
      <c r="X36" s="1">
        <v>109</v>
      </c>
      <c r="Y36" s="1">
        <v>109.7</v>
      </c>
      <c r="Z36" s="1">
        <v>108.9</v>
      </c>
      <c r="AA36" s="1">
        <v>111.4</v>
      </c>
      <c r="AB36" s="1">
        <v>107.7</v>
      </c>
      <c r="AC36" s="1">
        <v>109.8</v>
      </c>
      <c r="AD36" s="1">
        <v>113.3</v>
      </c>
    </row>
    <row r="37" spans="1:30" x14ac:dyDescent="0.3">
      <c r="A37" s="1" t="s">
        <v>34</v>
      </c>
      <c r="B37" s="2">
        <v>2013</v>
      </c>
      <c r="C37" s="1" t="s">
        <v>46</v>
      </c>
      <c r="D37" s="1">
        <v>119.1</v>
      </c>
      <c r="E37" s="1">
        <v>116.7</v>
      </c>
      <c r="F37" s="1">
        <v>123.5</v>
      </c>
      <c r="G37" s="1">
        <v>113.4</v>
      </c>
      <c r="H37" s="1">
        <v>107.3</v>
      </c>
      <c r="I37" s="1">
        <v>113.3</v>
      </c>
      <c r="J37" s="1">
        <v>145.4</v>
      </c>
      <c r="K37" s="1">
        <v>108.7</v>
      </c>
      <c r="L37" s="1">
        <v>101.5</v>
      </c>
      <c r="M37" s="1">
        <v>110.5</v>
      </c>
      <c r="N37" s="1">
        <v>112.1</v>
      </c>
      <c r="O37" s="1">
        <v>117.4</v>
      </c>
      <c r="P37" s="1">
        <v>118.4</v>
      </c>
      <c r="Q37" s="1">
        <v>114</v>
      </c>
      <c r="R37" s="1">
        <v>115.2</v>
      </c>
      <c r="S37" s="1">
        <v>112.7</v>
      </c>
      <c r="T37" s="1">
        <v>114.8</v>
      </c>
      <c r="U37" s="1">
        <v>110.7</v>
      </c>
      <c r="V37" s="1">
        <v>111.9</v>
      </c>
      <c r="W37" s="1">
        <v>111.7</v>
      </c>
      <c r="X37" s="1">
        <v>109.7</v>
      </c>
      <c r="Y37" s="1">
        <v>109.8</v>
      </c>
      <c r="Z37" s="1">
        <v>109</v>
      </c>
      <c r="AA37" s="1">
        <v>111.5</v>
      </c>
      <c r="AB37" s="1">
        <v>107.9</v>
      </c>
      <c r="AC37" s="1">
        <v>110</v>
      </c>
      <c r="AD37" s="1">
        <v>114.5</v>
      </c>
    </row>
    <row r="38" spans="1:30" x14ac:dyDescent="0.3">
      <c r="A38" s="1" t="s">
        <v>30</v>
      </c>
      <c r="B38" s="2">
        <v>2014</v>
      </c>
      <c r="C38" s="1" t="s">
        <v>31</v>
      </c>
      <c r="D38" s="1">
        <v>118.9</v>
      </c>
      <c r="E38" s="1">
        <v>117.1</v>
      </c>
      <c r="F38" s="1">
        <v>120.5</v>
      </c>
      <c r="G38" s="1">
        <v>114.4</v>
      </c>
      <c r="H38" s="1">
        <v>109</v>
      </c>
      <c r="I38" s="1">
        <v>115.5</v>
      </c>
      <c r="J38" s="1">
        <v>123.9</v>
      </c>
      <c r="K38" s="1">
        <v>109.6</v>
      </c>
      <c r="L38" s="1">
        <v>101.8</v>
      </c>
      <c r="M38" s="1">
        <v>110.2</v>
      </c>
      <c r="N38" s="1">
        <v>112.4</v>
      </c>
      <c r="O38" s="1">
        <v>117.3</v>
      </c>
      <c r="P38" s="1">
        <v>116</v>
      </c>
      <c r="Q38" s="1">
        <v>114</v>
      </c>
      <c r="R38" s="1">
        <v>116.5</v>
      </c>
      <c r="S38" s="1">
        <v>114.5</v>
      </c>
      <c r="T38" s="1">
        <v>116.2</v>
      </c>
      <c r="U38" s="1">
        <f>U39</f>
        <v>111.6</v>
      </c>
      <c r="V38" s="1">
        <v>113</v>
      </c>
      <c r="W38" s="1">
        <v>112.6</v>
      </c>
      <c r="X38" s="1">
        <v>110.6</v>
      </c>
      <c r="Y38" s="1">
        <v>110.5</v>
      </c>
      <c r="Z38" s="1">
        <v>109.6</v>
      </c>
      <c r="AA38" s="1">
        <v>111.8</v>
      </c>
      <c r="AB38" s="1">
        <v>108.3</v>
      </c>
      <c r="AC38" s="1">
        <v>110.6</v>
      </c>
      <c r="AD38" s="1">
        <v>114.2</v>
      </c>
    </row>
    <row r="39" spans="1:30" x14ac:dyDescent="0.3">
      <c r="A39" s="1" t="s">
        <v>33</v>
      </c>
      <c r="B39" s="2">
        <v>2014</v>
      </c>
      <c r="C39" s="1" t="s">
        <v>31</v>
      </c>
      <c r="D39" s="1">
        <v>121.2</v>
      </c>
      <c r="E39" s="1">
        <v>122</v>
      </c>
      <c r="F39" s="1">
        <v>129.9</v>
      </c>
      <c r="G39" s="1">
        <v>113.6</v>
      </c>
      <c r="H39" s="1">
        <v>102.9</v>
      </c>
      <c r="I39" s="1">
        <v>112.1</v>
      </c>
      <c r="J39" s="1">
        <v>118.9</v>
      </c>
      <c r="K39" s="1">
        <v>107.5</v>
      </c>
      <c r="L39" s="1">
        <v>96.9</v>
      </c>
      <c r="M39" s="1">
        <v>112.7</v>
      </c>
      <c r="N39" s="1">
        <v>112.1</v>
      </c>
      <c r="O39" s="1">
        <v>119</v>
      </c>
      <c r="P39" s="1">
        <v>115.5</v>
      </c>
      <c r="Q39" s="1">
        <v>115.7</v>
      </c>
      <c r="R39" s="1">
        <v>114.8</v>
      </c>
      <c r="S39" s="1">
        <v>111.3</v>
      </c>
      <c r="T39" s="1">
        <v>114.3</v>
      </c>
      <c r="U39" s="1">
        <v>111.6</v>
      </c>
      <c r="V39" s="1">
        <v>111</v>
      </c>
      <c r="W39" s="1">
        <v>111.9</v>
      </c>
      <c r="X39" s="1">
        <v>109.7</v>
      </c>
      <c r="Y39" s="1">
        <v>110.8</v>
      </c>
      <c r="Z39" s="1">
        <v>109.8</v>
      </c>
      <c r="AA39" s="1">
        <v>111.5</v>
      </c>
      <c r="AB39" s="1">
        <v>108</v>
      </c>
      <c r="AC39" s="1">
        <v>110.5</v>
      </c>
      <c r="AD39" s="1">
        <v>112.9</v>
      </c>
    </row>
    <row r="40" spans="1:30" x14ac:dyDescent="0.3">
      <c r="A40" s="1" t="s">
        <v>34</v>
      </c>
      <c r="B40" s="2">
        <v>2014</v>
      </c>
      <c r="C40" s="1" t="s">
        <v>31</v>
      </c>
      <c r="D40" s="1">
        <v>119.6</v>
      </c>
      <c r="E40" s="1">
        <v>118.8</v>
      </c>
      <c r="F40" s="1">
        <v>124.1</v>
      </c>
      <c r="G40" s="1">
        <v>114.1</v>
      </c>
      <c r="H40" s="1">
        <v>106.8</v>
      </c>
      <c r="I40" s="1">
        <v>113.9</v>
      </c>
      <c r="J40" s="1">
        <v>122.2</v>
      </c>
      <c r="K40" s="1">
        <v>108.9</v>
      </c>
      <c r="L40" s="1">
        <v>100.2</v>
      </c>
      <c r="M40" s="1">
        <v>111</v>
      </c>
      <c r="N40" s="1">
        <v>112.3</v>
      </c>
      <c r="O40" s="1">
        <v>118.1</v>
      </c>
      <c r="P40" s="1">
        <v>115.8</v>
      </c>
      <c r="Q40" s="1">
        <v>114.5</v>
      </c>
      <c r="R40" s="1">
        <v>115.8</v>
      </c>
      <c r="S40" s="1">
        <v>113.2</v>
      </c>
      <c r="T40" s="1">
        <v>115.4</v>
      </c>
      <c r="U40" s="1">
        <v>111.6</v>
      </c>
      <c r="V40" s="1">
        <v>112.2</v>
      </c>
      <c r="W40" s="1">
        <v>112.3</v>
      </c>
      <c r="X40" s="1">
        <v>110.3</v>
      </c>
      <c r="Y40" s="1">
        <v>110.7</v>
      </c>
      <c r="Z40" s="1">
        <v>109.7</v>
      </c>
      <c r="AA40" s="1">
        <v>111.6</v>
      </c>
      <c r="AB40" s="1">
        <v>108.2</v>
      </c>
      <c r="AC40" s="1">
        <v>110.6</v>
      </c>
      <c r="AD40" s="1">
        <v>113.6</v>
      </c>
    </row>
    <row r="41" spans="1:30" x14ac:dyDescent="0.3">
      <c r="A41" s="1" t="s">
        <v>30</v>
      </c>
      <c r="B41" s="2">
        <v>2014</v>
      </c>
      <c r="C41" s="1" t="s">
        <v>35</v>
      </c>
      <c r="D41" s="1">
        <v>119.4</v>
      </c>
      <c r="E41" s="1">
        <v>117.7</v>
      </c>
      <c r="F41" s="1">
        <v>121.2</v>
      </c>
      <c r="G41" s="1">
        <v>115</v>
      </c>
      <c r="H41" s="1">
        <v>109</v>
      </c>
      <c r="I41" s="1">
        <v>116.6</v>
      </c>
      <c r="J41" s="1">
        <v>116</v>
      </c>
      <c r="K41" s="1">
        <v>109.8</v>
      </c>
      <c r="L41" s="1">
        <v>101.1</v>
      </c>
      <c r="M41" s="1">
        <v>110.4</v>
      </c>
      <c r="N41" s="1">
        <v>112.9</v>
      </c>
      <c r="O41" s="1">
        <v>117.8</v>
      </c>
      <c r="P41" s="1">
        <v>115.3</v>
      </c>
      <c r="Q41" s="1">
        <v>114.2</v>
      </c>
      <c r="R41" s="1">
        <v>117.1</v>
      </c>
      <c r="S41" s="1">
        <v>114.5</v>
      </c>
      <c r="T41" s="1">
        <v>116.7</v>
      </c>
      <c r="U41" s="1">
        <f>U42</f>
        <v>112.5</v>
      </c>
      <c r="V41" s="1">
        <v>113.2</v>
      </c>
      <c r="W41" s="1">
        <v>112.9</v>
      </c>
      <c r="X41" s="1">
        <v>110.9</v>
      </c>
      <c r="Y41" s="1">
        <v>110.8</v>
      </c>
      <c r="Z41" s="1">
        <v>109.9</v>
      </c>
      <c r="AA41" s="1">
        <v>112</v>
      </c>
      <c r="AB41" s="1">
        <v>108.7</v>
      </c>
      <c r="AC41" s="1">
        <v>110.9</v>
      </c>
      <c r="AD41" s="1">
        <v>114</v>
      </c>
    </row>
    <row r="42" spans="1:30" x14ac:dyDescent="0.3">
      <c r="A42" s="1" t="s">
        <v>33</v>
      </c>
      <c r="B42" s="2">
        <v>2014</v>
      </c>
      <c r="C42" s="1" t="s">
        <v>35</v>
      </c>
      <c r="D42" s="1">
        <v>121.9</v>
      </c>
      <c r="E42" s="1">
        <v>122</v>
      </c>
      <c r="F42" s="1">
        <v>124.5</v>
      </c>
      <c r="G42" s="1">
        <v>115.2</v>
      </c>
      <c r="H42" s="1">
        <v>102.5</v>
      </c>
      <c r="I42" s="1">
        <v>114.1</v>
      </c>
      <c r="J42" s="1">
        <v>111.5</v>
      </c>
      <c r="K42" s="1">
        <v>108.2</v>
      </c>
      <c r="L42" s="1">
        <v>95.4</v>
      </c>
      <c r="M42" s="1">
        <v>113.5</v>
      </c>
      <c r="N42" s="1">
        <v>112.1</v>
      </c>
      <c r="O42" s="1">
        <v>119.9</v>
      </c>
      <c r="P42" s="1">
        <v>115.2</v>
      </c>
      <c r="Q42" s="1">
        <v>116.2</v>
      </c>
      <c r="R42" s="1">
        <v>115.3</v>
      </c>
      <c r="S42" s="1">
        <v>111.7</v>
      </c>
      <c r="T42" s="1">
        <v>114.7</v>
      </c>
      <c r="U42" s="1">
        <v>112.5</v>
      </c>
      <c r="V42" s="1">
        <v>111.1</v>
      </c>
      <c r="W42" s="1">
        <v>112.6</v>
      </c>
      <c r="X42" s="1">
        <v>110.4</v>
      </c>
      <c r="Y42" s="1">
        <v>111.3</v>
      </c>
      <c r="Z42" s="1">
        <v>110.3</v>
      </c>
      <c r="AA42" s="1">
        <v>111.6</v>
      </c>
      <c r="AB42" s="1">
        <v>108.7</v>
      </c>
      <c r="AC42" s="1">
        <v>111</v>
      </c>
      <c r="AD42" s="1">
        <v>113.1</v>
      </c>
    </row>
    <row r="43" spans="1:30" x14ac:dyDescent="0.3">
      <c r="A43" s="1" t="s">
        <v>34</v>
      </c>
      <c r="B43" s="2">
        <v>2014</v>
      </c>
      <c r="C43" s="1" t="s">
        <v>35</v>
      </c>
      <c r="D43" s="1">
        <v>120.2</v>
      </c>
      <c r="E43" s="1">
        <v>119.2</v>
      </c>
      <c r="F43" s="1">
        <v>122.5</v>
      </c>
      <c r="G43" s="1">
        <v>115.1</v>
      </c>
      <c r="H43" s="1">
        <v>106.6</v>
      </c>
      <c r="I43" s="1">
        <v>115.4</v>
      </c>
      <c r="J43" s="1">
        <v>114.5</v>
      </c>
      <c r="K43" s="1">
        <v>109.3</v>
      </c>
      <c r="L43" s="1">
        <v>99.2</v>
      </c>
      <c r="M43" s="1">
        <v>111.4</v>
      </c>
      <c r="N43" s="1">
        <v>112.6</v>
      </c>
      <c r="O43" s="1">
        <v>118.8</v>
      </c>
      <c r="P43" s="1">
        <v>115.3</v>
      </c>
      <c r="Q43" s="1">
        <v>114.7</v>
      </c>
      <c r="R43" s="1">
        <v>116.4</v>
      </c>
      <c r="S43" s="1">
        <v>113.3</v>
      </c>
      <c r="T43" s="1">
        <v>115.9</v>
      </c>
      <c r="U43" s="1">
        <v>112.5</v>
      </c>
      <c r="V43" s="1">
        <v>112.4</v>
      </c>
      <c r="W43" s="1">
        <v>112.8</v>
      </c>
      <c r="X43" s="1">
        <v>110.7</v>
      </c>
      <c r="Y43" s="1">
        <v>111.1</v>
      </c>
      <c r="Z43" s="1">
        <v>110.1</v>
      </c>
      <c r="AA43" s="1">
        <v>111.8</v>
      </c>
      <c r="AB43" s="1">
        <v>108.7</v>
      </c>
      <c r="AC43" s="1">
        <v>110.9</v>
      </c>
      <c r="AD43" s="1">
        <v>113.6</v>
      </c>
    </row>
    <row r="44" spans="1:30" x14ac:dyDescent="0.3">
      <c r="A44" s="1" t="s">
        <v>30</v>
      </c>
      <c r="B44" s="2">
        <v>2014</v>
      </c>
      <c r="C44" s="1" t="s">
        <v>36</v>
      </c>
      <c r="D44" s="1">
        <v>120.1</v>
      </c>
      <c r="E44" s="1">
        <v>118.1</v>
      </c>
      <c r="F44" s="1">
        <v>120.7</v>
      </c>
      <c r="G44" s="1">
        <v>116.1</v>
      </c>
      <c r="H44" s="1">
        <v>109.3</v>
      </c>
      <c r="I44" s="1">
        <v>119.6</v>
      </c>
      <c r="J44" s="1">
        <v>117.9</v>
      </c>
      <c r="K44" s="1">
        <v>110.2</v>
      </c>
      <c r="L44" s="1">
        <v>101.2</v>
      </c>
      <c r="M44" s="1">
        <v>110.7</v>
      </c>
      <c r="N44" s="1">
        <v>113</v>
      </c>
      <c r="O44" s="1">
        <v>118.3</v>
      </c>
      <c r="P44" s="1">
        <v>116.2</v>
      </c>
      <c r="Q44" s="1">
        <v>114.6</v>
      </c>
      <c r="R44" s="1">
        <v>117.5</v>
      </c>
      <c r="S44" s="1">
        <v>114.9</v>
      </c>
      <c r="T44" s="1">
        <v>117.2</v>
      </c>
      <c r="U44" s="1">
        <f>U45</f>
        <v>113.2</v>
      </c>
      <c r="V44" s="1">
        <v>113.4</v>
      </c>
      <c r="W44" s="1">
        <v>113.4</v>
      </c>
      <c r="X44" s="1">
        <v>111.4</v>
      </c>
      <c r="Y44" s="1">
        <v>111.2</v>
      </c>
      <c r="Z44" s="1">
        <v>110.2</v>
      </c>
      <c r="AA44" s="1">
        <v>112.4</v>
      </c>
      <c r="AB44" s="1">
        <v>108.9</v>
      </c>
      <c r="AC44" s="1">
        <v>111.3</v>
      </c>
      <c r="AD44" s="1">
        <v>114.6</v>
      </c>
    </row>
    <row r="45" spans="1:30" x14ac:dyDescent="0.3">
      <c r="A45" s="1" t="s">
        <v>33</v>
      </c>
      <c r="B45" s="2">
        <v>2014</v>
      </c>
      <c r="C45" s="1" t="s">
        <v>36</v>
      </c>
      <c r="D45" s="1">
        <v>122.1</v>
      </c>
      <c r="E45" s="1">
        <v>121.4</v>
      </c>
      <c r="F45" s="1">
        <v>121.5</v>
      </c>
      <c r="G45" s="1">
        <v>116.2</v>
      </c>
      <c r="H45" s="1">
        <v>102.8</v>
      </c>
      <c r="I45" s="1">
        <v>117.7</v>
      </c>
      <c r="J45" s="1">
        <v>113.3</v>
      </c>
      <c r="K45" s="1">
        <v>108.9</v>
      </c>
      <c r="L45" s="1">
        <v>96.3</v>
      </c>
      <c r="M45" s="1">
        <v>114.1</v>
      </c>
      <c r="N45" s="1">
        <v>112.2</v>
      </c>
      <c r="O45" s="1">
        <v>120.5</v>
      </c>
      <c r="P45" s="1">
        <v>116</v>
      </c>
      <c r="Q45" s="1">
        <v>116.7</v>
      </c>
      <c r="R45" s="1">
        <v>115.8</v>
      </c>
      <c r="S45" s="1">
        <v>112.1</v>
      </c>
      <c r="T45" s="1">
        <v>115.2</v>
      </c>
      <c r="U45" s="1">
        <v>113.2</v>
      </c>
      <c r="V45" s="1">
        <v>110.9</v>
      </c>
      <c r="W45" s="1">
        <v>113</v>
      </c>
      <c r="X45" s="1">
        <v>110.8</v>
      </c>
      <c r="Y45" s="1">
        <v>111.6</v>
      </c>
      <c r="Z45" s="1">
        <v>110.9</v>
      </c>
      <c r="AA45" s="1">
        <v>111.8</v>
      </c>
      <c r="AB45" s="1">
        <v>109.2</v>
      </c>
      <c r="AC45" s="1">
        <v>111.4</v>
      </c>
      <c r="AD45" s="1">
        <v>113.7</v>
      </c>
    </row>
    <row r="46" spans="1:30" x14ac:dyDescent="0.3">
      <c r="A46" s="1" t="s">
        <v>34</v>
      </c>
      <c r="B46" s="2">
        <v>2014</v>
      </c>
      <c r="C46" s="1" t="s">
        <v>36</v>
      </c>
      <c r="D46" s="1">
        <v>120.7</v>
      </c>
      <c r="E46" s="1">
        <v>119.3</v>
      </c>
      <c r="F46" s="1">
        <v>121</v>
      </c>
      <c r="G46" s="1">
        <v>116.1</v>
      </c>
      <c r="H46" s="1">
        <v>106.9</v>
      </c>
      <c r="I46" s="1">
        <v>118.7</v>
      </c>
      <c r="J46" s="1">
        <v>116.3</v>
      </c>
      <c r="K46" s="1">
        <v>109.8</v>
      </c>
      <c r="L46" s="1">
        <v>99.6</v>
      </c>
      <c r="M46" s="1">
        <v>111.8</v>
      </c>
      <c r="N46" s="1">
        <v>112.7</v>
      </c>
      <c r="O46" s="1">
        <v>119.3</v>
      </c>
      <c r="P46" s="1">
        <v>116.1</v>
      </c>
      <c r="Q46" s="1">
        <v>115.2</v>
      </c>
      <c r="R46" s="1">
        <v>116.8</v>
      </c>
      <c r="S46" s="1">
        <v>113.7</v>
      </c>
      <c r="T46" s="1">
        <v>116.4</v>
      </c>
      <c r="U46" s="1">
        <v>113.2</v>
      </c>
      <c r="V46" s="1">
        <v>112.5</v>
      </c>
      <c r="W46" s="1">
        <v>113.2</v>
      </c>
      <c r="X46" s="1">
        <v>111.2</v>
      </c>
      <c r="Y46" s="1">
        <v>111.4</v>
      </c>
      <c r="Z46" s="1">
        <v>110.6</v>
      </c>
      <c r="AA46" s="1">
        <v>112</v>
      </c>
      <c r="AB46" s="1">
        <v>109</v>
      </c>
      <c r="AC46" s="1">
        <v>111.3</v>
      </c>
      <c r="AD46" s="1">
        <v>114.2</v>
      </c>
    </row>
    <row r="47" spans="1:30" x14ac:dyDescent="0.3">
      <c r="A47" s="1" t="s">
        <v>30</v>
      </c>
      <c r="B47" s="2">
        <v>2014</v>
      </c>
      <c r="C47" s="1" t="s">
        <v>37</v>
      </c>
      <c r="D47" s="1">
        <v>120.2</v>
      </c>
      <c r="E47" s="1">
        <v>118.9</v>
      </c>
      <c r="F47" s="1">
        <v>118.1</v>
      </c>
      <c r="G47" s="1">
        <v>117</v>
      </c>
      <c r="H47" s="1">
        <v>109.7</v>
      </c>
      <c r="I47" s="1">
        <v>125.5</v>
      </c>
      <c r="J47" s="1">
        <v>120.5</v>
      </c>
      <c r="K47" s="1">
        <v>111</v>
      </c>
      <c r="L47" s="1">
        <v>102.6</v>
      </c>
      <c r="M47" s="1">
        <v>111.2</v>
      </c>
      <c r="N47" s="1">
        <v>113.5</v>
      </c>
      <c r="O47" s="1">
        <v>118.7</v>
      </c>
      <c r="P47" s="1">
        <v>117.2</v>
      </c>
      <c r="Q47" s="1">
        <v>115.4</v>
      </c>
      <c r="R47" s="1">
        <v>118.1</v>
      </c>
      <c r="S47" s="1">
        <v>116.1</v>
      </c>
      <c r="T47" s="1">
        <v>117.8</v>
      </c>
      <c r="U47" s="1">
        <f>U48</f>
        <v>113.9</v>
      </c>
      <c r="V47" s="1">
        <v>113.4</v>
      </c>
      <c r="W47" s="1">
        <v>113.7</v>
      </c>
      <c r="X47" s="1">
        <v>111.8</v>
      </c>
      <c r="Y47" s="1">
        <v>111.2</v>
      </c>
      <c r="Z47" s="1">
        <v>110.5</v>
      </c>
      <c r="AA47" s="1">
        <v>113</v>
      </c>
      <c r="AB47" s="1">
        <v>108.9</v>
      </c>
      <c r="AC47" s="1">
        <v>111.5</v>
      </c>
      <c r="AD47" s="1">
        <v>115.4</v>
      </c>
    </row>
    <row r="48" spans="1:30" x14ac:dyDescent="0.3">
      <c r="A48" s="1" t="s">
        <v>33</v>
      </c>
      <c r="B48" s="2">
        <v>2014</v>
      </c>
      <c r="C48" s="1" t="s">
        <v>37</v>
      </c>
      <c r="D48" s="1">
        <v>122.5</v>
      </c>
      <c r="E48" s="1">
        <v>121.7</v>
      </c>
      <c r="F48" s="1">
        <v>113.3</v>
      </c>
      <c r="G48" s="1">
        <v>117</v>
      </c>
      <c r="H48" s="1">
        <v>103.1</v>
      </c>
      <c r="I48" s="1">
        <v>126.7</v>
      </c>
      <c r="J48" s="1">
        <v>121.2</v>
      </c>
      <c r="K48" s="1">
        <v>111</v>
      </c>
      <c r="L48" s="1">
        <v>100.3</v>
      </c>
      <c r="M48" s="1">
        <v>115.3</v>
      </c>
      <c r="N48" s="1">
        <v>112.7</v>
      </c>
      <c r="O48" s="1">
        <v>121</v>
      </c>
      <c r="P48" s="1">
        <v>118.2</v>
      </c>
      <c r="Q48" s="1">
        <v>117.6</v>
      </c>
      <c r="R48" s="1">
        <v>116.3</v>
      </c>
      <c r="S48" s="1">
        <v>112.5</v>
      </c>
      <c r="T48" s="1">
        <v>115.7</v>
      </c>
      <c r="U48" s="1">
        <v>113.9</v>
      </c>
      <c r="V48" s="1">
        <v>110.9</v>
      </c>
      <c r="W48" s="1">
        <v>113.4</v>
      </c>
      <c r="X48" s="1">
        <v>111</v>
      </c>
      <c r="Y48" s="1">
        <v>111.2</v>
      </c>
      <c r="Z48" s="1">
        <v>111.2</v>
      </c>
      <c r="AA48" s="1">
        <v>112.5</v>
      </c>
      <c r="AB48" s="1">
        <v>109.1</v>
      </c>
      <c r="AC48" s="1">
        <v>111.4</v>
      </c>
      <c r="AD48" s="1">
        <v>114.7</v>
      </c>
    </row>
    <row r="49" spans="1:30" x14ac:dyDescent="0.3">
      <c r="A49" s="1" t="s">
        <v>34</v>
      </c>
      <c r="B49" s="2">
        <v>2014</v>
      </c>
      <c r="C49" s="1" t="s">
        <v>37</v>
      </c>
      <c r="D49" s="1">
        <v>120.9</v>
      </c>
      <c r="E49" s="1">
        <v>119.9</v>
      </c>
      <c r="F49" s="1">
        <v>116.2</v>
      </c>
      <c r="G49" s="1">
        <v>117</v>
      </c>
      <c r="H49" s="1">
        <v>107.3</v>
      </c>
      <c r="I49" s="1">
        <v>126.1</v>
      </c>
      <c r="J49" s="1">
        <v>120.7</v>
      </c>
      <c r="K49" s="1">
        <v>111</v>
      </c>
      <c r="L49" s="1">
        <v>101.8</v>
      </c>
      <c r="M49" s="1">
        <v>112.6</v>
      </c>
      <c r="N49" s="1">
        <v>113.2</v>
      </c>
      <c r="O49" s="1">
        <v>119.8</v>
      </c>
      <c r="P49" s="1">
        <v>117.6</v>
      </c>
      <c r="Q49" s="1">
        <v>116</v>
      </c>
      <c r="R49" s="1">
        <v>117.4</v>
      </c>
      <c r="S49" s="1">
        <v>114.6</v>
      </c>
      <c r="T49" s="1">
        <v>117</v>
      </c>
      <c r="U49" s="1">
        <v>113.9</v>
      </c>
      <c r="V49" s="1">
        <v>112.5</v>
      </c>
      <c r="W49" s="1">
        <v>113.6</v>
      </c>
      <c r="X49" s="1">
        <v>111.5</v>
      </c>
      <c r="Y49" s="1">
        <v>111.2</v>
      </c>
      <c r="Z49" s="1">
        <v>110.9</v>
      </c>
      <c r="AA49" s="1">
        <v>112.7</v>
      </c>
      <c r="AB49" s="1">
        <v>109</v>
      </c>
      <c r="AC49" s="1">
        <v>111.5</v>
      </c>
      <c r="AD49" s="1">
        <v>115.1</v>
      </c>
    </row>
    <row r="50" spans="1:30" x14ac:dyDescent="0.3">
      <c r="A50" s="1" t="s">
        <v>30</v>
      </c>
      <c r="B50" s="2">
        <v>2014</v>
      </c>
      <c r="C50" s="1" t="s">
        <v>38</v>
      </c>
      <c r="D50" s="1">
        <v>120.3</v>
      </c>
      <c r="E50" s="1">
        <v>120.2</v>
      </c>
      <c r="F50" s="1">
        <v>116.9</v>
      </c>
      <c r="G50" s="1">
        <v>118</v>
      </c>
      <c r="H50" s="1">
        <v>110.1</v>
      </c>
      <c r="I50" s="1">
        <v>126.3</v>
      </c>
      <c r="J50" s="1">
        <v>123.9</v>
      </c>
      <c r="K50" s="1">
        <v>111.5</v>
      </c>
      <c r="L50" s="1">
        <v>103.5</v>
      </c>
      <c r="M50" s="1">
        <v>111.6</v>
      </c>
      <c r="N50" s="1">
        <v>114.2</v>
      </c>
      <c r="O50" s="1">
        <v>119.2</v>
      </c>
      <c r="P50" s="1">
        <v>118.2</v>
      </c>
      <c r="Q50" s="1">
        <v>116.3</v>
      </c>
      <c r="R50" s="1">
        <v>118.7</v>
      </c>
      <c r="S50" s="1">
        <v>116.8</v>
      </c>
      <c r="T50" s="1">
        <v>118.5</v>
      </c>
      <c r="U50" s="1">
        <f>U51</f>
        <v>114.3</v>
      </c>
      <c r="V50" s="1">
        <v>113.4</v>
      </c>
      <c r="W50" s="1">
        <v>114.1</v>
      </c>
      <c r="X50" s="1">
        <v>112.1</v>
      </c>
      <c r="Y50" s="1">
        <v>111.4</v>
      </c>
      <c r="Z50" s="1">
        <v>110.9</v>
      </c>
      <c r="AA50" s="1">
        <v>113.1</v>
      </c>
      <c r="AB50" s="1">
        <v>108.9</v>
      </c>
      <c r="AC50" s="1">
        <v>111.8</v>
      </c>
      <c r="AD50" s="1">
        <v>116</v>
      </c>
    </row>
    <row r="51" spans="1:30" x14ac:dyDescent="0.3">
      <c r="A51" s="1" t="s">
        <v>33</v>
      </c>
      <c r="B51" s="2">
        <v>2014</v>
      </c>
      <c r="C51" s="1" t="s">
        <v>38</v>
      </c>
      <c r="D51" s="1">
        <v>122.7</v>
      </c>
      <c r="E51" s="1">
        <v>124.1</v>
      </c>
      <c r="F51" s="1">
        <v>114.2</v>
      </c>
      <c r="G51" s="1">
        <v>119.1</v>
      </c>
      <c r="H51" s="1">
        <v>103.5</v>
      </c>
      <c r="I51" s="1">
        <v>129.19999999999999</v>
      </c>
      <c r="J51" s="1">
        <v>127</v>
      </c>
      <c r="K51" s="1">
        <v>112.6</v>
      </c>
      <c r="L51" s="1">
        <v>101.3</v>
      </c>
      <c r="M51" s="1">
        <v>117</v>
      </c>
      <c r="N51" s="1">
        <v>112.9</v>
      </c>
      <c r="O51" s="1">
        <v>121.7</v>
      </c>
      <c r="P51" s="1">
        <v>120</v>
      </c>
      <c r="Q51" s="1">
        <v>118.3</v>
      </c>
      <c r="R51" s="1">
        <v>116.8</v>
      </c>
      <c r="S51" s="1">
        <v>112.9</v>
      </c>
      <c r="T51" s="1">
        <v>116.2</v>
      </c>
      <c r="U51" s="1">
        <v>114.3</v>
      </c>
      <c r="V51" s="1">
        <v>111.1</v>
      </c>
      <c r="W51" s="1">
        <v>114.1</v>
      </c>
      <c r="X51" s="1">
        <v>111.2</v>
      </c>
      <c r="Y51" s="1">
        <v>111.3</v>
      </c>
      <c r="Z51" s="1">
        <v>111.5</v>
      </c>
      <c r="AA51" s="1">
        <v>112.9</v>
      </c>
      <c r="AB51" s="1">
        <v>109.3</v>
      </c>
      <c r="AC51" s="1">
        <v>111.7</v>
      </c>
      <c r="AD51" s="1">
        <v>115.6</v>
      </c>
    </row>
    <row r="52" spans="1:30" x14ac:dyDescent="0.3">
      <c r="A52" s="1" t="s">
        <v>34</v>
      </c>
      <c r="B52" s="2">
        <v>2014</v>
      </c>
      <c r="C52" s="1" t="s">
        <v>38</v>
      </c>
      <c r="D52" s="1">
        <v>121.1</v>
      </c>
      <c r="E52" s="1">
        <v>121.6</v>
      </c>
      <c r="F52" s="1">
        <v>115.9</v>
      </c>
      <c r="G52" s="1">
        <v>118.4</v>
      </c>
      <c r="H52" s="1">
        <v>107.7</v>
      </c>
      <c r="I52" s="1">
        <v>127.7</v>
      </c>
      <c r="J52" s="1">
        <v>125</v>
      </c>
      <c r="K52" s="1">
        <v>111.9</v>
      </c>
      <c r="L52" s="1">
        <v>102.8</v>
      </c>
      <c r="M52" s="1">
        <v>113.4</v>
      </c>
      <c r="N52" s="1">
        <v>113.7</v>
      </c>
      <c r="O52" s="1">
        <v>120.4</v>
      </c>
      <c r="P52" s="1">
        <v>118.9</v>
      </c>
      <c r="Q52" s="1">
        <v>116.8</v>
      </c>
      <c r="R52" s="1">
        <v>118</v>
      </c>
      <c r="S52" s="1">
        <v>115.2</v>
      </c>
      <c r="T52" s="1">
        <v>117.6</v>
      </c>
      <c r="U52" s="1">
        <v>114.3</v>
      </c>
      <c r="V52" s="1">
        <v>112.5</v>
      </c>
      <c r="W52" s="1">
        <v>114.1</v>
      </c>
      <c r="X52" s="1">
        <v>111.8</v>
      </c>
      <c r="Y52" s="1">
        <v>111.3</v>
      </c>
      <c r="Z52" s="1">
        <v>111.2</v>
      </c>
      <c r="AA52" s="1">
        <v>113</v>
      </c>
      <c r="AB52" s="1">
        <v>109.1</v>
      </c>
      <c r="AC52" s="1">
        <v>111.8</v>
      </c>
      <c r="AD52" s="1">
        <v>115.8</v>
      </c>
    </row>
    <row r="53" spans="1:30" x14ac:dyDescent="0.3">
      <c r="A53" s="1" t="s">
        <v>30</v>
      </c>
      <c r="B53" s="2">
        <v>2014</v>
      </c>
      <c r="C53" s="1" t="s">
        <v>39</v>
      </c>
      <c r="D53" s="1">
        <v>120.7</v>
      </c>
      <c r="E53" s="1">
        <v>121.6</v>
      </c>
      <c r="F53" s="1">
        <v>116.1</v>
      </c>
      <c r="G53" s="1">
        <v>119.3</v>
      </c>
      <c r="H53" s="1">
        <v>110.3</v>
      </c>
      <c r="I53" s="1">
        <v>125.8</v>
      </c>
      <c r="J53" s="1">
        <v>129.30000000000001</v>
      </c>
      <c r="K53" s="1">
        <v>112.2</v>
      </c>
      <c r="L53" s="1">
        <v>103.6</v>
      </c>
      <c r="M53" s="1">
        <v>112.3</v>
      </c>
      <c r="N53" s="1">
        <v>114.9</v>
      </c>
      <c r="O53" s="1">
        <v>120.1</v>
      </c>
      <c r="P53" s="1">
        <v>119.5</v>
      </c>
      <c r="Q53" s="1">
        <v>117.3</v>
      </c>
      <c r="R53" s="1">
        <v>119.7</v>
      </c>
      <c r="S53" s="1">
        <v>117.3</v>
      </c>
      <c r="T53" s="1">
        <v>119.3</v>
      </c>
      <c r="U53" s="1">
        <f>U54</f>
        <v>113.9</v>
      </c>
      <c r="V53" s="1">
        <v>114.4</v>
      </c>
      <c r="W53" s="1">
        <v>114.9</v>
      </c>
      <c r="X53" s="1">
        <v>112.8</v>
      </c>
      <c r="Y53" s="1">
        <v>112.2</v>
      </c>
      <c r="Z53" s="1">
        <v>111.4</v>
      </c>
      <c r="AA53" s="1">
        <v>114.3</v>
      </c>
      <c r="AB53" s="1">
        <v>108</v>
      </c>
      <c r="AC53" s="1">
        <v>112.3</v>
      </c>
      <c r="AD53" s="1">
        <v>117</v>
      </c>
    </row>
    <row r="54" spans="1:30" x14ac:dyDescent="0.3">
      <c r="A54" s="1" t="s">
        <v>33</v>
      </c>
      <c r="B54" s="2">
        <v>2014</v>
      </c>
      <c r="C54" s="1" t="s">
        <v>39</v>
      </c>
      <c r="D54" s="1">
        <v>123.1</v>
      </c>
      <c r="E54" s="1">
        <v>125.9</v>
      </c>
      <c r="F54" s="1">
        <v>115.4</v>
      </c>
      <c r="G54" s="1">
        <v>120.4</v>
      </c>
      <c r="H54" s="1">
        <v>103.4</v>
      </c>
      <c r="I54" s="1">
        <v>131.19999999999999</v>
      </c>
      <c r="J54" s="1">
        <v>137.5</v>
      </c>
      <c r="K54" s="1">
        <v>112.8</v>
      </c>
      <c r="L54" s="1">
        <v>101.4</v>
      </c>
      <c r="M54" s="1">
        <v>118.3</v>
      </c>
      <c r="N54" s="1">
        <v>113.2</v>
      </c>
      <c r="O54" s="1">
        <v>122.4</v>
      </c>
      <c r="P54" s="1">
        <v>122</v>
      </c>
      <c r="Q54" s="1">
        <v>119</v>
      </c>
      <c r="R54" s="1">
        <v>117.4</v>
      </c>
      <c r="S54" s="1">
        <v>113.2</v>
      </c>
      <c r="T54" s="1">
        <v>116.7</v>
      </c>
      <c r="U54" s="1">
        <v>113.9</v>
      </c>
      <c r="V54" s="1">
        <v>111.2</v>
      </c>
      <c r="W54" s="1">
        <v>114.3</v>
      </c>
      <c r="X54" s="1">
        <v>111.4</v>
      </c>
      <c r="Y54" s="1">
        <v>111.5</v>
      </c>
      <c r="Z54" s="1">
        <v>111.8</v>
      </c>
      <c r="AA54" s="1">
        <v>115.1</v>
      </c>
      <c r="AB54" s="1">
        <v>108.7</v>
      </c>
      <c r="AC54" s="1">
        <v>112.2</v>
      </c>
      <c r="AD54" s="1">
        <v>116.4</v>
      </c>
    </row>
    <row r="55" spans="1:30" x14ac:dyDescent="0.3">
      <c r="A55" s="1" t="s">
        <v>34</v>
      </c>
      <c r="B55" s="2">
        <v>2014</v>
      </c>
      <c r="C55" s="1" t="s">
        <v>39</v>
      </c>
      <c r="D55" s="1">
        <v>121.5</v>
      </c>
      <c r="E55" s="1">
        <v>123.1</v>
      </c>
      <c r="F55" s="1">
        <v>115.8</v>
      </c>
      <c r="G55" s="1">
        <v>119.7</v>
      </c>
      <c r="H55" s="1">
        <v>107.8</v>
      </c>
      <c r="I55" s="1">
        <v>128.30000000000001</v>
      </c>
      <c r="J55" s="1">
        <v>132.1</v>
      </c>
      <c r="K55" s="1">
        <v>112.4</v>
      </c>
      <c r="L55" s="1">
        <v>102.9</v>
      </c>
      <c r="M55" s="1">
        <v>114.3</v>
      </c>
      <c r="N55" s="1">
        <v>114.2</v>
      </c>
      <c r="O55" s="1">
        <v>121.2</v>
      </c>
      <c r="P55" s="1">
        <v>120.4</v>
      </c>
      <c r="Q55" s="1">
        <v>117.8</v>
      </c>
      <c r="R55" s="1">
        <v>118.8</v>
      </c>
      <c r="S55" s="1">
        <v>115.6</v>
      </c>
      <c r="T55" s="1">
        <v>118.3</v>
      </c>
      <c r="U55" s="1">
        <v>113.9</v>
      </c>
      <c r="V55" s="1">
        <v>113.2</v>
      </c>
      <c r="W55" s="1">
        <v>114.6</v>
      </c>
      <c r="X55" s="1">
        <v>112.3</v>
      </c>
      <c r="Y55" s="1">
        <v>111.8</v>
      </c>
      <c r="Z55" s="1">
        <v>111.6</v>
      </c>
      <c r="AA55" s="1">
        <v>114.8</v>
      </c>
      <c r="AB55" s="1">
        <v>108.3</v>
      </c>
      <c r="AC55" s="1">
        <v>112.3</v>
      </c>
      <c r="AD55" s="1">
        <v>116.7</v>
      </c>
    </row>
    <row r="56" spans="1:30" x14ac:dyDescent="0.3">
      <c r="A56" s="1" t="s">
        <v>30</v>
      </c>
      <c r="B56" s="2">
        <v>2014</v>
      </c>
      <c r="C56" s="1" t="s">
        <v>40</v>
      </c>
      <c r="D56" s="1">
        <v>121.7</v>
      </c>
      <c r="E56" s="1">
        <v>122.5</v>
      </c>
      <c r="F56" s="1">
        <v>117.7</v>
      </c>
      <c r="G56" s="1">
        <v>120.6</v>
      </c>
      <c r="H56" s="1">
        <v>110.4</v>
      </c>
      <c r="I56" s="1">
        <v>129.1</v>
      </c>
      <c r="J56" s="1">
        <v>150.1</v>
      </c>
      <c r="K56" s="1">
        <v>113.2</v>
      </c>
      <c r="L56" s="1">
        <v>104.8</v>
      </c>
      <c r="M56" s="1">
        <v>113.3</v>
      </c>
      <c r="N56" s="1">
        <v>115.6</v>
      </c>
      <c r="O56" s="1">
        <v>120.9</v>
      </c>
      <c r="P56" s="1">
        <v>123.3</v>
      </c>
      <c r="Q56" s="1">
        <v>118</v>
      </c>
      <c r="R56" s="1">
        <v>120.7</v>
      </c>
      <c r="S56" s="1">
        <v>118.3</v>
      </c>
      <c r="T56" s="1">
        <v>120.3</v>
      </c>
      <c r="U56" s="1">
        <f>U57</f>
        <v>114.8</v>
      </c>
      <c r="V56" s="1">
        <v>115.3</v>
      </c>
      <c r="W56" s="1">
        <v>115.4</v>
      </c>
      <c r="X56" s="1">
        <v>113.4</v>
      </c>
      <c r="Y56" s="1">
        <v>113.2</v>
      </c>
      <c r="Z56" s="1">
        <v>111.8</v>
      </c>
      <c r="AA56" s="1">
        <v>115.5</v>
      </c>
      <c r="AB56" s="1">
        <v>108.8</v>
      </c>
      <c r="AC56" s="1">
        <v>113.1</v>
      </c>
      <c r="AD56" s="1">
        <v>119.5</v>
      </c>
    </row>
    <row r="57" spans="1:30" x14ac:dyDescent="0.3">
      <c r="A57" s="1" t="s">
        <v>33</v>
      </c>
      <c r="B57" s="2">
        <v>2014</v>
      </c>
      <c r="C57" s="1" t="s">
        <v>40</v>
      </c>
      <c r="D57" s="1">
        <v>123.8</v>
      </c>
      <c r="E57" s="1">
        <v>126.4</v>
      </c>
      <c r="F57" s="1">
        <v>118</v>
      </c>
      <c r="G57" s="1">
        <v>121.6</v>
      </c>
      <c r="H57" s="1">
        <v>103.5</v>
      </c>
      <c r="I57" s="1">
        <v>133.69999999999999</v>
      </c>
      <c r="J57" s="1">
        <v>172.4</v>
      </c>
      <c r="K57" s="1">
        <v>113.1</v>
      </c>
      <c r="L57" s="1">
        <v>102.7</v>
      </c>
      <c r="M57" s="1">
        <v>120</v>
      </c>
      <c r="N57" s="1">
        <v>113.8</v>
      </c>
      <c r="O57" s="1">
        <v>123.4</v>
      </c>
      <c r="P57" s="1">
        <v>127.1</v>
      </c>
      <c r="Q57" s="1">
        <v>121</v>
      </c>
      <c r="R57" s="1">
        <v>118</v>
      </c>
      <c r="S57" s="1">
        <v>113.6</v>
      </c>
      <c r="T57" s="1">
        <v>117.4</v>
      </c>
      <c r="U57" s="1">
        <v>114.8</v>
      </c>
      <c r="V57" s="1">
        <v>111.6</v>
      </c>
      <c r="W57" s="1">
        <v>114.9</v>
      </c>
      <c r="X57" s="1">
        <v>111.5</v>
      </c>
      <c r="Y57" s="1">
        <v>113</v>
      </c>
      <c r="Z57" s="1">
        <v>112.4</v>
      </c>
      <c r="AA57" s="1">
        <v>117.8</v>
      </c>
      <c r="AB57" s="1">
        <v>109.7</v>
      </c>
      <c r="AC57" s="1">
        <v>113.5</v>
      </c>
      <c r="AD57" s="1">
        <v>118.9</v>
      </c>
    </row>
    <row r="58" spans="1:30" x14ac:dyDescent="0.3">
      <c r="A58" s="1" t="s">
        <v>34</v>
      </c>
      <c r="B58" s="2">
        <v>2014</v>
      </c>
      <c r="C58" s="1" t="s">
        <v>40</v>
      </c>
      <c r="D58" s="1">
        <v>122.4</v>
      </c>
      <c r="E58" s="1">
        <v>123.9</v>
      </c>
      <c r="F58" s="1">
        <v>117.8</v>
      </c>
      <c r="G58" s="1">
        <v>121</v>
      </c>
      <c r="H58" s="1">
        <v>107.9</v>
      </c>
      <c r="I58" s="1">
        <v>131.19999999999999</v>
      </c>
      <c r="J58" s="1">
        <v>157.69999999999999</v>
      </c>
      <c r="K58" s="1">
        <v>113.2</v>
      </c>
      <c r="L58" s="1">
        <v>104.1</v>
      </c>
      <c r="M58" s="1">
        <v>115.5</v>
      </c>
      <c r="N58" s="1">
        <v>114.8</v>
      </c>
      <c r="O58" s="1">
        <v>122.1</v>
      </c>
      <c r="P58" s="1">
        <v>124.7</v>
      </c>
      <c r="Q58" s="1">
        <v>118.8</v>
      </c>
      <c r="R58" s="1">
        <v>119.6</v>
      </c>
      <c r="S58" s="1">
        <v>116.3</v>
      </c>
      <c r="T58" s="1">
        <v>119.1</v>
      </c>
      <c r="U58" s="1">
        <v>114.8</v>
      </c>
      <c r="V58" s="1">
        <v>113.9</v>
      </c>
      <c r="W58" s="1">
        <v>115.2</v>
      </c>
      <c r="X58" s="1">
        <v>112.7</v>
      </c>
      <c r="Y58" s="1">
        <v>113.1</v>
      </c>
      <c r="Z58" s="1">
        <v>112.1</v>
      </c>
      <c r="AA58" s="1">
        <v>116.8</v>
      </c>
      <c r="AB58" s="1">
        <v>109.2</v>
      </c>
      <c r="AC58" s="1">
        <v>113.3</v>
      </c>
      <c r="AD58" s="1">
        <v>119.2</v>
      </c>
    </row>
    <row r="59" spans="1:30" x14ac:dyDescent="0.3">
      <c r="A59" s="1" t="s">
        <v>30</v>
      </c>
      <c r="B59" s="2">
        <v>2014</v>
      </c>
      <c r="C59" s="1" t="s">
        <v>41</v>
      </c>
      <c r="D59" s="1">
        <v>121.8</v>
      </c>
      <c r="E59" s="1">
        <v>122.8</v>
      </c>
      <c r="F59" s="1">
        <v>117.8</v>
      </c>
      <c r="G59" s="1">
        <v>121.9</v>
      </c>
      <c r="H59" s="1">
        <v>110.6</v>
      </c>
      <c r="I59" s="1">
        <v>129.69999999999999</v>
      </c>
      <c r="J59" s="1">
        <v>161.1</v>
      </c>
      <c r="K59" s="1">
        <v>114.1</v>
      </c>
      <c r="L59" s="1">
        <v>105.1</v>
      </c>
      <c r="M59" s="1">
        <v>114.6</v>
      </c>
      <c r="N59" s="1">
        <v>115.8</v>
      </c>
      <c r="O59" s="1">
        <v>121.7</v>
      </c>
      <c r="P59" s="1">
        <v>125.3</v>
      </c>
      <c r="Q59" s="1">
        <v>118.8</v>
      </c>
      <c r="R59" s="1">
        <v>120.9</v>
      </c>
      <c r="S59" s="1">
        <v>118.8</v>
      </c>
      <c r="T59" s="1">
        <v>120.7</v>
      </c>
      <c r="U59" s="1">
        <f>U60</f>
        <v>115.5</v>
      </c>
      <c r="V59" s="1">
        <v>115.4</v>
      </c>
      <c r="W59" s="1">
        <v>115.9</v>
      </c>
      <c r="X59" s="1">
        <v>114</v>
      </c>
      <c r="Y59" s="1">
        <v>113.2</v>
      </c>
      <c r="Z59" s="1">
        <v>112.2</v>
      </c>
      <c r="AA59" s="1">
        <v>116.2</v>
      </c>
      <c r="AB59" s="1">
        <v>109.4</v>
      </c>
      <c r="AC59" s="1">
        <v>113.5</v>
      </c>
      <c r="AD59" s="1">
        <v>120.7</v>
      </c>
    </row>
    <row r="60" spans="1:30" x14ac:dyDescent="0.3">
      <c r="A60" s="1" t="s">
        <v>33</v>
      </c>
      <c r="B60" s="2">
        <v>2014</v>
      </c>
      <c r="C60" s="1" t="s">
        <v>41</v>
      </c>
      <c r="D60" s="1">
        <v>124.8</v>
      </c>
      <c r="E60" s="1">
        <v>127.3</v>
      </c>
      <c r="F60" s="1">
        <v>116.5</v>
      </c>
      <c r="G60" s="1">
        <v>122.2</v>
      </c>
      <c r="H60" s="1">
        <v>103.6</v>
      </c>
      <c r="I60" s="1">
        <v>132.69999999999999</v>
      </c>
      <c r="J60" s="1">
        <v>181.9</v>
      </c>
      <c r="K60" s="1">
        <v>115.2</v>
      </c>
      <c r="L60" s="1">
        <v>102.7</v>
      </c>
      <c r="M60" s="1">
        <v>122.1</v>
      </c>
      <c r="N60" s="1">
        <v>114.4</v>
      </c>
      <c r="O60" s="1">
        <v>124.7</v>
      </c>
      <c r="P60" s="1">
        <v>128.9</v>
      </c>
      <c r="Q60" s="1">
        <v>123</v>
      </c>
      <c r="R60" s="1">
        <v>118.6</v>
      </c>
      <c r="S60" s="1">
        <v>114.1</v>
      </c>
      <c r="T60" s="1">
        <v>117.9</v>
      </c>
      <c r="U60" s="1">
        <v>115.5</v>
      </c>
      <c r="V60" s="1">
        <v>111.8</v>
      </c>
      <c r="W60" s="1">
        <v>115.3</v>
      </c>
      <c r="X60" s="1">
        <v>112.2</v>
      </c>
      <c r="Y60" s="1">
        <v>112.5</v>
      </c>
      <c r="Z60" s="1">
        <v>112.9</v>
      </c>
      <c r="AA60" s="1">
        <v>119.2</v>
      </c>
      <c r="AB60" s="1">
        <v>110.5</v>
      </c>
      <c r="AC60" s="1">
        <v>113.9</v>
      </c>
      <c r="AD60" s="1">
        <v>119.9</v>
      </c>
    </row>
    <row r="61" spans="1:30" x14ac:dyDescent="0.3">
      <c r="A61" s="1" t="s">
        <v>34</v>
      </c>
      <c r="B61" s="2">
        <v>2014</v>
      </c>
      <c r="C61" s="1" t="s">
        <v>41</v>
      </c>
      <c r="D61" s="1">
        <v>122.7</v>
      </c>
      <c r="E61" s="1">
        <v>124.4</v>
      </c>
      <c r="F61" s="1">
        <v>117.3</v>
      </c>
      <c r="G61" s="1">
        <v>122</v>
      </c>
      <c r="H61" s="1">
        <v>108</v>
      </c>
      <c r="I61" s="1">
        <v>131.1</v>
      </c>
      <c r="J61" s="1">
        <v>168.2</v>
      </c>
      <c r="K61" s="1">
        <v>114.5</v>
      </c>
      <c r="L61" s="1">
        <v>104.3</v>
      </c>
      <c r="M61" s="1">
        <v>117.1</v>
      </c>
      <c r="N61" s="1">
        <v>115.2</v>
      </c>
      <c r="O61" s="1">
        <v>123.1</v>
      </c>
      <c r="P61" s="1">
        <v>126.6</v>
      </c>
      <c r="Q61" s="1">
        <v>119.9</v>
      </c>
      <c r="R61" s="1">
        <v>120</v>
      </c>
      <c r="S61" s="1">
        <v>116.8</v>
      </c>
      <c r="T61" s="1">
        <v>119.6</v>
      </c>
      <c r="U61" s="1">
        <v>115.5</v>
      </c>
      <c r="V61" s="1">
        <v>114</v>
      </c>
      <c r="W61" s="1">
        <v>115.6</v>
      </c>
      <c r="X61" s="1">
        <v>113.3</v>
      </c>
      <c r="Y61" s="1">
        <v>112.8</v>
      </c>
      <c r="Z61" s="1">
        <v>112.6</v>
      </c>
      <c r="AA61" s="1">
        <v>118</v>
      </c>
      <c r="AB61" s="1">
        <v>109.9</v>
      </c>
      <c r="AC61" s="1">
        <v>113.7</v>
      </c>
      <c r="AD61" s="1">
        <v>120.3</v>
      </c>
    </row>
    <row r="62" spans="1:30" x14ac:dyDescent="0.3">
      <c r="A62" s="1" t="s">
        <v>30</v>
      </c>
      <c r="B62" s="2">
        <v>2014</v>
      </c>
      <c r="C62" s="1" t="s">
        <v>42</v>
      </c>
      <c r="D62" s="1">
        <v>122.3</v>
      </c>
      <c r="E62" s="1">
        <v>122.4</v>
      </c>
      <c r="F62" s="1">
        <v>117.8</v>
      </c>
      <c r="G62" s="1">
        <v>122.7</v>
      </c>
      <c r="H62" s="1">
        <v>110.4</v>
      </c>
      <c r="I62" s="1">
        <v>129.80000000000001</v>
      </c>
      <c r="J62" s="1">
        <v>158.80000000000001</v>
      </c>
      <c r="K62" s="1">
        <v>115</v>
      </c>
      <c r="L62" s="1">
        <v>104.7</v>
      </c>
      <c r="M62" s="1">
        <v>114.9</v>
      </c>
      <c r="N62" s="1">
        <v>116.5</v>
      </c>
      <c r="O62" s="1">
        <v>122.6</v>
      </c>
      <c r="P62" s="1">
        <v>125.3</v>
      </c>
      <c r="Q62" s="1">
        <v>119.5</v>
      </c>
      <c r="R62" s="1">
        <v>121.7</v>
      </c>
      <c r="S62" s="1">
        <v>119.2</v>
      </c>
      <c r="T62" s="1">
        <v>121.3</v>
      </c>
      <c r="U62" s="1">
        <f>U63</f>
        <v>116.1</v>
      </c>
      <c r="V62" s="1">
        <v>115.8</v>
      </c>
      <c r="W62" s="1">
        <v>116.7</v>
      </c>
      <c r="X62" s="1">
        <v>114.5</v>
      </c>
      <c r="Y62" s="1">
        <v>112.8</v>
      </c>
      <c r="Z62" s="1">
        <v>112.6</v>
      </c>
      <c r="AA62" s="1">
        <v>116.6</v>
      </c>
      <c r="AB62" s="1">
        <v>109.1</v>
      </c>
      <c r="AC62" s="1">
        <v>113.7</v>
      </c>
      <c r="AD62" s="1">
        <v>120.9</v>
      </c>
    </row>
    <row r="63" spans="1:30" x14ac:dyDescent="0.3">
      <c r="A63" s="1" t="s">
        <v>33</v>
      </c>
      <c r="B63" s="2">
        <v>2014</v>
      </c>
      <c r="C63" s="1" t="s">
        <v>42</v>
      </c>
      <c r="D63" s="1">
        <v>124.2</v>
      </c>
      <c r="E63" s="1">
        <v>125.4</v>
      </c>
      <c r="F63" s="1">
        <v>116.4</v>
      </c>
      <c r="G63" s="1">
        <v>122.7</v>
      </c>
      <c r="H63" s="1">
        <v>103.5</v>
      </c>
      <c r="I63" s="1">
        <v>124.5</v>
      </c>
      <c r="J63" s="1">
        <v>168.6</v>
      </c>
      <c r="K63" s="1">
        <v>116.9</v>
      </c>
      <c r="L63" s="1">
        <v>101.9</v>
      </c>
      <c r="M63" s="1">
        <v>122.9</v>
      </c>
      <c r="N63" s="1">
        <v>114.8</v>
      </c>
      <c r="O63" s="1">
        <v>125.2</v>
      </c>
      <c r="P63" s="1">
        <v>126.7</v>
      </c>
      <c r="Q63" s="1">
        <v>124.3</v>
      </c>
      <c r="R63" s="1">
        <v>119.2</v>
      </c>
      <c r="S63" s="1">
        <v>114.5</v>
      </c>
      <c r="T63" s="1">
        <v>118.4</v>
      </c>
      <c r="U63" s="1">
        <v>116.1</v>
      </c>
      <c r="V63" s="1">
        <v>111.8</v>
      </c>
      <c r="W63" s="1">
        <v>115.5</v>
      </c>
      <c r="X63" s="1">
        <v>112.3</v>
      </c>
      <c r="Y63" s="1">
        <v>111.2</v>
      </c>
      <c r="Z63" s="1">
        <v>113.4</v>
      </c>
      <c r="AA63" s="1">
        <v>120</v>
      </c>
      <c r="AB63" s="1">
        <v>110</v>
      </c>
      <c r="AC63" s="1">
        <v>113.6</v>
      </c>
      <c r="AD63" s="1">
        <v>119.2</v>
      </c>
    </row>
    <row r="64" spans="1:30" x14ac:dyDescent="0.3">
      <c r="A64" s="1" t="s">
        <v>34</v>
      </c>
      <c r="B64" s="2">
        <v>2014</v>
      </c>
      <c r="C64" s="1" t="s">
        <v>42</v>
      </c>
      <c r="D64" s="1">
        <v>122.9</v>
      </c>
      <c r="E64" s="1">
        <v>123.5</v>
      </c>
      <c r="F64" s="1">
        <v>117.3</v>
      </c>
      <c r="G64" s="1">
        <v>122.7</v>
      </c>
      <c r="H64" s="1">
        <v>107.9</v>
      </c>
      <c r="I64" s="1">
        <v>127.3</v>
      </c>
      <c r="J64" s="1">
        <v>162.1</v>
      </c>
      <c r="K64" s="1">
        <v>115.6</v>
      </c>
      <c r="L64" s="1">
        <v>103.8</v>
      </c>
      <c r="M64" s="1">
        <v>117.6</v>
      </c>
      <c r="N64" s="1">
        <v>115.8</v>
      </c>
      <c r="O64" s="1">
        <v>123.8</v>
      </c>
      <c r="P64" s="1">
        <v>125.8</v>
      </c>
      <c r="Q64" s="1">
        <v>120.8</v>
      </c>
      <c r="R64" s="1">
        <v>120.7</v>
      </c>
      <c r="S64" s="1">
        <v>117.2</v>
      </c>
      <c r="T64" s="1">
        <v>120.1</v>
      </c>
      <c r="U64" s="1">
        <v>116.1</v>
      </c>
      <c r="V64" s="1">
        <v>114.3</v>
      </c>
      <c r="W64" s="1">
        <v>116.1</v>
      </c>
      <c r="X64" s="1">
        <v>113.7</v>
      </c>
      <c r="Y64" s="1">
        <v>112</v>
      </c>
      <c r="Z64" s="1">
        <v>113.1</v>
      </c>
      <c r="AA64" s="1">
        <v>118.6</v>
      </c>
      <c r="AB64" s="1">
        <v>109.5</v>
      </c>
      <c r="AC64" s="1">
        <v>113.7</v>
      </c>
      <c r="AD64" s="1">
        <v>120.1</v>
      </c>
    </row>
    <row r="65" spans="1:30" x14ac:dyDescent="0.3">
      <c r="A65" s="1" t="s">
        <v>30</v>
      </c>
      <c r="B65" s="2">
        <v>2014</v>
      </c>
      <c r="C65" s="1" t="s">
        <v>43</v>
      </c>
      <c r="D65" s="1">
        <v>122.6</v>
      </c>
      <c r="E65" s="1">
        <v>122.5</v>
      </c>
      <c r="F65" s="1">
        <v>118.3</v>
      </c>
      <c r="G65" s="1">
        <v>123.2</v>
      </c>
      <c r="H65" s="1">
        <v>110.5</v>
      </c>
      <c r="I65" s="1">
        <v>128.9</v>
      </c>
      <c r="J65" s="1">
        <v>155.30000000000001</v>
      </c>
      <c r="K65" s="1">
        <v>115.5</v>
      </c>
      <c r="L65" s="1">
        <v>104</v>
      </c>
      <c r="M65" s="1">
        <v>115.3</v>
      </c>
      <c r="N65" s="1">
        <v>116.8</v>
      </c>
      <c r="O65" s="1">
        <v>123.2</v>
      </c>
      <c r="P65" s="1">
        <v>125.1</v>
      </c>
      <c r="Q65" s="1">
        <v>120</v>
      </c>
      <c r="R65" s="1">
        <v>122.7</v>
      </c>
      <c r="S65" s="1">
        <v>120.3</v>
      </c>
      <c r="T65" s="1">
        <v>122.3</v>
      </c>
      <c r="U65" s="1">
        <f>U66</f>
        <v>116.7</v>
      </c>
      <c r="V65" s="1">
        <v>116.4</v>
      </c>
      <c r="W65" s="1">
        <v>117.5</v>
      </c>
      <c r="X65" s="1">
        <v>115.3</v>
      </c>
      <c r="Y65" s="1">
        <v>112.6</v>
      </c>
      <c r="Z65" s="1">
        <v>113</v>
      </c>
      <c r="AA65" s="1">
        <v>116.9</v>
      </c>
      <c r="AB65" s="1">
        <v>109.3</v>
      </c>
      <c r="AC65" s="1">
        <v>114</v>
      </c>
      <c r="AD65" s="1">
        <v>121</v>
      </c>
    </row>
    <row r="66" spans="1:30" x14ac:dyDescent="0.3">
      <c r="A66" s="1" t="s">
        <v>33</v>
      </c>
      <c r="B66" s="2">
        <v>2014</v>
      </c>
      <c r="C66" s="1" t="s">
        <v>43</v>
      </c>
      <c r="D66" s="1">
        <v>124.6</v>
      </c>
      <c r="E66" s="1">
        <v>126.1</v>
      </c>
      <c r="F66" s="1">
        <v>117.8</v>
      </c>
      <c r="G66" s="1">
        <v>123.1</v>
      </c>
      <c r="H66" s="1">
        <v>103.5</v>
      </c>
      <c r="I66" s="1">
        <v>123.5</v>
      </c>
      <c r="J66" s="1">
        <v>159.6</v>
      </c>
      <c r="K66" s="1">
        <v>117.4</v>
      </c>
      <c r="L66" s="1">
        <v>101.2</v>
      </c>
      <c r="M66" s="1">
        <v>123.8</v>
      </c>
      <c r="N66" s="1">
        <v>115.2</v>
      </c>
      <c r="O66" s="1">
        <v>125.9</v>
      </c>
      <c r="P66" s="1">
        <v>125.8</v>
      </c>
      <c r="Q66" s="1">
        <v>124.3</v>
      </c>
      <c r="R66" s="1">
        <v>119.6</v>
      </c>
      <c r="S66" s="1">
        <v>114.9</v>
      </c>
      <c r="T66" s="1">
        <v>118.9</v>
      </c>
      <c r="U66" s="1">
        <v>116.7</v>
      </c>
      <c r="V66" s="1">
        <v>112</v>
      </c>
      <c r="W66" s="1">
        <v>115.8</v>
      </c>
      <c r="X66" s="1">
        <v>112.6</v>
      </c>
      <c r="Y66" s="1">
        <v>111</v>
      </c>
      <c r="Z66" s="1">
        <v>113.6</v>
      </c>
      <c r="AA66" s="1">
        <v>120.2</v>
      </c>
      <c r="AB66" s="1">
        <v>110.1</v>
      </c>
      <c r="AC66" s="1">
        <v>113.7</v>
      </c>
      <c r="AD66" s="1">
        <v>119.1</v>
      </c>
    </row>
    <row r="67" spans="1:30" x14ac:dyDescent="0.3">
      <c r="A67" s="1" t="s">
        <v>34</v>
      </c>
      <c r="B67" s="2">
        <v>2014</v>
      </c>
      <c r="C67" s="1" t="s">
        <v>43</v>
      </c>
      <c r="D67" s="1">
        <v>123.2</v>
      </c>
      <c r="E67" s="1">
        <v>123.8</v>
      </c>
      <c r="F67" s="1">
        <v>118.1</v>
      </c>
      <c r="G67" s="1">
        <v>123.2</v>
      </c>
      <c r="H67" s="1">
        <v>107.9</v>
      </c>
      <c r="I67" s="1">
        <v>126.4</v>
      </c>
      <c r="J67" s="1">
        <v>156.80000000000001</v>
      </c>
      <c r="K67" s="1">
        <v>116.1</v>
      </c>
      <c r="L67" s="1">
        <v>103.1</v>
      </c>
      <c r="M67" s="1">
        <v>118.1</v>
      </c>
      <c r="N67" s="1">
        <v>116.1</v>
      </c>
      <c r="O67" s="1">
        <v>124.5</v>
      </c>
      <c r="P67" s="1">
        <v>125.4</v>
      </c>
      <c r="Q67" s="1">
        <v>121.1</v>
      </c>
      <c r="R67" s="1">
        <v>121.5</v>
      </c>
      <c r="S67" s="1">
        <v>118.1</v>
      </c>
      <c r="T67" s="1">
        <v>121</v>
      </c>
      <c r="U67" s="1">
        <v>116.7</v>
      </c>
      <c r="V67" s="1">
        <v>114.7</v>
      </c>
      <c r="W67" s="1">
        <v>116.7</v>
      </c>
      <c r="X67" s="1">
        <v>114.3</v>
      </c>
      <c r="Y67" s="1">
        <v>111.8</v>
      </c>
      <c r="Z67" s="1">
        <v>113.3</v>
      </c>
      <c r="AA67" s="1">
        <v>118.8</v>
      </c>
      <c r="AB67" s="1">
        <v>109.6</v>
      </c>
      <c r="AC67" s="1">
        <v>113.9</v>
      </c>
      <c r="AD67" s="1">
        <v>120.1</v>
      </c>
    </row>
    <row r="68" spans="1:30" x14ac:dyDescent="0.3">
      <c r="A68" s="1" t="s">
        <v>30</v>
      </c>
      <c r="B68" s="2">
        <v>2014</v>
      </c>
      <c r="C68" s="1" t="s">
        <v>45</v>
      </c>
      <c r="D68" s="1">
        <v>122.7</v>
      </c>
      <c r="E68" s="1">
        <v>122.6</v>
      </c>
      <c r="F68" s="1">
        <v>119.9</v>
      </c>
      <c r="G68" s="1">
        <v>124</v>
      </c>
      <c r="H68" s="1">
        <v>110.5</v>
      </c>
      <c r="I68" s="1">
        <v>128.80000000000001</v>
      </c>
      <c r="J68" s="1">
        <v>152</v>
      </c>
      <c r="K68" s="1">
        <v>116.2</v>
      </c>
      <c r="L68" s="1">
        <v>103.3</v>
      </c>
      <c r="M68" s="1">
        <v>115.8</v>
      </c>
      <c r="N68" s="1">
        <v>116.8</v>
      </c>
      <c r="O68" s="1">
        <v>124.5</v>
      </c>
      <c r="P68" s="1">
        <v>124.9</v>
      </c>
      <c r="Q68" s="1">
        <v>120.8</v>
      </c>
      <c r="R68" s="1">
        <v>123.3</v>
      </c>
      <c r="S68" s="1">
        <v>120.5</v>
      </c>
      <c r="T68" s="1">
        <v>122.9</v>
      </c>
      <c r="U68" s="1">
        <f>U69</f>
        <v>117.1</v>
      </c>
      <c r="V68" s="1">
        <v>117.3</v>
      </c>
      <c r="W68" s="1">
        <v>118.1</v>
      </c>
      <c r="X68" s="1">
        <v>115.9</v>
      </c>
      <c r="Y68" s="1">
        <v>112</v>
      </c>
      <c r="Z68" s="1">
        <v>113.3</v>
      </c>
      <c r="AA68" s="1">
        <v>117.2</v>
      </c>
      <c r="AB68" s="1">
        <v>108.8</v>
      </c>
      <c r="AC68" s="1">
        <v>114.1</v>
      </c>
      <c r="AD68" s="1">
        <v>121.1</v>
      </c>
    </row>
    <row r="69" spans="1:30" x14ac:dyDescent="0.3">
      <c r="A69" s="1" t="s">
        <v>33</v>
      </c>
      <c r="B69" s="2">
        <v>2014</v>
      </c>
      <c r="C69" s="1" t="s">
        <v>45</v>
      </c>
      <c r="D69" s="1">
        <v>124.5</v>
      </c>
      <c r="E69" s="1">
        <v>125.6</v>
      </c>
      <c r="F69" s="1">
        <v>122.7</v>
      </c>
      <c r="G69" s="1">
        <v>124.6</v>
      </c>
      <c r="H69" s="1">
        <v>103.2</v>
      </c>
      <c r="I69" s="1">
        <v>122.2</v>
      </c>
      <c r="J69" s="1">
        <v>153.19999999999999</v>
      </c>
      <c r="K69" s="1">
        <v>119.3</v>
      </c>
      <c r="L69" s="1">
        <v>99.8</v>
      </c>
      <c r="M69" s="1">
        <v>124.6</v>
      </c>
      <c r="N69" s="1">
        <v>115.8</v>
      </c>
      <c r="O69" s="1">
        <v>126.9</v>
      </c>
      <c r="P69" s="1">
        <v>125.4</v>
      </c>
      <c r="Q69" s="1">
        <v>125.8</v>
      </c>
      <c r="R69" s="1">
        <v>120.3</v>
      </c>
      <c r="S69" s="1">
        <v>115.4</v>
      </c>
      <c r="T69" s="1">
        <v>119.5</v>
      </c>
      <c r="U69" s="1">
        <v>117.1</v>
      </c>
      <c r="V69" s="1">
        <v>112.6</v>
      </c>
      <c r="W69" s="1">
        <v>116.4</v>
      </c>
      <c r="X69" s="1">
        <v>113</v>
      </c>
      <c r="Y69" s="1">
        <v>109.7</v>
      </c>
      <c r="Z69" s="1">
        <v>114</v>
      </c>
      <c r="AA69" s="1">
        <v>120.3</v>
      </c>
      <c r="AB69" s="1">
        <v>109.6</v>
      </c>
      <c r="AC69" s="1">
        <v>113.4</v>
      </c>
      <c r="AD69" s="1">
        <v>119</v>
      </c>
    </row>
    <row r="70" spans="1:30" x14ac:dyDescent="0.3">
      <c r="A70" s="1" t="s">
        <v>34</v>
      </c>
      <c r="B70" s="2">
        <v>2014</v>
      </c>
      <c r="C70" s="1" t="s">
        <v>45</v>
      </c>
      <c r="D70" s="1">
        <v>123.3</v>
      </c>
      <c r="E70" s="1">
        <v>123.7</v>
      </c>
      <c r="F70" s="1">
        <v>121</v>
      </c>
      <c r="G70" s="1">
        <v>124.2</v>
      </c>
      <c r="H70" s="1">
        <v>107.8</v>
      </c>
      <c r="I70" s="1">
        <v>125.7</v>
      </c>
      <c r="J70" s="1">
        <v>152.4</v>
      </c>
      <c r="K70" s="1">
        <v>117.2</v>
      </c>
      <c r="L70" s="1">
        <v>102.1</v>
      </c>
      <c r="M70" s="1">
        <v>118.7</v>
      </c>
      <c r="N70" s="1">
        <v>116.4</v>
      </c>
      <c r="O70" s="1">
        <v>125.6</v>
      </c>
      <c r="P70" s="1">
        <v>125.1</v>
      </c>
      <c r="Q70" s="1">
        <v>122.1</v>
      </c>
      <c r="R70" s="1">
        <v>122.1</v>
      </c>
      <c r="S70" s="1">
        <v>118.4</v>
      </c>
      <c r="T70" s="1">
        <v>121.6</v>
      </c>
      <c r="U70" s="1">
        <v>117.1</v>
      </c>
      <c r="V70" s="1">
        <v>115.5</v>
      </c>
      <c r="W70" s="1">
        <v>117.3</v>
      </c>
      <c r="X70" s="1">
        <v>114.8</v>
      </c>
      <c r="Y70" s="1">
        <v>110.8</v>
      </c>
      <c r="Z70" s="1">
        <v>113.7</v>
      </c>
      <c r="AA70" s="1">
        <v>119</v>
      </c>
      <c r="AB70" s="1">
        <v>109.1</v>
      </c>
      <c r="AC70" s="1">
        <v>113.8</v>
      </c>
      <c r="AD70" s="1">
        <v>120.1</v>
      </c>
    </row>
    <row r="71" spans="1:30" x14ac:dyDescent="0.3">
      <c r="A71" s="1" t="s">
        <v>30</v>
      </c>
      <c r="B71" s="2">
        <v>2014</v>
      </c>
      <c r="C71" s="1" t="s">
        <v>46</v>
      </c>
      <c r="D71" s="1">
        <v>122.4</v>
      </c>
      <c r="E71" s="1">
        <v>122.4</v>
      </c>
      <c r="F71" s="1">
        <v>121.8</v>
      </c>
      <c r="G71" s="1">
        <v>124.2</v>
      </c>
      <c r="H71" s="1">
        <v>110.2</v>
      </c>
      <c r="I71" s="1">
        <v>128.6</v>
      </c>
      <c r="J71" s="1">
        <v>140.30000000000001</v>
      </c>
      <c r="K71" s="1">
        <v>116.3</v>
      </c>
      <c r="L71" s="1">
        <v>102</v>
      </c>
      <c r="M71" s="1">
        <v>116</v>
      </c>
      <c r="N71" s="1">
        <v>117.3</v>
      </c>
      <c r="O71" s="1">
        <v>124.8</v>
      </c>
      <c r="P71" s="1">
        <v>123.3</v>
      </c>
      <c r="Q71" s="1">
        <v>121.7</v>
      </c>
      <c r="R71" s="1">
        <v>123.8</v>
      </c>
      <c r="S71" s="1">
        <v>120.6</v>
      </c>
      <c r="T71" s="1">
        <v>123.3</v>
      </c>
      <c r="U71" s="1">
        <f>U72</f>
        <v>116.5</v>
      </c>
      <c r="V71" s="1">
        <v>117.4</v>
      </c>
      <c r="W71" s="1">
        <v>118.2</v>
      </c>
      <c r="X71" s="1">
        <v>116.2</v>
      </c>
      <c r="Y71" s="1">
        <v>111.5</v>
      </c>
      <c r="Z71" s="1">
        <v>113.3</v>
      </c>
      <c r="AA71" s="1">
        <v>117.7</v>
      </c>
      <c r="AB71" s="1">
        <v>109.4</v>
      </c>
      <c r="AC71" s="1">
        <v>114.2</v>
      </c>
      <c r="AD71" s="1">
        <v>120.3</v>
      </c>
    </row>
    <row r="72" spans="1:30" x14ac:dyDescent="0.3">
      <c r="A72" s="1" t="s">
        <v>33</v>
      </c>
      <c r="B72" s="2">
        <v>2014</v>
      </c>
      <c r="C72" s="1" t="s">
        <v>46</v>
      </c>
      <c r="D72" s="1">
        <v>124</v>
      </c>
      <c r="E72" s="1">
        <v>124.7</v>
      </c>
      <c r="F72" s="1">
        <v>126.3</v>
      </c>
      <c r="G72" s="1">
        <v>124.9</v>
      </c>
      <c r="H72" s="1">
        <v>103</v>
      </c>
      <c r="I72" s="1">
        <v>122.3</v>
      </c>
      <c r="J72" s="1">
        <v>141</v>
      </c>
      <c r="K72" s="1">
        <v>120.1</v>
      </c>
      <c r="L72" s="1">
        <v>97.8</v>
      </c>
      <c r="M72" s="1">
        <v>125.4</v>
      </c>
      <c r="N72" s="1">
        <v>116.1</v>
      </c>
      <c r="O72" s="1">
        <v>127.6</v>
      </c>
      <c r="P72" s="1">
        <v>124</v>
      </c>
      <c r="Q72" s="1">
        <v>126.4</v>
      </c>
      <c r="R72" s="1">
        <v>120.7</v>
      </c>
      <c r="S72" s="1">
        <v>115.8</v>
      </c>
      <c r="T72" s="1">
        <v>120</v>
      </c>
      <c r="U72" s="1">
        <v>116.5</v>
      </c>
      <c r="V72" s="1">
        <v>113</v>
      </c>
      <c r="W72" s="1">
        <v>116.8</v>
      </c>
      <c r="X72" s="1">
        <v>113.2</v>
      </c>
      <c r="Y72" s="1">
        <v>108.8</v>
      </c>
      <c r="Z72" s="1">
        <v>114.3</v>
      </c>
      <c r="AA72" s="1">
        <v>120.7</v>
      </c>
      <c r="AB72" s="1">
        <v>110.4</v>
      </c>
      <c r="AC72" s="1">
        <v>113.4</v>
      </c>
      <c r="AD72" s="1">
        <v>118.4</v>
      </c>
    </row>
    <row r="73" spans="1:30" x14ac:dyDescent="0.3">
      <c r="A73" s="1" t="s">
        <v>34</v>
      </c>
      <c r="B73" s="2">
        <v>2014</v>
      </c>
      <c r="C73" s="1" t="s">
        <v>46</v>
      </c>
      <c r="D73" s="1">
        <v>122.9</v>
      </c>
      <c r="E73" s="1">
        <v>123.2</v>
      </c>
      <c r="F73" s="1">
        <v>123.5</v>
      </c>
      <c r="G73" s="1">
        <v>124.5</v>
      </c>
      <c r="H73" s="1">
        <v>107.6</v>
      </c>
      <c r="I73" s="1">
        <v>125.7</v>
      </c>
      <c r="J73" s="1">
        <v>140.5</v>
      </c>
      <c r="K73" s="1">
        <v>117.6</v>
      </c>
      <c r="L73" s="1">
        <v>100.6</v>
      </c>
      <c r="M73" s="1">
        <v>119.1</v>
      </c>
      <c r="N73" s="1">
        <v>116.8</v>
      </c>
      <c r="O73" s="1">
        <v>126.1</v>
      </c>
      <c r="P73" s="1">
        <v>123.6</v>
      </c>
      <c r="Q73" s="1">
        <v>123</v>
      </c>
      <c r="R73" s="1">
        <v>122.6</v>
      </c>
      <c r="S73" s="1">
        <v>118.6</v>
      </c>
      <c r="T73" s="1">
        <v>122</v>
      </c>
      <c r="U73" s="1">
        <v>116.5</v>
      </c>
      <c r="V73" s="1">
        <v>115.7</v>
      </c>
      <c r="W73" s="1">
        <v>117.5</v>
      </c>
      <c r="X73" s="1">
        <v>115.1</v>
      </c>
      <c r="Y73" s="1">
        <v>110.1</v>
      </c>
      <c r="Z73" s="1">
        <v>113.9</v>
      </c>
      <c r="AA73" s="1">
        <v>119.5</v>
      </c>
      <c r="AB73" s="1">
        <v>109.8</v>
      </c>
      <c r="AC73" s="1">
        <v>113.8</v>
      </c>
      <c r="AD73" s="1">
        <v>119.4</v>
      </c>
    </row>
    <row r="74" spans="1:30" x14ac:dyDescent="0.3">
      <c r="A74" s="1" t="s">
        <v>30</v>
      </c>
      <c r="B74" s="2">
        <v>2015</v>
      </c>
      <c r="C74" s="1" t="s">
        <v>31</v>
      </c>
      <c r="D74" s="1">
        <v>123.1</v>
      </c>
      <c r="E74" s="1">
        <v>123.1</v>
      </c>
      <c r="F74" s="1">
        <v>122.1</v>
      </c>
      <c r="G74" s="1">
        <v>124.9</v>
      </c>
      <c r="H74" s="1">
        <v>111</v>
      </c>
      <c r="I74" s="1">
        <v>130.4</v>
      </c>
      <c r="J74" s="1">
        <v>132.30000000000001</v>
      </c>
      <c r="K74" s="1">
        <v>117.2</v>
      </c>
      <c r="L74" s="1">
        <v>100.5</v>
      </c>
      <c r="M74" s="1">
        <v>117.2</v>
      </c>
      <c r="N74" s="1">
        <v>117.9</v>
      </c>
      <c r="O74" s="1">
        <v>125.6</v>
      </c>
      <c r="P74" s="1">
        <v>122.8</v>
      </c>
      <c r="Q74" s="1">
        <v>122.7</v>
      </c>
      <c r="R74" s="1">
        <v>124.4</v>
      </c>
      <c r="S74" s="1">
        <v>121.6</v>
      </c>
      <c r="T74" s="1">
        <v>124</v>
      </c>
      <c r="U74" s="1">
        <f>U75</f>
        <v>117.3</v>
      </c>
      <c r="V74" s="1">
        <v>118.4</v>
      </c>
      <c r="W74" s="1">
        <v>118.9</v>
      </c>
      <c r="X74" s="1">
        <v>116.6</v>
      </c>
      <c r="Y74" s="1">
        <v>111</v>
      </c>
      <c r="Z74" s="1">
        <v>114</v>
      </c>
      <c r="AA74" s="1">
        <v>118.2</v>
      </c>
      <c r="AB74" s="1">
        <v>110.2</v>
      </c>
      <c r="AC74" s="1">
        <v>114.5</v>
      </c>
      <c r="AD74" s="1">
        <v>120.3</v>
      </c>
    </row>
    <row r="75" spans="1:30" x14ac:dyDescent="0.3">
      <c r="A75" s="1" t="s">
        <v>33</v>
      </c>
      <c r="B75" s="2">
        <v>2015</v>
      </c>
      <c r="C75" s="1" t="s">
        <v>31</v>
      </c>
      <c r="D75" s="1">
        <v>124</v>
      </c>
      <c r="E75" s="1">
        <v>125.5</v>
      </c>
      <c r="F75" s="1">
        <v>126.6</v>
      </c>
      <c r="G75" s="1">
        <v>125.2</v>
      </c>
      <c r="H75" s="1">
        <v>104.3</v>
      </c>
      <c r="I75" s="1">
        <v>121.3</v>
      </c>
      <c r="J75" s="1">
        <v>134.4</v>
      </c>
      <c r="K75" s="1">
        <v>122.9</v>
      </c>
      <c r="L75" s="1">
        <v>96.1</v>
      </c>
      <c r="M75" s="1">
        <v>126.6</v>
      </c>
      <c r="N75" s="1">
        <v>116.5</v>
      </c>
      <c r="O75" s="1">
        <v>128</v>
      </c>
      <c r="P75" s="1">
        <v>123.5</v>
      </c>
      <c r="Q75" s="1">
        <v>127.4</v>
      </c>
      <c r="R75" s="1">
        <v>121</v>
      </c>
      <c r="S75" s="1">
        <v>116.1</v>
      </c>
      <c r="T75" s="1">
        <v>120.2</v>
      </c>
      <c r="U75" s="1">
        <v>117.3</v>
      </c>
      <c r="V75" s="1">
        <v>113.4</v>
      </c>
      <c r="W75" s="1">
        <v>117.2</v>
      </c>
      <c r="X75" s="1">
        <v>113.7</v>
      </c>
      <c r="Y75" s="1">
        <v>107.9</v>
      </c>
      <c r="Z75" s="1">
        <v>114.6</v>
      </c>
      <c r="AA75" s="1">
        <v>120.8</v>
      </c>
      <c r="AB75" s="1">
        <v>111.4</v>
      </c>
      <c r="AC75" s="1">
        <v>113.4</v>
      </c>
      <c r="AD75" s="1">
        <v>118.5</v>
      </c>
    </row>
    <row r="76" spans="1:30" x14ac:dyDescent="0.3">
      <c r="A76" s="1" t="s">
        <v>34</v>
      </c>
      <c r="B76" s="2">
        <v>2015</v>
      </c>
      <c r="C76" s="1" t="s">
        <v>31</v>
      </c>
      <c r="D76" s="1">
        <v>123.4</v>
      </c>
      <c r="E76" s="1">
        <v>123.9</v>
      </c>
      <c r="F76" s="1">
        <v>123.8</v>
      </c>
      <c r="G76" s="1">
        <v>125</v>
      </c>
      <c r="H76" s="1">
        <v>108.5</v>
      </c>
      <c r="I76" s="1">
        <v>126.2</v>
      </c>
      <c r="J76" s="1">
        <v>133</v>
      </c>
      <c r="K76" s="1">
        <v>119.1</v>
      </c>
      <c r="L76" s="1">
        <v>99</v>
      </c>
      <c r="M76" s="1">
        <v>120.3</v>
      </c>
      <c r="N76" s="1">
        <v>117.3</v>
      </c>
      <c r="O76" s="1">
        <v>126.7</v>
      </c>
      <c r="P76" s="1">
        <v>123.1</v>
      </c>
      <c r="Q76" s="1">
        <v>124</v>
      </c>
      <c r="R76" s="1">
        <v>123.1</v>
      </c>
      <c r="S76" s="1">
        <v>119.3</v>
      </c>
      <c r="T76" s="1">
        <v>122.5</v>
      </c>
      <c r="U76" s="1">
        <v>117.3</v>
      </c>
      <c r="V76" s="1">
        <v>116.5</v>
      </c>
      <c r="W76" s="1">
        <v>118.1</v>
      </c>
      <c r="X76" s="1">
        <v>115.5</v>
      </c>
      <c r="Y76" s="1">
        <v>109.4</v>
      </c>
      <c r="Z76" s="1">
        <v>114.3</v>
      </c>
      <c r="AA76" s="1">
        <v>119.7</v>
      </c>
      <c r="AB76" s="1">
        <v>110.7</v>
      </c>
      <c r="AC76" s="1">
        <v>114</v>
      </c>
      <c r="AD76" s="1">
        <v>119.5</v>
      </c>
    </row>
    <row r="77" spans="1:30" x14ac:dyDescent="0.3">
      <c r="A77" s="1" t="s">
        <v>30</v>
      </c>
      <c r="B77" s="2">
        <v>2015</v>
      </c>
      <c r="C77" s="1" t="s">
        <v>35</v>
      </c>
      <c r="D77" s="1">
        <v>123.4</v>
      </c>
      <c r="E77" s="1">
        <v>124.4</v>
      </c>
      <c r="F77" s="1">
        <v>122.1</v>
      </c>
      <c r="G77" s="1">
        <v>125.8</v>
      </c>
      <c r="H77" s="1">
        <v>111.5</v>
      </c>
      <c r="I77" s="1">
        <v>129.4</v>
      </c>
      <c r="J77" s="1">
        <v>128.19999999999999</v>
      </c>
      <c r="K77" s="1">
        <v>118.8</v>
      </c>
      <c r="L77" s="1">
        <v>100</v>
      </c>
      <c r="M77" s="1">
        <v>118.6</v>
      </c>
      <c r="N77" s="1">
        <v>118.8</v>
      </c>
      <c r="O77" s="1">
        <v>126.8</v>
      </c>
      <c r="P77" s="1">
        <v>122.8</v>
      </c>
      <c r="Q77" s="1">
        <v>124.2</v>
      </c>
      <c r="R77" s="1">
        <v>125.4</v>
      </c>
      <c r="S77" s="1">
        <v>122.7</v>
      </c>
      <c r="T77" s="1">
        <v>125</v>
      </c>
      <c r="U77" s="1">
        <f>U78</f>
        <v>118.1</v>
      </c>
      <c r="V77" s="1">
        <v>120</v>
      </c>
      <c r="W77" s="1">
        <v>119.6</v>
      </c>
      <c r="X77" s="1">
        <v>117.7</v>
      </c>
      <c r="Y77" s="1">
        <v>110.9</v>
      </c>
      <c r="Z77" s="1">
        <v>114.8</v>
      </c>
      <c r="AA77" s="1">
        <v>118.7</v>
      </c>
      <c r="AB77" s="1">
        <v>110.8</v>
      </c>
      <c r="AC77" s="1">
        <v>115</v>
      </c>
      <c r="AD77" s="1">
        <v>120.6</v>
      </c>
    </row>
    <row r="78" spans="1:30" x14ac:dyDescent="0.3">
      <c r="A78" s="1" t="s">
        <v>33</v>
      </c>
      <c r="B78" s="2">
        <v>2015</v>
      </c>
      <c r="C78" s="1" t="s">
        <v>35</v>
      </c>
      <c r="D78" s="1">
        <v>124.3</v>
      </c>
      <c r="E78" s="1">
        <v>126.5</v>
      </c>
      <c r="F78" s="1">
        <v>119.5</v>
      </c>
      <c r="G78" s="1">
        <v>125.6</v>
      </c>
      <c r="H78" s="1">
        <v>104.9</v>
      </c>
      <c r="I78" s="1">
        <v>121.6</v>
      </c>
      <c r="J78" s="1">
        <v>131.80000000000001</v>
      </c>
      <c r="K78" s="1">
        <v>125.1</v>
      </c>
      <c r="L78" s="1">
        <v>95</v>
      </c>
      <c r="M78" s="1">
        <v>127.7</v>
      </c>
      <c r="N78" s="1">
        <v>116.8</v>
      </c>
      <c r="O78" s="1">
        <v>128.6</v>
      </c>
      <c r="P78" s="1">
        <v>123.7</v>
      </c>
      <c r="Q78" s="1">
        <v>128.1</v>
      </c>
      <c r="R78" s="1">
        <v>121.3</v>
      </c>
      <c r="S78" s="1">
        <v>116.5</v>
      </c>
      <c r="T78" s="1">
        <v>120.6</v>
      </c>
      <c r="U78" s="1">
        <v>118.1</v>
      </c>
      <c r="V78" s="1">
        <v>114</v>
      </c>
      <c r="W78" s="1">
        <v>117.7</v>
      </c>
      <c r="X78" s="1">
        <v>114.1</v>
      </c>
      <c r="Y78" s="1">
        <v>106.8</v>
      </c>
      <c r="Z78" s="1">
        <v>114.9</v>
      </c>
      <c r="AA78" s="1">
        <v>120.4</v>
      </c>
      <c r="AB78" s="1">
        <v>111.7</v>
      </c>
      <c r="AC78" s="1">
        <v>113.2</v>
      </c>
      <c r="AD78" s="1">
        <v>118.7</v>
      </c>
    </row>
    <row r="79" spans="1:30" x14ac:dyDescent="0.3">
      <c r="A79" s="1" t="s">
        <v>34</v>
      </c>
      <c r="B79" s="2">
        <v>2015</v>
      </c>
      <c r="C79" s="1" t="s">
        <v>35</v>
      </c>
      <c r="D79" s="1">
        <v>123.7</v>
      </c>
      <c r="E79" s="1">
        <v>125.1</v>
      </c>
      <c r="F79" s="1">
        <v>121.1</v>
      </c>
      <c r="G79" s="1">
        <v>125.7</v>
      </c>
      <c r="H79" s="1">
        <v>109.1</v>
      </c>
      <c r="I79" s="1">
        <v>125.8</v>
      </c>
      <c r="J79" s="1">
        <v>129.4</v>
      </c>
      <c r="K79" s="1">
        <v>120.9</v>
      </c>
      <c r="L79" s="1">
        <v>98.3</v>
      </c>
      <c r="M79" s="1">
        <v>121.6</v>
      </c>
      <c r="N79" s="1">
        <v>118</v>
      </c>
      <c r="O79" s="1">
        <v>127.6</v>
      </c>
      <c r="P79" s="1">
        <v>123.1</v>
      </c>
      <c r="Q79" s="1">
        <v>125.2</v>
      </c>
      <c r="R79" s="1">
        <v>123.8</v>
      </c>
      <c r="S79" s="1">
        <v>120.1</v>
      </c>
      <c r="T79" s="1">
        <v>123.3</v>
      </c>
      <c r="U79" s="1">
        <v>118.1</v>
      </c>
      <c r="V79" s="1">
        <v>117.7</v>
      </c>
      <c r="W79" s="1">
        <v>118.7</v>
      </c>
      <c r="X79" s="1">
        <v>116.3</v>
      </c>
      <c r="Y79" s="1">
        <v>108.7</v>
      </c>
      <c r="Z79" s="1">
        <v>114.9</v>
      </c>
      <c r="AA79" s="1">
        <v>119.7</v>
      </c>
      <c r="AB79" s="1">
        <v>111.2</v>
      </c>
      <c r="AC79" s="1">
        <v>114.1</v>
      </c>
      <c r="AD79" s="1">
        <v>119.7</v>
      </c>
    </row>
    <row r="80" spans="1:30" x14ac:dyDescent="0.3">
      <c r="A80" s="1" t="s">
        <v>30</v>
      </c>
      <c r="B80" s="2">
        <v>2015</v>
      </c>
      <c r="C80" s="1" t="s">
        <v>36</v>
      </c>
      <c r="D80" s="1">
        <v>123.3</v>
      </c>
      <c r="E80" s="1">
        <v>124.7</v>
      </c>
      <c r="F80" s="1">
        <v>118.9</v>
      </c>
      <c r="G80" s="1">
        <v>126</v>
      </c>
      <c r="H80" s="1">
        <v>111.8</v>
      </c>
      <c r="I80" s="1">
        <v>130.9</v>
      </c>
      <c r="J80" s="1">
        <v>128</v>
      </c>
      <c r="K80" s="1">
        <v>119.9</v>
      </c>
      <c r="L80" s="1">
        <v>98.9</v>
      </c>
      <c r="M80" s="1">
        <v>119.4</v>
      </c>
      <c r="N80" s="1">
        <v>118.9</v>
      </c>
      <c r="O80" s="1">
        <v>127.7</v>
      </c>
      <c r="P80" s="1">
        <v>123.1</v>
      </c>
      <c r="Q80" s="1">
        <v>124.7</v>
      </c>
      <c r="R80" s="1">
        <v>126</v>
      </c>
      <c r="S80" s="1">
        <v>122.9</v>
      </c>
      <c r="T80" s="1">
        <v>125.5</v>
      </c>
      <c r="U80" s="1">
        <f>U81</f>
        <v>118.6</v>
      </c>
      <c r="V80" s="1">
        <v>120.6</v>
      </c>
      <c r="W80" s="1">
        <v>120.2</v>
      </c>
      <c r="X80" s="1">
        <v>118.2</v>
      </c>
      <c r="Y80" s="1">
        <v>111.6</v>
      </c>
      <c r="Z80" s="1">
        <v>115.5</v>
      </c>
      <c r="AA80" s="1">
        <v>119.4</v>
      </c>
      <c r="AB80" s="1">
        <v>110.8</v>
      </c>
      <c r="AC80" s="1">
        <v>115.5</v>
      </c>
      <c r="AD80" s="1">
        <v>121.1</v>
      </c>
    </row>
    <row r="81" spans="1:30" x14ac:dyDescent="0.3">
      <c r="A81" s="1" t="s">
        <v>33</v>
      </c>
      <c r="B81" s="2">
        <v>2015</v>
      </c>
      <c r="C81" s="1" t="s">
        <v>36</v>
      </c>
      <c r="D81" s="1">
        <v>124</v>
      </c>
      <c r="E81" s="1">
        <v>126.7</v>
      </c>
      <c r="F81" s="1">
        <v>113.5</v>
      </c>
      <c r="G81" s="1">
        <v>125.9</v>
      </c>
      <c r="H81" s="1">
        <v>104.8</v>
      </c>
      <c r="I81" s="1">
        <v>123.8</v>
      </c>
      <c r="J81" s="1">
        <v>131.4</v>
      </c>
      <c r="K81" s="1">
        <v>127.2</v>
      </c>
      <c r="L81" s="1">
        <v>93.2</v>
      </c>
      <c r="M81" s="1">
        <v>127.4</v>
      </c>
      <c r="N81" s="1">
        <v>117</v>
      </c>
      <c r="O81" s="1">
        <v>129.19999999999999</v>
      </c>
      <c r="P81" s="1">
        <v>123.9</v>
      </c>
      <c r="Q81" s="1">
        <v>128.80000000000001</v>
      </c>
      <c r="R81" s="1">
        <v>121.7</v>
      </c>
      <c r="S81" s="1">
        <v>116.9</v>
      </c>
      <c r="T81" s="1">
        <v>120.9</v>
      </c>
      <c r="U81" s="1">
        <v>118.6</v>
      </c>
      <c r="V81" s="1">
        <v>114.4</v>
      </c>
      <c r="W81" s="1">
        <v>118</v>
      </c>
      <c r="X81" s="1">
        <v>114.3</v>
      </c>
      <c r="Y81" s="1">
        <v>108.4</v>
      </c>
      <c r="Z81" s="1">
        <v>115.4</v>
      </c>
      <c r="AA81" s="1">
        <v>120.6</v>
      </c>
      <c r="AB81" s="1">
        <v>111.3</v>
      </c>
      <c r="AC81" s="1">
        <v>113.8</v>
      </c>
      <c r="AD81" s="1">
        <v>119.1</v>
      </c>
    </row>
    <row r="82" spans="1:30" x14ac:dyDescent="0.3">
      <c r="A82" s="1" t="s">
        <v>34</v>
      </c>
      <c r="B82" s="2">
        <v>2015</v>
      </c>
      <c r="C82" s="1" t="s">
        <v>36</v>
      </c>
      <c r="D82" s="1">
        <v>123.5</v>
      </c>
      <c r="E82" s="1">
        <v>125.4</v>
      </c>
      <c r="F82" s="1">
        <v>116.8</v>
      </c>
      <c r="G82" s="1">
        <v>126</v>
      </c>
      <c r="H82" s="1">
        <v>109.2</v>
      </c>
      <c r="I82" s="1">
        <v>127.6</v>
      </c>
      <c r="J82" s="1">
        <v>129.19999999999999</v>
      </c>
      <c r="K82" s="1">
        <v>122.4</v>
      </c>
      <c r="L82" s="1">
        <v>97</v>
      </c>
      <c r="M82" s="1">
        <v>122.1</v>
      </c>
      <c r="N82" s="1">
        <v>118.1</v>
      </c>
      <c r="O82" s="1">
        <v>128.4</v>
      </c>
      <c r="P82" s="1">
        <v>123.4</v>
      </c>
      <c r="Q82" s="1">
        <v>125.8</v>
      </c>
      <c r="R82" s="1">
        <v>124.3</v>
      </c>
      <c r="S82" s="1">
        <v>120.4</v>
      </c>
      <c r="T82" s="1">
        <v>123.7</v>
      </c>
      <c r="U82" s="1">
        <v>118.6</v>
      </c>
      <c r="V82" s="1">
        <v>118.3</v>
      </c>
      <c r="W82" s="1">
        <v>119.2</v>
      </c>
      <c r="X82" s="1">
        <v>116.7</v>
      </c>
      <c r="Y82" s="1">
        <v>109.9</v>
      </c>
      <c r="Z82" s="1">
        <v>115.4</v>
      </c>
      <c r="AA82" s="1">
        <v>120.1</v>
      </c>
      <c r="AB82" s="1">
        <v>111</v>
      </c>
      <c r="AC82" s="1">
        <v>114.7</v>
      </c>
      <c r="AD82" s="1">
        <v>120.2</v>
      </c>
    </row>
    <row r="83" spans="1:30" x14ac:dyDescent="0.3">
      <c r="A83" s="1" t="s">
        <v>30</v>
      </c>
      <c r="B83" s="2">
        <v>2015</v>
      </c>
      <c r="C83" s="1" t="s">
        <v>37</v>
      </c>
      <c r="D83" s="1">
        <v>123.3</v>
      </c>
      <c r="E83" s="1">
        <v>125.5</v>
      </c>
      <c r="F83" s="1">
        <v>117.2</v>
      </c>
      <c r="G83" s="1">
        <v>126.8</v>
      </c>
      <c r="H83" s="1">
        <v>111.9</v>
      </c>
      <c r="I83" s="1">
        <v>134.19999999999999</v>
      </c>
      <c r="J83" s="1">
        <v>127.5</v>
      </c>
      <c r="K83" s="1">
        <v>121.5</v>
      </c>
      <c r="L83" s="1">
        <v>97.8</v>
      </c>
      <c r="M83" s="1">
        <v>119.8</v>
      </c>
      <c r="N83" s="1">
        <v>119.4</v>
      </c>
      <c r="O83" s="1">
        <v>128.69999999999999</v>
      </c>
      <c r="P83" s="1">
        <v>123.6</v>
      </c>
      <c r="Q83" s="1">
        <v>125.7</v>
      </c>
      <c r="R83" s="1">
        <v>126.4</v>
      </c>
      <c r="S83" s="1">
        <v>123.3</v>
      </c>
      <c r="T83" s="1">
        <v>126</v>
      </c>
      <c r="U83" s="1">
        <f>U84</f>
        <v>119.2</v>
      </c>
      <c r="V83" s="1">
        <v>121.2</v>
      </c>
      <c r="W83" s="1">
        <v>120.9</v>
      </c>
      <c r="X83" s="1">
        <v>118.6</v>
      </c>
      <c r="Y83" s="1">
        <v>111.9</v>
      </c>
      <c r="Z83" s="1">
        <v>116.2</v>
      </c>
      <c r="AA83" s="1">
        <v>119.9</v>
      </c>
      <c r="AB83" s="1">
        <v>111.6</v>
      </c>
      <c r="AC83" s="1">
        <v>116</v>
      </c>
      <c r="AD83" s="1">
        <v>121.5</v>
      </c>
    </row>
    <row r="84" spans="1:30" x14ac:dyDescent="0.3">
      <c r="A84" s="1" t="s">
        <v>33</v>
      </c>
      <c r="B84" s="2">
        <v>2015</v>
      </c>
      <c r="C84" s="1" t="s">
        <v>37</v>
      </c>
      <c r="D84" s="1">
        <v>123.8</v>
      </c>
      <c r="E84" s="1">
        <v>128.19999999999999</v>
      </c>
      <c r="F84" s="1">
        <v>110</v>
      </c>
      <c r="G84" s="1">
        <v>126.3</v>
      </c>
      <c r="H84" s="1">
        <v>104.5</v>
      </c>
      <c r="I84" s="1">
        <v>130.6</v>
      </c>
      <c r="J84" s="1">
        <v>130.80000000000001</v>
      </c>
      <c r="K84" s="1">
        <v>131.30000000000001</v>
      </c>
      <c r="L84" s="1">
        <v>91.6</v>
      </c>
      <c r="M84" s="1">
        <v>127.7</v>
      </c>
      <c r="N84" s="1">
        <v>117.2</v>
      </c>
      <c r="O84" s="1">
        <v>129.5</v>
      </c>
      <c r="P84" s="1">
        <v>124.6</v>
      </c>
      <c r="Q84" s="1">
        <v>130.1</v>
      </c>
      <c r="R84" s="1">
        <v>122.1</v>
      </c>
      <c r="S84" s="1">
        <v>117.2</v>
      </c>
      <c r="T84" s="1">
        <v>121.3</v>
      </c>
      <c r="U84" s="1">
        <v>119.2</v>
      </c>
      <c r="V84" s="1">
        <v>114.7</v>
      </c>
      <c r="W84" s="1">
        <v>118.4</v>
      </c>
      <c r="X84" s="1">
        <v>114.6</v>
      </c>
      <c r="Y84" s="1">
        <v>108.4</v>
      </c>
      <c r="Z84" s="1">
        <v>115.6</v>
      </c>
      <c r="AA84" s="1">
        <v>121.7</v>
      </c>
      <c r="AB84" s="1">
        <v>111.8</v>
      </c>
      <c r="AC84" s="1">
        <v>114.2</v>
      </c>
      <c r="AD84" s="1">
        <v>119.7</v>
      </c>
    </row>
    <row r="85" spans="1:30" x14ac:dyDescent="0.3">
      <c r="A85" s="1" t="s">
        <v>34</v>
      </c>
      <c r="B85" s="2">
        <v>2015</v>
      </c>
      <c r="C85" s="1" t="s">
        <v>37</v>
      </c>
      <c r="D85" s="1">
        <v>123.5</v>
      </c>
      <c r="E85" s="1">
        <v>126.4</v>
      </c>
      <c r="F85" s="1">
        <v>114.4</v>
      </c>
      <c r="G85" s="1">
        <v>126.6</v>
      </c>
      <c r="H85" s="1">
        <v>109.2</v>
      </c>
      <c r="I85" s="1">
        <v>132.5</v>
      </c>
      <c r="J85" s="1">
        <v>128.6</v>
      </c>
      <c r="K85" s="1">
        <v>124.8</v>
      </c>
      <c r="L85" s="1">
        <v>95.7</v>
      </c>
      <c r="M85" s="1">
        <v>122.4</v>
      </c>
      <c r="N85" s="1">
        <v>118.5</v>
      </c>
      <c r="O85" s="1">
        <v>129.1</v>
      </c>
      <c r="P85" s="1">
        <v>124</v>
      </c>
      <c r="Q85" s="1">
        <v>126.9</v>
      </c>
      <c r="R85" s="1">
        <v>124.7</v>
      </c>
      <c r="S85" s="1">
        <v>120.8</v>
      </c>
      <c r="T85" s="1">
        <v>124.1</v>
      </c>
      <c r="U85" s="1">
        <v>119.2</v>
      </c>
      <c r="V85" s="1">
        <v>118.7</v>
      </c>
      <c r="W85" s="1">
        <v>119.7</v>
      </c>
      <c r="X85" s="1">
        <v>117.1</v>
      </c>
      <c r="Y85" s="1">
        <v>110.1</v>
      </c>
      <c r="Z85" s="1">
        <v>115.9</v>
      </c>
      <c r="AA85" s="1">
        <v>121</v>
      </c>
      <c r="AB85" s="1">
        <v>111.7</v>
      </c>
      <c r="AC85" s="1">
        <v>115.1</v>
      </c>
      <c r="AD85" s="1">
        <v>120.7</v>
      </c>
    </row>
    <row r="86" spans="1:30" x14ac:dyDescent="0.3">
      <c r="A86" s="1" t="s">
        <v>30</v>
      </c>
      <c r="B86" s="2">
        <v>2015</v>
      </c>
      <c r="C86" s="1" t="s">
        <v>38</v>
      </c>
      <c r="D86" s="1">
        <v>123.5</v>
      </c>
      <c r="E86" s="1">
        <v>127.1</v>
      </c>
      <c r="F86" s="1">
        <v>117.3</v>
      </c>
      <c r="G86" s="1">
        <v>127.7</v>
      </c>
      <c r="H86" s="1">
        <v>112.5</v>
      </c>
      <c r="I86" s="1">
        <v>134.1</v>
      </c>
      <c r="J86" s="1">
        <v>128.5</v>
      </c>
      <c r="K86" s="1">
        <v>124.3</v>
      </c>
      <c r="L86" s="1">
        <v>97.6</v>
      </c>
      <c r="M86" s="1">
        <v>120.7</v>
      </c>
      <c r="N86" s="1">
        <v>120.2</v>
      </c>
      <c r="O86" s="1">
        <v>129.80000000000001</v>
      </c>
      <c r="P86" s="1">
        <v>124.4</v>
      </c>
      <c r="Q86" s="1">
        <v>126.7</v>
      </c>
      <c r="R86" s="1">
        <v>127.3</v>
      </c>
      <c r="S86" s="1">
        <v>124.1</v>
      </c>
      <c r="T86" s="1">
        <v>126.8</v>
      </c>
      <c r="U86" s="1">
        <f>U87</f>
        <v>119.6</v>
      </c>
      <c r="V86" s="1">
        <v>121.9</v>
      </c>
      <c r="W86" s="1">
        <v>121.5</v>
      </c>
      <c r="X86" s="1">
        <v>119.4</v>
      </c>
      <c r="Y86" s="1">
        <v>113.3</v>
      </c>
      <c r="Z86" s="1">
        <v>116.7</v>
      </c>
      <c r="AA86" s="1">
        <v>120.5</v>
      </c>
      <c r="AB86" s="1">
        <v>112.3</v>
      </c>
      <c r="AC86" s="1">
        <v>116.9</v>
      </c>
      <c r="AD86" s="1">
        <v>122.4</v>
      </c>
    </row>
    <row r="87" spans="1:30" x14ac:dyDescent="0.3">
      <c r="A87" s="1" t="s">
        <v>33</v>
      </c>
      <c r="B87" s="2">
        <v>2015</v>
      </c>
      <c r="C87" s="1" t="s">
        <v>38</v>
      </c>
      <c r="D87" s="1">
        <v>123.8</v>
      </c>
      <c r="E87" s="1">
        <v>129.69999999999999</v>
      </c>
      <c r="F87" s="1">
        <v>111.3</v>
      </c>
      <c r="G87" s="1">
        <v>126.6</v>
      </c>
      <c r="H87" s="1">
        <v>105.2</v>
      </c>
      <c r="I87" s="1">
        <v>130.80000000000001</v>
      </c>
      <c r="J87" s="1">
        <v>135.6</v>
      </c>
      <c r="K87" s="1">
        <v>142.6</v>
      </c>
      <c r="L87" s="1">
        <v>90.8</v>
      </c>
      <c r="M87" s="1">
        <v>128.80000000000001</v>
      </c>
      <c r="N87" s="1">
        <v>117.7</v>
      </c>
      <c r="O87" s="1">
        <v>129.9</v>
      </c>
      <c r="P87" s="1">
        <v>126.1</v>
      </c>
      <c r="Q87" s="1">
        <v>131.30000000000001</v>
      </c>
      <c r="R87" s="1">
        <v>122.4</v>
      </c>
      <c r="S87" s="1">
        <v>117.4</v>
      </c>
      <c r="T87" s="1">
        <v>121.6</v>
      </c>
      <c r="U87" s="1">
        <v>119.6</v>
      </c>
      <c r="V87" s="1">
        <v>114.9</v>
      </c>
      <c r="W87" s="1">
        <v>118.7</v>
      </c>
      <c r="X87" s="1">
        <v>114.9</v>
      </c>
      <c r="Y87" s="1">
        <v>110.8</v>
      </c>
      <c r="Z87" s="1">
        <v>116</v>
      </c>
      <c r="AA87" s="1">
        <v>122</v>
      </c>
      <c r="AB87" s="1">
        <v>112.4</v>
      </c>
      <c r="AC87" s="1">
        <v>115.2</v>
      </c>
      <c r="AD87" s="1">
        <v>120.7</v>
      </c>
    </row>
    <row r="88" spans="1:30" x14ac:dyDescent="0.3">
      <c r="A88" s="1" t="s">
        <v>34</v>
      </c>
      <c r="B88" s="2">
        <v>2015</v>
      </c>
      <c r="C88" s="1" t="s">
        <v>38</v>
      </c>
      <c r="D88" s="1">
        <v>123.6</v>
      </c>
      <c r="E88" s="1">
        <v>128</v>
      </c>
      <c r="F88" s="1">
        <v>115</v>
      </c>
      <c r="G88" s="1">
        <v>127.3</v>
      </c>
      <c r="H88" s="1">
        <v>109.8</v>
      </c>
      <c r="I88" s="1">
        <v>132.6</v>
      </c>
      <c r="J88" s="1">
        <v>130.9</v>
      </c>
      <c r="K88" s="1">
        <v>130.5</v>
      </c>
      <c r="L88" s="1">
        <v>95.3</v>
      </c>
      <c r="M88" s="1">
        <v>123.4</v>
      </c>
      <c r="N88" s="1">
        <v>119.2</v>
      </c>
      <c r="O88" s="1">
        <v>129.80000000000001</v>
      </c>
      <c r="P88" s="1">
        <v>125</v>
      </c>
      <c r="Q88" s="1">
        <v>127.9</v>
      </c>
      <c r="R88" s="1">
        <v>125.4</v>
      </c>
      <c r="S88" s="1">
        <v>121.3</v>
      </c>
      <c r="T88" s="1">
        <v>124.7</v>
      </c>
      <c r="U88" s="1">
        <v>119.6</v>
      </c>
      <c r="V88" s="1">
        <v>119.2</v>
      </c>
      <c r="W88" s="1">
        <v>120.2</v>
      </c>
      <c r="X88" s="1">
        <v>117.7</v>
      </c>
      <c r="Y88" s="1">
        <v>112</v>
      </c>
      <c r="Z88" s="1">
        <v>116.3</v>
      </c>
      <c r="AA88" s="1">
        <v>121.4</v>
      </c>
      <c r="AB88" s="1">
        <v>112.3</v>
      </c>
      <c r="AC88" s="1">
        <v>116.1</v>
      </c>
      <c r="AD88" s="1">
        <v>121.6</v>
      </c>
    </row>
    <row r="89" spans="1:30" x14ac:dyDescent="0.3">
      <c r="A89" s="1" t="s">
        <v>30</v>
      </c>
      <c r="B89" s="2">
        <v>2015</v>
      </c>
      <c r="C89" s="1" t="s">
        <v>39</v>
      </c>
      <c r="D89" s="1">
        <v>124.1</v>
      </c>
      <c r="E89" s="1">
        <v>130.4</v>
      </c>
      <c r="F89" s="1">
        <v>122.1</v>
      </c>
      <c r="G89" s="1">
        <v>128.69999999999999</v>
      </c>
      <c r="H89" s="1">
        <v>114.1</v>
      </c>
      <c r="I89" s="1">
        <v>133.19999999999999</v>
      </c>
      <c r="J89" s="1">
        <v>135.19999999999999</v>
      </c>
      <c r="K89" s="1">
        <v>131.9</v>
      </c>
      <c r="L89" s="1">
        <v>96.3</v>
      </c>
      <c r="M89" s="1">
        <v>123</v>
      </c>
      <c r="N89" s="1">
        <v>121.1</v>
      </c>
      <c r="O89" s="1">
        <v>131.19999999999999</v>
      </c>
      <c r="P89" s="1">
        <v>126.6</v>
      </c>
      <c r="Q89" s="1">
        <v>128.19999999999999</v>
      </c>
      <c r="R89" s="1">
        <v>128.4</v>
      </c>
      <c r="S89" s="1">
        <v>125.1</v>
      </c>
      <c r="T89" s="1">
        <v>128</v>
      </c>
      <c r="U89" s="1">
        <f>U90</f>
        <v>119</v>
      </c>
      <c r="V89" s="1">
        <v>122.6</v>
      </c>
      <c r="W89" s="1">
        <v>122.8</v>
      </c>
      <c r="X89" s="1">
        <v>120.4</v>
      </c>
      <c r="Y89" s="1">
        <v>114.2</v>
      </c>
      <c r="Z89" s="1">
        <v>117.9</v>
      </c>
      <c r="AA89" s="1">
        <v>122</v>
      </c>
      <c r="AB89" s="1">
        <v>113</v>
      </c>
      <c r="AC89" s="1">
        <v>117.9</v>
      </c>
      <c r="AD89" s="1">
        <v>124.1</v>
      </c>
    </row>
    <row r="90" spans="1:30" x14ac:dyDescent="0.3">
      <c r="A90" s="1" t="s">
        <v>33</v>
      </c>
      <c r="B90" s="2">
        <v>2015</v>
      </c>
      <c r="C90" s="1" t="s">
        <v>39</v>
      </c>
      <c r="D90" s="1">
        <v>123.6</v>
      </c>
      <c r="E90" s="1">
        <v>134.4</v>
      </c>
      <c r="F90" s="1">
        <v>120.9</v>
      </c>
      <c r="G90" s="1">
        <v>127.3</v>
      </c>
      <c r="H90" s="1">
        <v>106</v>
      </c>
      <c r="I90" s="1">
        <v>132.30000000000001</v>
      </c>
      <c r="J90" s="1">
        <v>146.69999999999999</v>
      </c>
      <c r="K90" s="1">
        <v>148.1</v>
      </c>
      <c r="L90" s="1">
        <v>89.8</v>
      </c>
      <c r="M90" s="1">
        <v>130.5</v>
      </c>
      <c r="N90" s="1">
        <v>118</v>
      </c>
      <c r="O90" s="1">
        <v>130.5</v>
      </c>
      <c r="P90" s="1">
        <v>128.5</v>
      </c>
      <c r="Q90" s="1">
        <v>132.1</v>
      </c>
      <c r="R90" s="1">
        <v>123.2</v>
      </c>
      <c r="S90" s="1">
        <v>117.6</v>
      </c>
      <c r="T90" s="1">
        <v>122.3</v>
      </c>
      <c r="U90" s="1">
        <v>119</v>
      </c>
      <c r="V90" s="1">
        <v>115.1</v>
      </c>
      <c r="W90" s="1">
        <v>119.2</v>
      </c>
      <c r="X90" s="1">
        <v>115.4</v>
      </c>
      <c r="Y90" s="1">
        <v>111.7</v>
      </c>
      <c r="Z90" s="1">
        <v>116.2</v>
      </c>
      <c r="AA90" s="1">
        <v>123.8</v>
      </c>
      <c r="AB90" s="1">
        <v>112.5</v>
      </c>
      <c r="AC90" s="1">
        <v>116</v>
      </c>
      <c r="AD90" s="1">
        <v>121.7</v>
      </c>
    </row>
    <row r="91" spans="1:30" x14ac:dyDescent="0.3">
      <c r="A91" s="1" t="s">
        <v>34</v>
      </c>
      <c r="B91" s="2">
        <v>2015</v>
      </c>
      <c r="C91" s="1" t="s">
        <v>39</v>
      </c>
      <c r="D91" s="1">
        <v>123.9</v>
      </c>
      <c r="E91" s="1">
        <v>131.80000000000001</v>
      </c>
      <c r="F91" s="1">
        <v>121.6</v>
      </c>
      <c r="G91" s="1">
        <v>128.19999999999999</v>
      </c>
      <c r="H91" s="1">
        <v>111.1</v>
      </c>
      <c r="I91" s="1">
        <v>132.80000000000001</v>
      </c>
      <c r="J91" s="1">
        <v>139.1</v>
      </c>
      <c r="K91" s="1">
        <v>137.4</v>
      </c>
      <c r="L91" s="1">
        <v>94.1</v>
      </c>
      <c r="M91" s="1">
        <v>125.5</v>
      </c>
      <c r="N91" s="1">
        <v>119.8</v>
      </c>
      <c r="O91" s="1">
        <v>130.9</v>
      </c>
      <c r="P91" s="1">
        <v>127.3</v>
      </c>
      <c r="Q91" s="1">
        <v>129.19999999999999</v>
      </c>
      <c r="R91" s="1">
        <v>126.4</v>
      </c>
      <c r="S91" s="1">
        <v>122</v>
      </c>
      <c r="T91" s="1">
        <v>125.7</v>
      </c>
      <c r="U91" s="1">
        <v>119</v>
      </c>
      <c r="V91" s="1">
        <v>119.8</v>
      </c>
      <c r="W91" s="1">
        <v>121.1</v>
      </c>
      <c r="X91" s="1">
        <v>118.5</v>
      </c>
      <c r="Y91" s="1">
        <v>112.9</v>
      </c>
      <c r="Z91" s="1">
        <v>116.9</v>
      </c>
      <c r="AA91" s="1">
        <v>123.1</v>
      </c>
      <c r="AB91" s="1">
        <v>112.8</v>
      </c>
      <c r="AC91" s="1">
        <v>117</v>
      </c>
      <c r="AD91" s="1">
        <v>123</v>
      </c>
    </row>
    <row r="92" spans="1:30" x14ac:dyDescent="0.3">
      <c r="A92" s="1" t="s">
        <v>30</v>
      </c>
      <c r="B92" s="2">
        <v>2015</v>
      </c>
      <c r="C92" s="1" t="s">
        <v>40</v>
      </c>
      <c r="D92" s="1">
        <v>124</v>
      </c>
      <c r="E92" s="1">
        <v>131.5</v>
      </c>
      <c r="F92" s="1">
        <v>122</v>
      </c>
      <c r="G92" s="1">
        <v>128.69999999999999</v>
      </c>
      <c r="H92" s="1">
        <v>113.5</v>
      </c>
      <c r="I92" s="1">
        <v>133.30000000000001</v>
      </c>
      <c r="J92" s="1">
        <v>140.80000000000001</v>
      </c>
      <c r="K92" s="1">
        <v>133.80000000000001</v>
      </c>
      <c r="L92" s="1">
        <v>94.1</v>
      </c>
      <c r="M92" s="1">
        <v>123.4</v>
      </c>
      <c r="N92" s="1">
        <v>121</v>
      </c>
      <c r="O92" s="1">
        <v>131.69999999999999</v>
      </c>
      <c r="P92" s="1">
        <v>127.5</v>
      </c>
      <c r="Q92" s="1">
        <v>129.4</v>
      </c>
      <c r="R92" s="1">
        <v>128.80000000000001</v>
      </c>
      <c r="S92" s="1">
        <v>125.5</v>
      </c>
      <c r="T92" s="1">
        <v>128.30000000000001</v>
      </c>
      <c r="U92" s="1">
        <f>U93</f>
        <v>119.9</v>
      </c>
      <c r="V92" s="1">
        <v>123</v>
      </c>
      <c r="W92" s="1">
        <v>123</v>
      </c>
      <c r="X92" s="1">
        <v>120.8</v>
      </c>
      <c r="Y92" s="1">
        <v>114.1</v>
      </c>
      <c r="Z92" s="1">
        <v>118</v>
      </c>
      <c r="AA92" s="1">
        <v>122.9</v>
      </c>
      <c r="AB92" s="1">
        <v>112.7</v>
      </c>
      <c r="AC92" s="1">
        <v>118.1</v>
      </c>
      <c r="AD92" s="1">
        <v>124.7</v>
      </c>
    </row>
    <row r="93" spans="1:30" x14ac:dyDescent="0.3">
      <c r="A93" s="1" t="s">
        <v>33</v>
      </c>
      <c r="B93" s="2">
        <v>2015</v>
      </c>
      <c r="C93" s="1" t="s">
        <v>40</v>
      </c>
      <c r="D93" s="1">
        <v>123.2</v>
      </c>
      <c r="E93" s="1">
        <v>134.30000000000001</v>
      </c>
      <c r="F93" s="1">
        <v>119.5</v>
      </c>
      <c r="G93" s="1">
        <v>127.7</v>
      </c>
      <c r="H93" s="1">
        <v>106.3</v>
      </c>
      <c r="I93" s="1">
        <v>132.80000000000001</v>
      </c>
      <c r="J93" s="1">
        <v>153.5</v>
      </c>
      <c r="K93" s="1">
        <v>149.5</v>
      </c>
      <c r="L93" s="1">
        <v>85.7</v>
      </c>
      <c r="M93" s="1">
        <v>131.5</v>
      </c>
      <c r="N93" s="1">
        <v>118.3</v>
      </c>
      <c r="O93" s="1">
        <v>131.1</v>
      </c>
      <c r="P93" s="1">
        <v>129.5</v>
      </c>
      <c r="Q93" s="1">
        <v>133.1</v>
      </c>
      <c r="R93" s="1">
        <v>123.5</v>
      </c>
      <c r="S93" s="1">
        <v>117.9</v>
      </c>
      <c r="T93" s="1">
        <v>122.7</v>
      </c>
      <c r="U93" s="1">
        <v>119.9</v>
      </c>
      <c r="V93" s="1">
        <v>115.3</v>
      </c>
      <c r="W93" s="1">
        <v>119.5</v>
      </c>
      <c r="X93" s="1">
        <v>116</v>
      </c>
      <c r="Y93" s="1">
        <v>111.5</v>
      </c>
      <c r="Z93" s="1">
        <v>116.6</v>
      </c>
      <c r="AA93" s="1">
        <v>125.4</v>
      </c>
      <c r="AB93" s="1">
        <v>111.7</v>
      </c>
      <c r="AC93" s="1">
        <v>116.3</v>
      </c>
      <c r="AD93" s="1">
        <v>122.4</v>
      </c>
    </row>
    <row r="94" spans="1:30" x14ac:dyDescent="0.3">
      <c r="A94" s="1" t="s">
        <v>34</v>
      </c>
      <c r="B94" s="2">
        <v>2015</v>
      </c>
      <c r="C94" s="1" t="s">
        <v>40</v>
      </c>
      <c r="D94" s="1">
        <v>123.7</v>
      </c>
      <c r="E94" s="1">
        <v>132.5</v>
      </c>
      <c r="F94" s="1">
        <v>121</v>
      </c>
      <c r="G94" s="1">
        <v>128.30000000000001</v>
      </c>
      <c r="H94" s="1">
        <v>110.9</v>
      </c>
      <c r="I94" s="1">
        <v>133.1</v>
      </c>
      <c r="J94" s="1">
        <v>145.1</v>
      </c>
      <c r="K94" s="1">
        <v>139.1</v>
      </c>
      <c r="L94" s="1">
        <v>91.3</v>
      </c>
      <c r="M94" s="1">
        <v>126.1</v>
      </c>
      <c r="N94" s="1">
        <v>119.9</v>
      </c>
      <c r="O94" s="1">
        <v>131.4</v>
      </c>
      <c r="P94" s="1">
        <v>128.19999999999999</v>
      </c>
      <c r="Q94" s="1">
        <v>130.4</v>
      </c>
      <c r="R94" s="1">
        <v>126.7</v>
      </c>
      <c r="S94" s="1">
        <v>122.3</v>
      </c>
      <c r="T94" s="1">
        <v>126.1</v>
      </c>
      <c r="U94" s="1">
        <v>119.9</v>
      </c>
      <c r="V94" s="1">
        <v>120.1</v>
      </c>
      <c r="W94" s="1">
        <v>121.3</v>
      </c>
      <c r="X94" s="1">
        <v>119</v>
      </c>
      <c r="Y94" s="1">
        <v>112.7</v>
      </c>
      <c r="Z94" s="1">
        <v>117.2</v>
      </c>
      <c r="AA94" s="1">
        <v>124.4</v>
      </c>
      <c r="AB94" s="1">
        <v>112.3</v>
      </c>
      <c r="AC94" s="1">
        <v>117.2</v>
      </c>
      <c r="AD94" s="1">
        <v>123.6</v>
      </c>
    </row>
    <row r="95" spans="1:30" x14ac:dyDescent="0.3">
      <c r="A95" s="1" t="s">
        <v>30</v>
      </c>
      <c r="B95" s="2">
        <v>2015</v>
      </c>
      <c r="C95" s="1" t="s">
        <v>41</v>
      </c>
      <c r="D95" s="1">
        <v>124.7</v>
      </c>
      <c r="E95" s="1">
        <v>131.30000000000001</v>
      </c>
      <c r="F95" s="1">
        <v>121.3</v>
      </c>
      <c r="G95" s="1">
        <v>128.80000000000001</v>
      </c>
      <c r="H95" s="1">
        <v>114</v>
      </c>
      <c r="I95" s="1">
        <v>134.19999999999999</v>
      </c>
      <c r="J95" s="1">
        <v>153.6</v>
      </c>
      <c r="K95" s="1">
        <v>137.9</v>
      </c>
      <c r="L95" s="1">
        <v>93.1</v>
      </c>
      <c r="M95" s="1">
        <v>123.9</v>
      </c>
      <c r="N95" s="1">
        <v>121.5</v>
      </c>
      <c r="O95" s="1">
        <v>132.5</v>
      </c>
      <c r="P95" s="1">
        <v>129.80000000000001</v>
      </c>
      <c r="Q95" s="1">
        <v>130.1</v>
      </c>
      <c r="R95" s="1">
        <v>129.5</v>
      </c>
      <c r="S95" s="1">
        <v>126.3</v>
      </c>
      <c r="T95" s="1">
        <v>129</v>
      </c>
      <c r="U95" s="1">
        <f>U96</f>
        <v>120.9</v>
      </c>
      <c r="V95" s="1">
        <v>123.8</v>
      </c>
      <c r="W95" s="1">
        <v>123.7</v>
      </c>
      <c r="X95" s="1">
        <v>121.1</v>
      </c>
      <c r="Y95" s="1">
        <v>113.6</v>
      </c>
      <c r="Z95" s="1">
        <v>118.5</v>
      </c>
      <c r="AA95" s="1">
        <v>123.6</v>
      </c>
      <c r="AB95" s="1">
        <v>112.5</v>
      </c>
      <c r="AC95" s="1">
        <v>118.2</v>
      </c>
      <c r="AD95" s="1">
        <v>126.1</v>
      </c>
    </row>
    <row r="96" spans="1:30" x14ac:dyDescent="0.3">
      <c r="A96" s="1" t="s">
        <v>33</v>
      </c>
      <c r="B96" s="2">
        <v>2015</v>
      </c>
      <c r="C96" s="1" t="s">
        <v>41</v>
      </c>
      <c r="D96" s="1">
        <v>123.1</v>
      </c>
      <c r="E96" s="1">
        <v>131.69999999999999</v>
      </c>
      <c r="F96" s="1">
        <v>118.1</v>
      </c>
      <c r="G96" s="1">
        <v>128</v>
      </c>
      <c r="H96" s="1">
        <v>106.8</v>
      </c>
      <c r="I96" s="1">
        <v>130.1</v>
      </c>
      <c r="J96" s="1">
        <v>165.5</v>
      </c>
      <c r="K96" s="1">
        <v>156</v>
      </c>
      <c r="L96" s="1">
        <v>85.3</v>
      </c>
      <c r="M96" s="1">
        <v>132.69999999999999</v>
      </c>
      <c r="N96" s="1">
        <v>118.8</v>
      </c>
      <c r="O96" s="1">
        <v>131.69999999999999</v>
      </c>
      <c r="P96" s="1">
        <v>131.1</v>
      </c>
      <c r="Q96" s="1">
        <v>134.19999999999999</v>
      </c>
      <c r="R96" s="1">
        <v>123.7</v>
      </c>
      <c r="S96" s="1">
        <v>118.2</v>
      </c>
      <c r="T96" s="1">
        <v>122.9</v>
      </c>
      <c r="U96" s="1">
        <v>120.9</v>
      </c>
      <c r="V96" s="1">
        <v>115.3</v>
      </c>
      <c r="W96" s="1">
        <v>120</v>
      </c>
      <c r="X96" s="1">
        <v>116.6</v>
      </c>
      <c r="Y96" s="1">
        <v>109.9</v>
      </c>
      <c r="Z96" s="1">
        <v>117.2</v>
      </c>
      <c r="AA96" s="1">
        <v>126.2</v>
      </c>
      <c r="AB96" s="1">
        <v>112</v>
      </c>
      <c r="AC96" s="1">
        <v>116.2</v>
      </c>
      <c r="AD96" s="1">
        <v>123.2</v>
      </c>
    </row>
    <row r="97" spans="1:30" x14ac:dyDescent="0.3">
      <c r="A97" s="1" t="s">
        <v>34</v>
      </c>
      <c r="B97" s="2">
        <v>2015</v>
      </c>
      <c r="C97" s="1" t="s">
        <v>41</v>
      </c>
      <c r="D97" s="1">
        <v>124.2</v>
      </c>
      <c r="E97" s="1">
        <v>131.4</v>
      </c>
      <c r="F97" s="1">
        <v>120.1</v>
      </c>
      <c r="G97" s="1">
        <v>128.5</v>
      </c>
      <c r="H97" s="1">
        <v>111.4</v>
      </c>
      <c r="I97" s="1">
        <v>132.30000000000001</v>
      </c>
      <c r="J97" s="1">
        <v>157.6</v>
      </c>
      <c r="K97" s="1">
        <v>144</v>
      </c>
      <c r="L97" s="1">
        <v>90.5</v>
      </c>
      <c r="M97" s="1">
        <v>126.8</v>
      </c>
      <c r="N97" s="1">
        <v>120.4</v>
      </c>
      <c r="O97" s="1">
        <v>132.1</v>
      </c>
      <c r="P97" s="1">
        <v>130.30000000000001</v>
      </c>
      <c r="Q97" s="1">
        <v>131.19999999999999</v>
      </c>
      <c r="R97" s="1">
        <v>127.2</v>
      </c>
      <c r="S97" s="1">
        <v>122.9</v>
      </c>
      <c r="T97" s="1">
        <v>126.6</v>
      </c>
      <c r="U97" s="1">
        <v>120.9</v>
      </c>
      <c r="V97" s="1">
        <v>120.6</v>
      </c>
      <c r="W97" s="1">
        <v>122</v>
      </c>
      <c r="X97" s="1">
        <v>119.4</v>
      </c>
      <c r="Y97" s="1">
        <v>111.7</v>
      </c>
      <c r="Z97" s="1">
        <v>117.8</v>
      </c>
      <c r="AA97" s="1">
        <v>125.1</v>
      </c>
      <c r="AB97" s="1">
        <v>112.3</v>
      </c>
      <c r="AC97" s="1">
        <v>117.2</v>
      </c>
      <c r="AD97" s="1">
        <v>124.8</v>
      </c>
    </row>
    <row r="98" spans="1:30" x14ac:dyDescent="0.3">
      <c r="A98" s="1" t="s">
        <v>30</v>
      </c>
      <c r="B98" s="2">
        <v>2015</v>
      </c>
      <c r="C98" s="1" t="s">
        <v>42</v>
      </c>
      <c r="D98" s="1">
        <v>125.1</v>
      </c>
      <c r="E98" s="1">
        <v>131.1</v>
      </c>
      <c r="F98" s="1">
        <v>120.7</v>
      </c>
      <c r="G98" s="1">
        <v>129.19999999999999</v>
      </c>
      <c r="H98" s="1">
        <v>114.7</v>
      </c>
      <c r="I98" s="1">
        <v>132.30000000000001</v>
      </c>
      <c r="J98" s="1">
        <v>158.9</v>
      </c>
      <c r="K98" s="1">
        <v>142.1</v>
      </c>
      <c r="L98" s="1">
        <v>92.5</v>
      </c>
      <c r="M98" s="1">
        <v>125.4</v>
      </c>
      <c r="N98" s="1">
        <v>121.9</v>
      </c>
      <c r="O98" s="1">
        <v>132.69999999999999</v>
      </c>
      <c r="P98" s="1">
        <v>131</v>
      </c>
      <c r="Q98" s="1">
        <v>131</v>
      </c>
      <c r="R98" s="1">
        <v>130.4</v>
      </c>
      <c r="S98" s="1">
        <v>126.8</v>
      </c>
      <c r="T98" s="1">
        <v>129.9</v>
      </c>
      <c r="U98" s="1">
        <f>U99</f>
        <v>121.6</v>
      </c>
      <c r="V98" s="1">
        <v>123.7</v>
      </c>
      <c r="W98" s="1">
        <v>124.5</v>
      </c>
      <c r="X98" s="1">
        <v>121.4</v>
      </c>
      <c r="Y98" s="1">
        <v>113.8</v>
      </c>
      <c r="Z98" s="1">
        <v>119.6</v>
      </c>
      <c r="AA98" s="1">
        <v>124.5</v>
      </c>
      <c r="AB98" s="1">
        <v>113.7</v>
      </c>
      <c r="AC98" s="1">
        <v>118.8</v>
      </c>
      <c r="AD98" s="1">
        <v>127</v>
      </c>
    </row>
    <row r="99" spans="1:30" x14ac:dyDescent="0.3">
      <c r="A99" s="1" t="s">
        <v>33</v>
      </c>
      <c r="B99" s="2">
        <v>2015</v>
      </c>
      <c r="C99" s="1" t="s">
        <v>42</v>
      </c>
      <c r="D99" s="1">
        <v>123.4</v>
      </c>
      <c r="E99" s="1">
        <v>129</v>
      </c>
      <c r="F99" s="1">
        <v>115.6</v>
      </c>
      <c r="G99" s="1">
        <v>128.30000000000001</v>
      </c>
      <c r="H99" s="1">
        <v>107</v>
      </c>
      <c r="I99" s="1">
        <v>124</v>
      </c>
      <c r="J99" s="1">
        <v>168.5</v>
      </c>
      <c r="K99" s="1">
        <v>165.4</v>
      </c>
      <c r="L99" s="1">
        <v>86.3</v>
      </c>
      <c r="M99" s="1">
        <v>134.4</v>
      </c>
      <c r="N99" s="1">
        <v>119.1</v>
      </c>
      <c r="O99" s="1">
        <v>132.30000000000001</v>
      </c>
      <c r="P99" s="1">
        <v>131.5</v>
      </c>
      <c r="Q99" s="1">
        <v>134.69999999999999</v>
      </c>
      <c r="R99" s="1">
        <v>124</v>
      </c>
      <c r="S99" s="1">
        <v>118.6</v>
      </c>
      <c r="T99" s="1">
        <v>123.2</v>
      </c>
      <c r="U99" s="1">
        <v>121.6</v>
      </c>
      <c r="V99" s="1">
        <v>115.1</v>
      </c>
      <c r="W99" s="1">
        <v>120.4</v>
      </c>
      <c r="X99" s="1">
        <v>117.1</v>
      </c>
      <c r="Y99" s="1">
        <v>109.1</v>
      </c>
      <c r="Z99" s="1">
        <v>117.3</v>
      </c>
      <c r="AA99" s="1">
        <v>126.5</v>
      </c>
      <c r="AB99" s="1">
        <v>112.9</v>
      </c>
      <c r="AC99" s="1">
        <v>116.2</v>
      </c>
      <c r="AD99" s="1">
        <v>123.5</v>
      </c>
    </row>
    <row r="100" spans="1:30" x14ac:dyDescent="0.3">
      <c r="A100" s="1" t="s">
        <v>34</v>
      </c>
      <c r="B100" s="2">
        <v>2015</v>
      </c>
      <c r="C100" s="1" t="s">
        <v>42</v>
      </c>
      <c r="D100" s="1">
        <v>124.6</v>
      </c>
      <c r="E100" s="1">
        <v>130.4</v>
      </c>
      <c r="F100" s="1">
        <v>118.7</v>
      </c>
      <c r="G100" s="1">
        <v>128.9</v>
      </c>
      <c r="H100" s="1">
        <v>111.9</v>
      </c>
      <c r="I100" s="1">
        <v>128.4</v>
      </c>
      <c r="J100" s="1">
        <v>162.19999999999999</v>
      </c>
      <c r="K100" s="1">
        <v>150</v>
      </c>
      <c r="L100" s="1">
        <v>90.4</v>
      </c>
      <c r="M100" s="1">
        <v>128.4</v>
      </c>
      <c r="N100" s="1">
        <v>120.7</v>
      </c>
      <c r="O100" s="1">
        <v>132.5</v>
      </c>
      <c r="P100" s="1">
        <v>131.19999999999999</v>
      </c>
      <c r="Q100" s="1">
        <v>132</v>
      </c>
      <c r="R100" s="1">
        <v>127.9</v>
      </c>
      <c r="S100" s="1">
        <v>123.4</v>
      </c>
      <c r="T100" s="1">
        <v>127.2</v>
      </c>
      <c r="U100" s="1">
        <v>121.6</v>
      </c>
      <c r="V100" s="1">
        <v>120.4</v>
      </c>
      <c r="W100" s="1">
        <v>122.6</v>
      </c>
      <c r="X100" s="1">
        <v>119.8</v>
      </c>
      <c r="Y100" s="1">
        <v>111.3</v>
      </c>
      <c r="Z100" s="1">
        <v>118.3</v>
      </c>
      <c r="AA100" s="1">
        <v>125.7</v>
      </c>
      <c r="AB100" s="1">
        <v>113.4</v>
      </c>
      <c r="AC100" s="1">
        <v>117.5</v>
      </c>
      <c r="AD100" s="1">
        <v>125.4</v>
      </c>
    </row>
    <row r="101" spans="1:30" x14ac:dyDescent="0.3">
      <c r="A101" s="1" t="s">
        <v>30</v>
      </c>
      <c r="B101" s="2">
        <v>2015</v>
      </c>
      <c r="C101" s="1" t="s">
        <v>43</v>
      </c>
      <c r="D101" s="1">
        <v>125.6</v>
      </c>
      <c r="E101" s="1">
        <v>130.4</v>
      </c>
      <c r="F101" s="1">
        <v>120.8</v>
      </c>
      <c r="G101" s="1">
        <v>129.4</v>
      </c>
      <c r="H101" s="1">
        <v>115.8</v>
      </c>
      <c r="I101" s="1">
        <v>133.19999999999999</v>
      </c>
      <c r="J101" s="1">
        <v>157.69999999999999</v>
      </c>
      <c r="K101" s="1">
        <v>154.19999999999999</v>
      </c>
      <c r="L101" s="1">
        <v>93.7</v>
      </c>
      <c r="M101" s="1">
        <v>126.6</v>
      </c>
      <c r="N101" s="1">
        <v>122.3</v>
      </c>
      <c r="O101" s="1">
        <v>133.1</v>
      </c>
      <c r="P101" s="1">
        <v>131.80000000000001</v>
      </c>
      <c r="Q101" s="1">
        <v>131.5</v>
      </c>
      <c r="R101" s="1">
        <v>131.1</v>
      </c>
      <c r="S101" s="1">
        <v>127.3</v>
      </c>
      <c r="T101" s="1">
        <v>130.6</v>
      </c>
      <c r="U101" s="1">
        <f>U102</f>
        <v>122.4</v>
      </c>
      <c r="V101" s="1">
        <v>124.4</v>
      </c>
      <c r="W101" s="1">
        <v>125.1</v>
      </c>
      <c r="X101" s="1">
        <v>122</v>
      </c>
      <c r="Y101" s="1">
        <v>113.8</v>
      </c>
      <c r="Z101" s="1">
        <v>120.1</v>
      </c>
      <c r="AA101" s="1">
        <v>125.1</v>
      </c>
      <c r="AB101" s="1">
        <v>114.2</v>
      </c>
      <c r="AC101" s="1">
        <v>119.2</v>
      </c>
      <c r="AD101" s="1">
        <v>127.7</v>
      </c>
    </row>
    <row r="102" spans="1:30" x14ac:dyDescent="0.3">
      <c r="A102" s="1" t="s">
        <v>33</v>
      </c>
      <c r="B102" s="2">
        <v>2015</v>
      </c>
      <c r="C102" s="1" t="s">
        <v>43</v>
      </c>
      <c r="D102" s="1">
        <v>123.6</v>
      </c>
      <c r="E102" s="1">
        <v>128.6</v>
      </c>
      <c r="F102" s="1">
        <v>115.9</v>
      </c>
      <c r="G102" s="1">
        <v>128.5</v>
      </c>
      <c r="H102" s="1">
        <v>109</v>
      </c>
      <c r="I102" s="1">
        <v>124.1</v>
      </c>
      <c r="J102" s="1">
        <v>165.8</v>
      </c>
      <c r="K102" s="1">
        <v>187.2</v>
      </c>
      <c r="L102" s="1">
        <v>89.4</v>
      </c>
      <c r="M102" s="1">
        <v>135.80000000000001</v>
      </c>
      <c r="N102" s="1">
        <v>119.4</v>
      </c>
      <c r="O102" s="1">
        <v>132.9</v>
      </c>
      <c r="P102" s="1">
        <v>132.6</v>
      </c>
      <c r="Q102" s="1">
        <v>135.30000000000001</v>
      </c>
      <c r="R102" s="1">
        <v>124.4</v>
      </c>
      <c r="S102" s="1">
        <v>118.8</v>
      </c>
      <c r="T102" s="1">
        <v>123.6</v>
      </c>
      <c r="U102" s="1">
        <v>122.4</v>
      </c>
      <c r="V102" s="1">
        <v>114.9</v>
      </c>
      <c r="W102" s="1">
        <v>120.7</v>
      </c>
      <c r="X102" s="1">
        <v>117.7</v>
      </c>
      <c r="Y102" s="1">
        <v>109.3</v>
      </c>
      <c r="Z102" s="1">
        <v>117.7</v>
      </c>
      <c r="AA102" s="1">
        <v>126.5</v>
      </c>
      <c r="AB102" s="1">
        <v>113.5</v>
      </c>
      <c r="AC102" s="1">
        <v>116.5</v>
      </c>
      <c r="AD102" s="1">
        <v>124.2</v>
      </c>
    </row>
    <row r="103" spans="1:30" x14ac:dyDescent="0.3">
      <c r="A103" s="1" t="s">
        <v>34</v>
      </c>
      <c r="B103" s="2">
        <v>2015</v>
      </c>
      <c r="C103" s="1" t="s">
        <v>43</v>
      </c>
      <c r="D103" s="1">
        <v>125</v>
      </c>
      <c r="E103" s="1">
        <v>129.80000000000001</v>
      </c>
      <c r="F103" s="1">
        <v>118.9</v>
      </c>
      <c r="G103" s="1">
        <v>129.1</v>
      </c>
      <c r="H103" s="1">
        <v>113.3</v>
      </c>
      <c r="I103" s="1">
        <v>129</v>
      </c>
      <c r="J103" s="1">
        <v>160.4</v>
      </c>
      <c r="K103" s="1">
        <v>165.3</v>
      </c>
      <c r="L103" s="1">
        <v>92.3</v>
      </c>
      <c r="M103" s="1">
        <v>129.69999999999999</v>
      </c>
      <c r="N103" s="1">
        <v>121.1</v>
      </c>
      <c r="O103" s="1">
        <v>133</v>
      </c>
      <c r="P103" s="1">
        <v>132.1</v>
      </c>
      <c r="Q103" s="1">
        <v>132.5</v>
      </c>
      <c r="R103" s="1">
        <v>128.5</v>
      </c>
      <c r="S103" s="1">
        <v>123.8</v>
      </c>
      <c r="T103" s="1">
        <v>127.8</v>
      </c>
      <c r="U103" s="1">
        <v>122.4</v>
      </c>
      <c r="V103" s="1">
        <v>120.8</v>
      </c>
      <c r="W103" s="1">
        <v>123</v>
      </c>
      <c r="X103" s="1">
        <v>120.4</v>
      </c>
      <c r="Y103" s="1">
        <v>111.4</v>
      </c>
      <c r="Z103" s="1">
        <v>118.7</v>
      </c>
      <c r="AA103" s="1">
        <v>125.9</v>
      </c>
      <c r="AB103" s="1">
        <v>113.9</v>
      </c>
      <c r="AC103" s="1">
        <v>117.9</v>
      </c>
      <c r="AD103" s="1">
        <v>126.1</v>
      </c>
    </row>
    <row r="104" spans="1:30" x14ac:dyDescent="0.3">
      <c r="A104" s="1" t="s">
        <v>30</v>
      </c>
      <c r="B104" s="2">
        <v>2015</v>
      </c>
      <c r="C104" s="1" t="s">
        <v>45</v>
      </c>
      <c r="D104" s="1">
        <v>126.1</v>
      </c>
      <c r="E104" s="1">
        <v>130.6</v>
      </c>
      <c r="F104" s="1">
        <v>121.7</v>
      </c>
      <c r="G104" s="1">
        <v>129.5</v>
      </c>
      <c r="H104" s="1">
        <v>117.8</v>
      </c>
      <c r="I104" s="1">
        <v>132.1</v>
      </c>
      <c r="J104" s="1">
        <v>155.19999999999999</v>
      </c>
      <c r="K104" s="1">
        <v>160.80000000000001</v>
      </c>
      <c r="L104" s="1">
        <v>94.5</v>
      </c>
      <c r="M104" s="1">
        <v>128.30000000000001</v>
      </c>
      <c r="N104" s="1">
        <v>123.1</v>
      </c>
      <c r="O104" s="1">
        <v>134.19999999999999</v>
      </c>
      <c r="P104" s="1">
        <v>132.4</v>
      </c>
      <c r="Q104" s="1">
        <v>132.19999999999999</v>
      </c>
      <c r="R104" s="1">
        <v>132.1</v>
      </c>
      <c r="S104" s="1">
        <v>128.19999999999999</v>
      </c>
      <c r="T104" s="1">
        <v>131.5</v>
      </c>
      <c r="U104" s="1">
        <f>U105</f>
        <v>122.9</v>
      </c>
      <c r="V104" s="1">
        <v>125.6</v>
      </c>
      <c r="W104" s="1">
        <v>125.6</v>
      </c>
      <c r="X104" s="1">
        <v>122.6</v>
      </c>
      <c r="Y104" s="1">
        <v>114</v>
      </c>
      <c r="Z104" s="1">
        <v>120.9</v>
      </c>
      <c r="AA104" s="1">
        <v>125.8</v>
      </c>
      <c r="AB104" s="1">
        <v>114.2</v>
      </c>
      <c r="AC104" s="1">
        <v>119.6</v>
      </c>
      <c r="AD104" s="1">
        <v>128.30000000000001</v>
      </c>
    </row>
    <row r="105" spans="1:30" x14ac:dyDescent="0.3">
      <c r="A105" s="1" t="s">
        <v>33</v>
      </c>
      <c r="B105" s="2">
        <v>2015</v>
      </c>
      <c r="C105" s="1" t="s">
        <v>45</v>
      </c>
      <c r="D105" s="1">
        <v>124</v>
      </c>
      <c r="E105" s="1">
        <v>129.80000000000001</v>
      </c>
      <c r="F105" s="1">
        <v>121.5</v>
      </c>
      <c r="G105" s="1">
        <v>128.6</v>
      </c>
      <c r="H105" s="1">
        <v>110</v>
      </c>
      <c r="I105" s="1">
        <v>123.7</v>
      </c>
      <c r="J105" s="1">
        <v>164.6</v>
      </c>
      <c r="K105" s="1">
        <v>191.6</v>
      </c>
      <c r="L105" s="1">
        <v>90.8</v>
      </c>
      <c r="M105" s="1">
        <v>137.1</v>
      </c>
      <c r="N105" s="1">
        <v>119.8</v>
      </c>
      <c r="O105" s="1">
        <v>133.69999999999999</v>
      </c>
      <c r="P105" s="1">
        <v>133.30000000000001</v>
      </c>
      <c r="Q105" s="1">
        <v>137.6</v>
      </c>
      <c r="R105" s="1">
        <v>125</v>
      </c>
      <c r="S105" s="1">
        <v>119.3</v>
      </c>
      <c r="T105" s="1">
        <v>124.2</v>
      </c>
      <c r="U105" s="1">
        <v>122.9</v>
      </c>
      <c r="V105" s="1">
        <v>115.1</v>
      </c>
      <c r="W105" s="1">
        <v>121</v>
      </c>
      <c r="X105" s="1">
        <v>118.1</v>
      </c>
      <c r="Y105" s="1">
        <v>109.3</v>
      </c>
      <c r="Z105" s="1">
        <v>117.9</v>
      </c>
      <c r="AA105" s="1">
        <v>126.6</v>
      </c>
      <c r="AB105" s="1">
        <v>113.3</v>
      </c>
      <c r="AC105" s="1">
        <v>116.6</v>
      </c>
      <c r="AD105" s="1">
        <v>124.6</v>
      </c>
    </row>
    <row r="106" spans="1:30" x14ac:dyDescent="0.3">
      <c r="A106" s="1" t="s">
        <v>34</v>
      </c>
      <c r="B106" s="2">
        <v>2015</v>
      </c>
      <c r="C106" s="1" t="s">
        <v>45</v>
      </c>
      <c r="D106" s="1">
        <v>125.4</v>
      </c>
      <c r="E106" s="1">
        <v>130.30000000000001</v>
      </c>
      <c r="F106" s="1">
        <v>121.6</v>
      </c>
      <c r="G106" s="1">
        <v>129.19999999999999</v>
      </c>
      <c r="H106" s="1">
        <v>114.9</v>
      </c>
      <c r="I106" s="1">
        <v>128.19999999999999</v>
      </c>
      <c r="J106" s="1">
        <v>158.4</v>
      </c>
      <c r="K106" s="1">
        <v>171.2</v>
      </c>
      <c r="L106" s="1">
        <v>93.3</v>
      </c>
      <c r="M106" s="1">
        <v>131.19999999999999</v>
      </c>
      <c r="N106" s="1">
        <v>121.7</v>
      </c>
      <c r="O106" s="1">
        <v>134</v>
      </c>
      <c r="P106" s="1">
        <v>132.69999999999999</v>
      </c>
      <c r="Q106" s="1">
        <v>133.6</v>
      </c>
      <c r="R106" s="1">
        <v>129.30000000000001</v>
      </c>
      <c r="S106" s="1">
        <v>124.5</v>
      </c>
      <c r="T106" s="1">
        <v>128.6</v>
      </c>
      <c r="U106" s="1">
        <v>122.9</v>
      </c>
      <c r="V106" s="1">
        <v>121.6</v>
      </c>
      <c r="W106" s="1">
        <v>123.4</v>
      </c>
      <c r="X106" s="1">
        <v>120.9</v>
      </c>
      <c r="Y106" s="1">
        <v>111.5</v>
      </c>
      <c r="Z106" s="1">
        <v>119.2</v>
      </c>
      <c r="AA106" s="1">
        <v>126.3</v>
      </c>
      <c r="AB106" s="1">
        <v>113.8</v>
      </c>
      <c r="AC106" s="1">
        <v>118.1</v>
      </c>
      <c r="AD106" s="1">
        <v>126.6</v>
      </c>
    </row>
    <row r="107" spans="1:30" x14ac:dyDescent="0.3">
      <c r="A107" s="1" t="s">
        <v>30</v>
      </c>
      <c r="B107" s="2">
        <v>2015</v>
      </c>
      <c r="C107" s="1" t="s">
        <v>46</v>
      </c>
      <c r="D107" s="1">
        <v>126.3</v>
      </c>
      <c r="E107" s="1">
        <v>131.30000000000001</v>
      </c>
      <c r="F107" s="1">
        <v>123.3</v>
      </c>
      <c r="G107" s="1">
        <v>129.80000000000001</v>
      </c>
      <c r="H107" s="1">
        <v>118.3</v>
      </c>
      <c r="I107" s="1">
        <v>131.6</v>
      </c>
      <c r="J107" s="1">
        <v>145.5</v>
      </c>
      <c r="K107" s="1">
        <v>162.1</v>
      </c>
      <c r="L107" s="1">
        <v>95.4</v>
      </c>
      <c r="M107" s="1">
        <v>128.9</v>
      </c>
      <c r="N107" s="1">
        <v>123.3</v>
      </c>
      <c r="O107" s="1">
        <v>135.1</v>
      </c>
      <c r="P107" s="1">
        <v>131.4</v>
      </c>
      <c r="Q107" s="1">
        <v>133.1</v>
      </c>
      <c r="R107" s="1">
        <v>132.5</v>
      </c>
      <c r="S107" s="1">
        <v>128.5</v>
      </c>
      <c r="T107" s="1">
        <v>131.9</v>
      </c>
      <c r="U107" s="1">
        <f>U108</f>
        <v>122.4</v>
      </c>
      <c r="V107" s="1">
        <v>125.7</v>
      </c>
      <c r="W107" s="1">
        <v>126</v>
      </c>
      <c r="X107" s="1">
        <v>123.1</v>
      </c>
      <c r="Y107" s="1">
        <v>114</v>
      </c>
      <c r="Z107" s="1">
        <v>121.6</v>
      </c>
      <c r="AA107" s="1">
        <v>125.6</v>
      </c>
      <c r="AB107" s="1">
        <v>114.1</v>
      </c>
      <c r="AC107" s="1">
        <v>119.8</v>
      </c>
      <c r="AD107" s="1">
        <v>127.9</v>
      </c>
    </row>
    <row r="108" spans="1:30" x14ac:dyDescent="0.3">
      <c r="A108" s="1" t="s">
        <v>33</v>
      </c>
      <c r="B108" s="2">
        <v>2015</v>
      </c>
      <c r="C108" s="1" t="s">
        <v>46</v>
      </c>
      <c r="D108" s="1">
        <v>124.3</v>
      </c>
      <c r="E108" s="1">
        <v>131.69999999999999</v>
      </c>
      <c r="F108" s="1">
        <v>127.1</v>
      </c>
      <c r="G108" s="1">
        <v>128.6</v>
      </c>
      <c r="H108" s="1">
        <v>110</v>
      </c>
      <c r="I108" s="1">
        <v>120.8</v>
      </c>
      <c r="J108" s="1">
        <v>149</v>
      </c>
      <c r="K108" s="1">
        <v>190.1</v>
      </c>
      <c r="L108" s="1">
        <v>92.7</v>
      </c>
      <c r="M108" s="1">
        <v>138.6</v>
      </c>
      <c r="N108" s="1">
        <v>120.2</v>
      </c>
      <c r="O108" s="1">
        <v>134.19999999999999</v>
      </c>
      <c r="P108" s="1">
        <v>131.5</v>
      </c>
      <c r="Q108" s="1">
        <v>138.19999999999999</v>
      </c>
      <c r="R108" s="1">
        <v>125.4</v>
      </c>
      <c r="S108" s="1">
        <v>119.5</v>
      </c>
      <c r="T108" s="1">
        <v>124.5</v>
      </c>
      <c r="U108" s="1">
        <v>122.4</v>
      </c>
      <c r="V108" s="1">
        <v>116</v>
      </c>
      <c r="W108" s="1">
        <v>121</v>
      </c>
      <c r="X108" s="1">
        <v>118.6</v>
      </c>
      <c r="Y108" s="1">
        <v>109.3</v>
      </c>
      <c r="Z108" s="1">
        <v>118.1</v>
      </c>
      <c r="AA108" s="1">
        <v>126.6</v>
      </c>
      <c r="AB108" s="1">
        <v>113.2</v>
      </c>
      <c r="AC108" s="1">
        <v>116.7</v>
      </c>
      <c r="AD108" s="1">
        <v>124</v>
      </c>
    </row>
    <row r="109" spans="1:30" x14ac:dyDescent="0.3">
      <c r="A109" s="1" t="s">
        <v>34</v>
      </c>
      <c r="B109" s="2">
        <v>2015</v>
      </c>
      <c r="C109" s="1" t="s">
        <v>46</v>
      </c>
      <c r="D109" s="1">
        <v>125.7</v>
      </c>
      <c r="E109" s="1">
        <v>131.4</v>
      </c>
      <c r="F109" s="1">
        <v>124.8</v>
      </c>
      <c r="G109" s="1">
        <v>129.4</v>
      </c>
      <c r="H109" s="1">
        <v>115.3</v>
      </c>
      <c r="I109" s="1">
        <v>126.6</v>
      </c>
      <c r="J109" s="1">
        <v>146.69999999999999</v>
      </c>
      <c r="K109" s="1">
        <v>171.5</v>
      </c>
      <c r="L109" s="1">
        <v>94.5</v>
      </c>
      <c r="M109" s="1">
        <v>132.1</v>
      </c>
      <c r="N109" s="1">
        <v>122</v>
      </c>
      <c r="O109" s="1">
        <v>134.69999999999999</v>
      </c>
      <c r="P109" s="1">
        <v>131.4</v>
      </c>
      <c r="Q109" s="1">
        <v>134.5</v>
      </c>
      <c r="R109" s="1">
        <v>129.69999999999999</v>
      </c>
      <c r="S109" s="1">
        <v>124.8</v>
      </c>
      <c r="T109" s="1">
        <v>129</v>
      </c>
      <c r="U109" s="1">
        <v>122.4</v>
      </c>
      <c r="V109" s="1">
        <v>122</v>
      </c>
      <c r="W109" s="1">
        <v>123.6</v>
      </c>
      <c r="X109" s="1">
        <v>121.4</v>
      </c>
      <c r="Y109" s="1">
        <v>111.5</v>
      </c>
      <c r="Z109" s="1">
        <v>119.6</v>
      </c>
      <c r="AA109" s="1">
        <v>126.2</v>
      </c>
      <c r="AB109" s="1">
        <v>113.7</v>
      </c>
      <c r="AC109" s="1">
        <v>118.3</v>
      </c>
      <c r="AD109" s="1">
        <v>126.1</v>
      </c>
    </row>
    <row r="110" spans="1:30" x14ac:dyDescent="0.3">
      <c r="A110" s="1" t="s">
        <v>30</v>
      </c>
      <c r="B110" s="2">
        <v>2016</v>
      </c>
      <c r="C110" s="1" t="s">
        <v>31</v>
      </c>
      <c r="D110" s="1">
        <v>126.8</v>
      </c>
      <c r="E110" s="1">
        <v>133.19999999999999</v>
      </c>
      <c r="F110" s="1">
        <v>126.5</v>
      </c>
      <c r="G110" s="1">
        <v>130.30000000000001</v>
      </c>
      <c r="H110" s="1">
        <v>118.9</v>
      </c>
      <c r="I110" s="1">
        <v>131.6</v>
      </c>
      <c r="J110" s="1">
        <v>140.1</v>
      </c>
      <c r="K110" s="1">
        <v>163.80000000000001</v>
      </c>
      <c r="L110" s="1">
        <v>97.7</v>
      </c>
      <c r="M110" s="1">
        <v>129.6</v>
      </c>
      <c r="N110" s="1">
        <v>124.3</v>
      </c>
      <c r="O110" s="1">
        <v>135.9</v>
      </c>
      <c r="P110" s="1">
        <v>131.4</v>
      </c>
      <c r="Q110" s="1">
        <v>133.6</v>
      </c>
      <c r="R110" s="1">
        <v>133.19999999999999</v>
      </c>
      <c r="S110" s="1">
        <v>128.9</v>
      </c>
      <c r="T110" s="1">
        <v>132.6</v>
      </c>
      <c r="U110" s="1">
        <f>U111</f>
        <v>123.4</v>
      </c>
      <c r="V110" s="1">
        <v>126.2</v>
      </c>
      <c r="W110" s="1">
        <v>126.6</v>
      </c>
      <c r="X110" s="1">
        <v>123.7</v>
      </c>
      <c r="Y110" s="1">
        <v>113.6</v>
      </c>
      <c r="Z110" s="1">
        <v>121.4</v>
      </c>
      <c r="AA110" s="1">
        <v>126.2</v>
      </c>
      <c r="AB110" s="1">
        <v>114.9</v>
      </c>
      <c r="AC110" s="1">
        <v>120.1</v>
      </c>
      <c r="AD110" s="1">
        <v>128.1</v>
      </c>
    </row>
    <row r="111" spans="1:30" x14ac:dyDescent="0.3">
      <c r="A111" s="1" t="s">
        <v>33</v>
      </c>
      <c r="B111" s="2">
        <v>2016</v>
      </c>
      <c r="C111" s="1" t="s">
        <v>31</v>
      </c>
      <c r="D111" s="1">
        <v>124.7</v>
      </c>
      <c r="E111" s="1">
        <v>135.9</v>
      </c>
      <c r="F111" s="1">
        <v>132</v>
      </c>
      <c r="G111" s="1">
        <v>129.19999999999999</v>
      </c>
      <c r="H111" s="1">
        <v>109.7</v>
      </c>
      <c r="I111" s="1">
        <v>119</v>
      </c>
      <c r="J111" s="1">
        <v>144.1</v>
      </c>
      <c r="K111" s="1">
        <v>184.2</v>
      </c>
      <c r="L111" s="1">
        <v>96.7</v>
      </c>
      <c r="M111" s="1">
        <v>139.5</v>
      </c>
      <c r="N111" s="1">
        <v>120.5</v>
      </c>
      <c r="O111" s="1">
        <v>134.69999999999999</v>
      </c>
      <c r="P111" s="1">
        <v>131.19999999999999</v>
      </c>
      <c r="Q111" s="1">
        <v>139.5</v>
      </c>
      <c r="R111" s="1">
        <v>125.8</v>
      </c>
      <c r="S111" s="1">
        <v>119.8</v>
      </c>
      <c r="T111" s="1">
        <v>124.9</v>
      </c>
      <c r="U111" s="1">
        <v>123.4</v>
      </c>
      <c r="V111" s="1">
        <v>116.9</v>
      </c>
      <c r="W111" s="1">
        <v>121.6</v>
      </c>
      <c r="X111" s="1">
        <v>119.1</v>
      </c>
      <c r="Y111" s="1">
        <v>108.9</v>
      </c>
      <c r="Z111" s="1">
        <v>118.5</v>
      </c>
      <c r="AA111" s="1">
        <v>126.4</v>
      </c>
      <c r="AB111" s="1">
        <v>114</v>
      </c>
      <c r="AC111" s="1">
        <v>116.8</v>
      </c>
      <c r="AD111" s="1">
        <v>124.2</v>
      </c>
    </row>
    <row r="112" spans="1:30" x14ac:dyDescent="0.3">
      <c r="A112" s="1" t="s">
        <v>34</v>
      </c>
      <c r="B112" s="2">
        <v>2016</v>
      </c>
      <c r="C112" s="1" t="s">
        <v>31</v>
      </c>
      <c r="D112" s="1">
        <v>126.1</v>
      </c>
      <c r="E112" s="1">
        <v>134.1</v>
      </c>
      <c r="F112" s="1">
        <v>128.6</v>
      </c>
      <c r="G112" s="1">
        <v>129.9</v>
      </c>
      <c r="H112" s="1">
        <v>115.5</v>
      </c>
      <c r="I112" s="1">
        <v>125.7</v>
      </c>
      <c r="J112" s="1">
        <v>141.5</v>
      </c>
      <c r="K112" s="1">
        <v>170.7</v>
      </c>
      <c r="L112" s="1">
        <v>97.4</v>
      </c>
      <c r="M112" s="1">
        <v>132.9</v>
      </c>
      <c r="N112" s="1">
        <v>122.7</v>
      </c>
      <c r="O112" s="1">
        <v>135.30000000000001</v>
      </c>
      <c r="P112" s="1">
        <v>131.30000000000001</v>
      </c>
      <c r="Q112" s="1">
        <v>135.19999999999999</v>
      </c>
      <c r="R112" s="1">
        <v>130.30000000000001</v>
      </c>
      <c r="S112" s="1">
        <v>125.1</v>
      </c>
      <c r="T112" s="1">
        <v>129.5</v>
      </c>
      <c r="U112" s="1">
        <v>123.4</v>
      </c>
      <c r="V112" s="1">
        <v>122.7</v>
      </c>
      <c r="W112" s="1">
        <v>124.2</v>
      </c>
      <c r="X112" s="1">
        <v>122</v>
      </c>
      <c r="Y112" s="1">
        <v>111.1</v>
      </c>
      <c r="Z112" s="1">
        <v>119.8</v>
      </c>
      <c r="AA112" s="1">
        <v>126.3</v>
      </c>
      <c r="AB112" s="1">
        <v>114.5</v>
      </c>
      <c r="AC112" s="1">
        <v>118.5</v>
      </c>
      <c r="AD112" s="1">
        <v>126.3</v>
      </c>
    </row>
    <row r="113" spans="1:30" x14ac:dyDescent="0.3">
      <c r="A113" s="1" t="s">
        <v>30</v>
      </c>
      <c r="B113" s="2">
        <v>2016</v>
      </c>
      <c r="C113" s="1" t="s">
        <v>35</v>
      </c>
      <c r="D113" s="1">
        <v>127.1</v>
      </c>
      <c r="E113" s="1">
        <v>133.69999999999999</v>
      </c>
      <c r="F113" s="1">
        <v>127.7</v>
      </c>
      <c r="G113" s="1">
        <v>130.69999999999999</v>
      </c>
      <c r="H113" s="1">
        <v>118.5</v>
      </c>
      <c r="I113" s="1">
        <v>130.4</v>
      </c>
      <c r="J113" s="1">
        <v>130.9</v>
      </c>
      <c r="K113" s="1">
        <v>162.80000000000001</v>
      </c>
      <c r="L113" s="1">
        <v>98.7</v>
      </c>
      <c r="M113" s="1">
        <v>130.6</v>
      </c>
      <c r="N113" s="1">
        <v>124.8</v>
      </c>
      <c r="O113" s="1">
        <v>136.4</v>
      </c>
      <c r="P113" s="1">
        <v>130.30000000000001</v>
      </c>
      <c r="Q113" s="1">
        <v>134.4</v>
      </c>
      <c r="R113" s="1">
        <v>133.9</v>
      </c>
      <c r="S113" s="1">
        <v>129.80000000000001</v>
      </c>
      <c r="T113" s="1">
        <v>133.4</v>
      </c>
      <c r="U113" s="1">
        <f>U114</f>
        <v>124.4</v>
      </c>
      <c r="V113" s="1">
        <v>127.5</v>
      </c>
      <c r="W113" s="1">
        <v>127.1</v>
      </c>
      <c r="X113" s="1">
        <v>124.3</v>
      </c>
      <c r="Y113" s="1">
        <v>113.9</v>
      </c>
      <c r="Z113" s="1">
        <v>122.3</v>
      </c>
      <c r="AA113" s="1">
        <v>127.1</v>
      </c>
      <c r="AB113" s="1">
        <v>116.8</v>
      </c>
      <c r="AC113" s="1">
        <v>120.9</v>
      </c>
      <c r="AD113" s="1">
        <v>127.9</v>
      </c>
    </row>
    <row r="114" spans="1:30" x14ac:dyDescent="0.3">
      <c r="A114" s="1" t="s">
        <v>33</v>
      </c>
      <c r="B114" s="2">
        <v>2016</v>
      </c>
      <c r="C114" s="1" t="s">
        <v>35</v>
      </c>
      <c r="D114" s="1">
        <v>124.8</v>
      </c>
      <c r="E114" s="1">
        <v>135.1</v>
      </c>
      <c r="F114" s="1">
        <v>130.30000000000001</v>
      </c>
      <c r="G114" s="1">
        <v>129.6</v>
      </c>
      <c r="H114" s="1">
        <v>108.4</v>
      </c>
      <c r="I114" s="1">
        <v>118.6</v>
      </c>
      <c r="J114" s="1">
        <v>129.19999999999999</v>
      </c>
      <c r="K114" s="1">
        <v>176.4</v>
      </c>
      <c r="L114" s="1">
        <v>99.1</v>
      </c>
      <c r="M114" s="1">
        <v>139.69999999999999</v>
      </c>
      <c r="N114" s="1">
        <v>120.6</v>
      </c>
      <c r="O114" s="1">
        <v>135.19999999999999</v>
      </c>
      <c r="P114" s="1">
        <v>129.1</v>
      </c>
      <c r="Q114" s="1">
        <v>140</v>
      </c>
      <c r="R114" s="1">
        <v>126.2</v>
      </c>
      <c r="S114" s="1">
        <v>120.1</v>
      </c>
      <c r="T114" s="1">
        <v>125.3</v>
      </c>
      <c r="U114" s="1">
        <v>124.4</v>
      </c>
      <c r="V114" s="1">
        <v>116</v>
      </c>
      <c r="W114" s="1">
        <v>121.8</v>
      </c>
      <c r="X114" s="1">
        <v>119.5</v>
      </c>
      <c r="Y114" s="1">
        <v>109.1</v>
      </c>
      <c r="Z114" s="1">
        <v>118.8</v>
      </c>
      <c r="AA114" s="1">
        <v>126.3</v>
      </c>
      <c r="AB114" s="1">
        <v>116.2</v>
      </c>
      <c r="AC114" s="1">
        <v>117.2</v>
      </c>
      <c r="AD114" s="1">
        <v>123.8</v>
      </c>
    </row>
    <row r="115" spans="1:30" x14ac:dyDescent="0.3">
      <c r="A115" s="1" t="s">
        <v>34</v>
      </c>
      <c r="B115" s="2">
        <v>2016</v>
      </c>
      <c r="C115" s="1" t="s">
        <v>35</v>
      </c>
      <c r="D115" s="1">
        <v>126.4</v>
      </c>
      <c r="E115" s="1">
        <v>134.19999999999999</v>
      </c>
      <c r="F115" s="1">
        <v>128.69999999999999</v>
      </c>
      <c r="G115" s="1">
        <v>130.30000000000001</v>
      </c>
      <c r="H115" s="1">
        <v>114.8</v>
      </c>
      <c r="I115" s="1">
        <v>124.9</v>
      </c>
      <c r="J115" s="1">
        <v>130.30000000000001</v>
      </c>
      <c r="K115" s="1">
        <v>167.4</v>
      </c>
      <c r="L115" s="1">
        <v>98.8</v>
      </c>
      <c r="M115" s="1">
        <v>133.6</v>
      </c>
      <c r="N115" s="1">
        <v>123</v>
      </c>
      <c r="O115" s="1">
        <v>135.80000000000001</v>
      </c>
      <c r="P115" s="1">
        <v>129.9</v>
      </c>
      <c r="Q115" s="1">
        <v>135.9</v>
      </c>
      <c r="R115" s="1">
        <v>130.9</v>
      </c>
      <c r="S115" s="1">
        <v>125.8</v>
      </c>
      <c r="T115" s="1">
        <v>130.19999999999999</v>
      </c>
      <c r="U115" s="1">
        <v>124.4</v>
      </c>
      <c r="V115" s="1">
        <v>123.1</v>
      </c>
      <c r="W115" s="1">
        <v>124.6</v>
      </c>
      <c r="X115" s="1">
        <v>122.5</v>
      </c>
      <c r="Y115" s="1">
        <v>111.4</v>
      </c>
      <c r="Z115" s="1">
        <v>120.3</v>
      </c>
      <c r="AA115" s="1">
        <v>126.6</v>
      </c>
      <c r="AB115" s="1">
        <v>116.6</v>
      </c>
      <c r="AC115" s="1">
        <v>119.1</v>
      </c>
      <c r="AD115" s="1">
        <v>126</v>
      </c>
    </row>
    <row r="116" spans="1:30" x14ac:dyDescent="0.3">
      <c r="A116" s="1" t="s">
        <v>30</v>
      </c>
      <c r="B116" s="2">
        <v>2016</v>
      </c>
      <c r="C116" s="1" t="s">
        <v>36</v>
      </c>
      <c r="D116" s="1">
        <v>127.3</v>
      </c>
      <c r="E116" s="1">
        <v>134.4</v>
      </c>
      <c r="F116" s="1">
        <v>125.1</v>
      </c>
      <c r="G116" s="1">
        <v>130.5</v>
      </c>
      <c r="H116" s="1">
        <v>118.3</v>
      </c>
      <c r="I116" s="1">
        <v>131.69999999999999</v>
      </c>
      <c r="J116" s="1">
        <v>130.69999999999999</v>
      </c>
      <c r="K116" s="1">
        <v>161.19999999999999</v>
      </c>
      <c r="L116" s="1">
        <v>100.4</v>
      </c>
      <c r="M116" s="1">
        <v>130.80000000000001</v>
      </c>
      <c r="N116" s="1">
        <v>124.9</v>
      </c>
      <c r="O116" s="1">
        <v>137</v>
      </c>
      <c r="P116" s="1">
        <v>130.4</v>
      </c>
      <c r="Q116" s="1">
        <v>135</v>
      </c>
      <c r="R116" s="1">
        <v>134.4</v>
      </c>
      <c r="S116" s="1">
        <v>130.19999999999999</v>
      </c>
      <c r="T116" s="1">
        <v>133.80000000000001</v>
      </c>
      <c r="U116" s="1">
        <f>U117</f>
        <v>124.9</v>
      </c>
      <c r="V116" s="1">
        <v>127</v>
      </c>
      <c r="W116" s="1">
        <v>127.7</v>
      </c>
      <c r="X116" s="1">
        <v>124.8</v>
      </c>
      <c r="Y116" s="1">
        <v>113.6</v>
      </c>
      <c r="Z116" s="1">
        <v>122.5</v>
      </c>
      <c r="AA116" s="1">
        <v>127.5</v>
      </c>
      <c r="AB116" s="1">
        <v>117.4</v>
      </c>
      <c r="AC116" s="1">
        <v>121.1</v>
      </c>
      <c r="AD116" s="1">
        <v>128</v>
      </c>
    </row>
    <row r="117" spans="1:30" x14ac:dyDescent="0.3">
      <c r="A117" s="1" t="s">
        <v>33</v>
      </c>
      <c r="B117" s="2">
        <v>2016</v>
      </c>
      <c r="C117" s="1" t="s">
        <v>36</v>
      </c>
      <c r="D117" s="1">
        <v>124.8</v>
      </c>
      <c r="E117" s="1">
        <v>136.30000000000001</v>
      </c>
      <c r="F117" s="1">
        <v>123.7</v>
      </c>
      <c r="G117" s="1">
        <v>129.69999999999999</v>
      </c>
      <c r="H117" s="1">
        <v>107.9</v>
      </c>
      <c r="I117" s="1">
        <v>119.9</v>
      </c>
      <c r="J117" s="1">
        <v>128.1</v>
      </c>
      <c r="K117" s="1">
        <v>170.3</v>
      </c>
      <c r="L117" s="1">
        <v>101.8</v>
      </c>
      <c r="M117" s="1">
        <v>140.1</v>
      </c>
      <c r="N117" s="1">
        <v>120.7</v>
      </c>
      <c r="O117" s="1">
        <v>135.4</v>
      </c>
      <c r="P117" s="1">
        <v>128.9</v>
      </c>
      <c r="Q117" s="1">
        <v>140.6</v>
      </c>
      <c r="R117" s="1">
        <v>126.4</v>
      </c>
      <c r="S117" s="1">
        <v>120.3</v>
      </c>
      <c r="T117" s="1">
        <v>125.5</v>
      </c>
      <c r="U117" s="1">
        <v>124.9</v>
      </c>
      <c r="V117" s="1">
        <v>114.8</v>
      </c>
      <c r="W117" s="1">
        <v>122.3</v>
      </c>
      <c r="X117" s="1">
        <v>119.7</v>
      </c>
      <c r="Y117" s="1">
        <v>108.5</v>
      </c>
      <c r="Z117" s="1">
        <v>119.1</v>
      </c>
      <c r="AA117" s="1">
        <v>126.4</v>
      </c>
      <c r="AB117" s="1">
        <v>117.1</v>
      </c>
      <c r="AC117" s="1">
        <v>117.3</v>
      </c>
      <c r="AD117" s="1">
        <v>123.8</v>
      </c>
    </row>
    <row r="118" spans="1:30" x14ac:dyDescent="0.3">
      <c r="A118" s="1" t="s">
        <v>34</v>
      </c>
      <c r="B118" s="2">
        <v>2016</v>
      </c>
      <c r="C118" s="1" t="s">
        <v>36</v>
      </c>
      <c r="D118" s="1">
        <v>126.5</v>
      </c>
      <c r="E118" s="1">
        <v>135.1</v>
      </c>
      <c r="F118" s="1">
        <v>124.6</v>
      </c>
      <c r="G118" s="1">
        <v>130.19999999999999</v>
      </c>
      <c r="H118" s="1">
        <v>114.5</v>
      </c>
      <c r="I118" s="1">
        <v>126.2</v>
      </c>
      <c r="J118" s="1">
        <v>129.80000000000001</v>
      </c>
      <c r="K118" s="1">
        <v>164.3</v>
      </c>
      <c r="L118" s="1">
        <v>100.9</v>
      </c>
      <c r="M118" s="1">
        <v>133.9</v>
      </c>
      <c r="N118" s="1">
        <v>123.1</v>
      </c>
      <c r="O118" s="1">
        <v>136.30000000000001</v>
      </c>
      <c r="P118" s="1">
        <v>129.80000000000001</v>
      </c>
      <c r="Q118" s="1">
        <v>136.5</v>
      </c>
      <c r="R118" s="1">
        <v>131.30000000000001</v>
      </c>
      <c r="S118" s="1">
        <v>126.1</v>
      </c>
      <c r="T118" s="1">
        <v>130.5</v>
      </c>
      <c r="U118" s="1">
        <v>124.9</v>
      </c>
      <c r="V118" s="1">
        <v>122.4</v>
      </c>
      <c r="W118" s="1">
        <v>125.1</v>
      </c>
      <c r="X118" s="1">
        <v>122.9</v>
      </c>
      <c r="Y118" s="1">
        <v>110.9</v>
      </c>
      <c r="Z118" s="1">
        <v>120.6</v>
      </c>
      <c r="AA118" s="1">
        <v>126.9</v>
      </c>
      <c r="AB118" s="1">
        <v>117.3</v>
      </c>
      <c r="AC118" s="1">
        <v>119.3</v>
      </c>
      <c r="AD118" s="1">
        <v>126</v>
      </c>
    </row>
    <row r="119" spans="1:30" x14ac:dyDescent="0.3">
      <c r="A119" s="1" t="s">
        <v>30</v>
      </c>
      <c r="B119" s="2">
        <v>2016</v>
      </c>
      <c r="C119" s="1" t="s">
        <v>37</v>
      </c>
      <c r="D119" s="1">
        <v>127.4</v>
      </c>
      <c r="E119" s="1">
        <v>135.4</v>
      </c>
      <c r="F119" s="1">
        <v>123.4</v>
      </c>
      <c r="G119" s="1">
        <v>131.30000000000001</v>
      </c>
      <c r="H119" s="1">
        <v>118.2</v>
      </c>
      <c r="I119" s="1">
        <v>138.1</v>
      </c>
      <c r="J119" s="1">
        <v>134.1</v>
      </c>
      <c r="K119" s="1">
        <v>162.69999999999999</v>
      </c>
      <c r="L119" s="1">
        <v>105</v>
      </c>
      <c r="M119" s="1">
        <v>131.4</v>
      </c>
      <c r="N119" s="1">
        <v>125.4</v>
      </c>
      <c r="O119" s="1">
        <v>137.4</v>
      </c>
      <c r="P119" s="1">
        <v>131.80000000000001</v>
      </c>
      <c r="Q119" s="1">
        <v>135.5</v>
      </c>
      <c r="R119" s="1">
        <v>135</v>
      </c>
      <c r="S119" s="1">
        <v>130.6</v>
      </c>
      <c r="T119" s="1">
        <v>134.4</v>
      </c>
      <c r="U119" s="1">
        <f>U120</f>
        <v>125.6</v>
      </c>
      <c r="V119" s="1">
        <v>127</v>
      </c>
      <c r="W119" s="1">
        <v>128</v>
      </c>
      <c r="X119" s="1">
        <v>125.2</v>
      </c>
      <c r="Y119" s="1">
        <v>114.4</v>
      </c>
      <c r="Z119" s="1">
        <v>123.2</v>
      </c>
      <c r="AA119" s="1">
        <v>127.9</v>
      </c>
      <c r="AB119" s="1">
        <v>118.4</v>
      </c>
      <c r="AC119" s="1">
        <v>121.7</v>
      </c>
      <c r="AD119" s="1">
        <v>129</v>
      </c>
    </row>
    <row r="120" spans="1:30" x14ac:dyDescent="0.3">
      <c r="A120" s="1" t="s">
        <v>33</v>
      </c>
      <c r="B120" s="2">
        <v>2016</v>
      </c>
      <c r="C120" s="1" t="s">
        <v>37</v>
      </c>
      <c r="D120" s="1">
        <v>124.9</v>
      </c>
      <c r="E120" s="1">
        <v>139.30000000000001</v>
      </c>
      <c r="F120" s="1">
        <v>119.9</v>
      </c>
      <c r="G120" s="1">
        <v>130.19999999999999</v>
      </c>
      <c r="H120" s="1">
        <v>108.9</v>
      </c>
      <c r="I120" s="1">
        <v>131.1</v>
      </c>
      <c r="J120" s="1">
        <v>136.80000000000001</v>
      </c>
      <c r="K120" s="1">
        <v>176.9</v>
      </c>
      <c r="L120" s="1">
        <v>109.1</v>
      </c>
      <c r="M120" s="1">
        <v>140.4</v>
      </c>
      <c r="N120" s="1">
        <v>121.1</v>
      </c>
      <c r="O120" s="1">
        <v>135.9</v>
      </c>
      <c r="P120" s="1">
        <v>131.80000000000001</v>
      </c>
      <c r="Q120" s="1">
        <v>141.5</v>
      </c>
      <c r="R120" s="1">
        <v>126.8</v>
      </c>
      <c r="S120" s="1">
        <v>120.5</v>
      </c>
      <c r="T120" s="1">
        <v>125.8</v>
      </c>
      <c r="U120" s="1">
        <v>125.6</v>
      </c>
      <c r="V120" s="1">
        <v>114.6</v>
      </c>
      <c r="W120" s="1">
        <v>122.8</v>
      </c>
      <c r="X120" s="1">
        <v>120</v>
      </c>
      <c r="Y120" s="1">
        <v>110</v>
      </c>
      <c r="Z120" s="1">
        <v>119.5</v>
      </c>
      <c r="AA120" s="1">
        <v>127.6</v>
      </c>
      <c r="AB120" s="1">
        <v>117.6</v>
      </c>
      <c r="AC120" s="1">
        <v>118.2</v>
      </c>
      <c r="AD120" s="1">
        <v>125.3</v>
      </c>
    </row>
    <row r="121" spans="1:30" x14ac:dyDescent="0.3">
      <c r="A121" s="1" t="s">
        <v>34</v>
      </c>
      <c r="B121" s="2">
        <v>2016</v>
      </c>
      <c r="C121" s="1" t="s">
        <v>37</v>
      </c>
      <c r="D121" s="1">
        <v>126.6</v>
      </c>
      <c r="E121" s="1">
        <v>136.80000000000001</v>
      </c>
      <c r="F121" s="1">
        <v>122</v>
      </c>
      <c r="G121" s="1">
        <v>130.9</v>
      </c>
      <c r="H121" s="1">
        <v>114.8</v>
      </c>
      <c r="I121" s="1">
        <v>134.80000000000001</v>
      </c>
      <c r="J121" s="1">
        <v>135</v>
      </c>
      <c r="K121" s="1">
        <v>167.5</v>
      </c>
      <c r="L121" s="1">
        <v>106.4</v>
      </c>
      <c r="M121" s="1">
        <v>134.4</v>
      </c>
      <c r="N121" s="1">
        <v>123.6</v>
      </c>
      <c r="O121" s="1">
        <v>136.69999999999999</v>
      </c>
      <c r="P121" s="1">
        <v>131.80000000000001</v>
      </c>
      <c r="Q121" s="1">
        <v>137.1</v>
      </c>
      <c r="R121" s="1">
        <v>131.80000000000001</v>
      </c>
      <c r="S121" s="1">
        <v>126.4</v>
      </c>
      <c r="T121" s="1">
        <v>131</v>
      </c>
      <c r="U121" s="1">
        <v>125.6</v>
      </c>
      <c r="V121" s="1">
        <v>122.3</v>
      </c>
      <c r="W121" s="1">
        <v>125.5</v>
      </c>
      <c r="X121" s="1">
        <v>123.2</v>
      </c>
      <c r="Y121" s="1">
        <v>112.1</v>
      </c>
      <c r="Z121" s="1">
        <v>121.1</v>
      </c>
      <c r="AA121" s="1">
        <v>127.7</v>
      </c>
      <c r="AB121" s="1">
        <v>118.1</v>
      </c>
      <c r="AC121" s="1">
        <v>120</v>
      </c>
      <c r="AD121" s="1">
        <v>127.3</v>
      </c>
    </row>
    <row r="122" spans="1:30" x14ac:dyDescent="0.3">
      <c r="A122" s="1" t="s">
        <v>30</v>
      </c>
      <c r="B122" s="2">
        <v>2016</v>
      </c>
      <c r="C122" s="1" t="s">
        <v>38</v>
      </c>
      <c r="D122" s="1">
        <v>127.6</v>
      </c>
      <c r="E122" s="1">
        <v>137.5</v>
      </c>
      <c r="F122" s="1">
        <v>124.4</v>
      </c>
      <c r="G122" s="1">
        <v>132.4</v>
      </c>
      <c r="H122" s="1">
        <v>118.2</v>
      </c>
      <c r="I122" s="1">
        <v>138.1</v>
      </c>
      <c r="J122" s="1">
        <v>141.80000000000001</v>
      </c>
      <c r="K122" s="1">
        <v>166</v>
      </c>
      <c r="L122" s="1">
        <v>107.5</v>
      </c>
      <c r="M122" s="1">
        <v>132.19999999999999</v>
      </c>
      <c r="N122" s="1">
        <v>126.1</v>
      </c>
      <c r="O122" s="1">
        <v>138.30000000000001</v>
      </c>
      <c r="P122" s="1">
        <v>133.6</v>
      </c>
      <c r="Q122" s="1">
        <v>136</v>
      </c>
      <c r="R122" s="1">
        <v>135.4</v>
      </c>
      <c r="S122" s="1">
        <v>131.1</v>
      </c>
      <c r="T122" s="1">
        <v>134.80000000000001</v>
      </c>
      <c r="U122" s="1">
        <f>U123</f>
        <v>126</v>
      </c>
      <c r="V122" s="1">
        <v>127.4</v>
      </c>
      <c r="W122" s="1">
        <v>128.5</v>
      </c>
      <c r="X122" s="1">
        <v>125.8</v>
      </c>
      <c r="Y122" s="1">
        <v>115.1</v>
      </c>
      <c r="Z122" s="1">
        <v>123.6</v>
      </c>
      <c r="AA122" s="1">
        <v>129.1</v>
      </c>
      <c r="AB122" s="1">
        <v>119.7</v>
      </c>
      <c r="AC122" s="1">
        <v>122.5</v>
      </c>
      <c r="AD122" s="1">
        <v>130.30000000000001</v>
      </c>
    </row>
    <row r="123" spans="1:30" x14ac:dyDescent="0.3">
      <c r="A123" s="1" t="s">
        <v>33</v>
      </c>
      <c r="B123" s="2">
        <v>2016</v>
      </c>
      <c r="C123" s="1" t="s">
        <v>38</v>
      </c>
      <c r="D123" s="1">
        <v>125</v>
      </c>
      <c r="E123" s="1">
        <v>142.1</v>
      </c>
      <c r="F123" s="1">
        <v>127</v>
      </c>
      <c r="G123" s="1">
        <v>130.4</v>
      </c>
      <c r="H123" s="1">
        <v>109.6</v>
      </c>
      <c r="I123" s="1">
        <v>133.5</v>
      </c>
      <c r="J123" s="1">
        <v>151.4</v>
      </c>
      <c r="K123" s="1">
        <v>182.8</v>
      </c>
      <c r="L123" s="1">
        <v>111.1</v>
      </c>
      <c r="M123" s="1">
        <v>141.5</v>
      </c>
      <c r="N123" s="1">
        <v>121.5</v>
      </c>
      <c r="O123" s="1">
        <v>136.30000000000001</v>
      </c>
      <c r="P123" s="1">
        <v>134.6</v>
      </c>
      <c r="Q123" s="1">
        <v>142.19999999999999</v>
      </c>
      <c r="R123" s="1">
        <v>127.2</v>
      </c>
      <c r="S123" s="1">
        <v>120.7</v>
      </c>
      <c r="T123" s="1">
        <v>126.2</v>
      </c>
      <c r="U123" s="1">
        <v>126</v>
      </c>
      <c r="V123" s="1">
        <v>115</v>
      </c>
      <c r="W123" s="1">
        <v>123.2</v>
      </c>
      <c r="X123" s="1">
        <v>120.3</v>
      </c>
      <c r="Y123" s="1">
        <v>110.7</v>
      </c>
      <c r="Z123" s="1">
        <v>119.8</v>
      </c>
      <c r="AA123" s="1">
        <v>128</v>
      </c>
      <c r="AB123" s="1">
        <v>118.5</v>
      </c>
      <c r="AC123" s="1">
        <v>118.7</v>
      </c>
      <c r="AD123" s="1">
        <v>126.6</v>
      </c>
    </row>
    <row r="124" spans="1:30" x14ac:dyDescent="0.3">
      <c r="A124" s="1" t="s">
        <v>34</v>
      </c>
      <c r="B124" s="2">
        <v>2016</v>
      </c>
      <c r="C124" s="1" t="s">
        <v>38</v>
      </c>
      <c r="D124" s="1">
        <v>126.8</v>
      </c>
      <c r="E124" s="1">
        <v>139.1</v>
      </c>
      <c r="F124" s="1">
        <v>125.4</v>
      </c>
      <c r="G124" s="1">
        <v>131.69999999999999</v>
      </c>
      <c r="H124" s="1">
        <v>115</v>
      </c>
      <c r="I124" s="1">
        <v>136</v>
      </c>
      <c r="J124" s="1">
        <v>145.1</v>
      </c>
      <c r="K124" s="1">
        <v>171.7</v>
      </c>
      <c r="L124" s="1">
        <v>108.7</v>
      </c>
      <c r="M124" s="1">
        <v>135.30000000000001</v>
      </c>
      <c r="N124" s="1">
        <v>124.2</v>
      </c>
      <c r="O124" s="1">
        <v>137.4</v>
      </c>
      <c r="P124" s="1">
        <v>134</v>
      </c>
      <c r="Q124" s="1">
        <v>137.69999999999999</v>
      </c>
      <c r="R124" s="1">
        <v>132.19999999999999</v>
      </c>
      <c r="S124" s="1">
        <v>126.8</v>
      </c>
      <c r="T124" s="1">
        <v>131.4</v>
      </c>
      <c r="U124" s="1">
        <v>126</v>
      </c>
      <c r="V124" s="1">
        <v>122.7</v>
      </c>
      <c r="W124" s="1">
        <v>126</v>
      </c>
      <c r="X124" s="1">
        <v>123.7</v>
      </c>
      <c r="Y124" s="1">
        <v>112.8</v>
      </c>
      <c r="Z124" s="1">
        <v>121.5</v>
      </c>
      <c r="AA124" s="1">
        <v>128.5</v>
      </c>
      <c r="AB124" s="1">
        <v>119.2</v>
      </c>
      <c r="AC124" s="1">
        <v>120.7</v>
      </c>
      <c r="AD124" s="1">
        <v>128.6</v>
      </c>
    </row>
    <row r="125" spans="1:30" x14ac:dyDescent="0.3">
      <c r="A125" s="1" t="s">
        <v>30</v>
      </c>
      <c r="B125" s="2">
        <v>2016</v>
      </c>
      <c r="C125" s="1" t="s">
        <v>39</v>
      </c>
      <c r="D125" s="1">
        <v>128.6</v>
      </c>
      <c r="E125" s="1">
        <v>138.6</v>
      </c>
      <c r="F125" s="1">
        <v>126.6</v>
      </c>
      <c r="G125" s="1">
        <v>133.6</v>
      </c>
      <c r="H125" s="1">
        <v>118.6</v>
      </c>
      <c r="I125" s="1">
        <v>137.4</v>
      </c>
      <c r="J125" s="1">
        <v>152.5</v>
      </c>
      <c r="K125" s="1">
        <v>169.2</v>
      </c>
      <c r="L125" s="1">
        <v>108.8</v>
      </c>
      <c r="M125" s="1">
        <v>133.1</v>
      </c>
      <c r="N125" s="1">
        <v>126.4</v>
      </c>
      <c r="O125" s="1">
        <v>139.19999999999999</v>
      </c>
      <c r="P125" s="1">
        <v>136</v>
      </c>
      <c r="Q125" s="1">
        <v>137.19999999999999</v>
      </c>
      <c r="R125" s="1">
        <v>136.30000000000001</v>
      </c>
      <c r="S125" s="1">
        <v>131.6</v>
      </c>
      <c r="T125" s="1">
        <v>135.6</v>
      </c>
      <c r="U125" s="1">
        <f>U126</f>
        <v>125.5</v>
      </c>
      <c r="V125" s="1">
        <v>128</v>
      </c>
      <c r="W125" s="1">
        <v>129.30000000000001</v>
      </c>
      <c r="X125" s="1">
        <v>126.2</v>
      </c>
      <c r="Y125" s="1">
        <v>116.3</v>
      </c>
      <c r="Z125" s="1">
        <v>124.1</v>
      </c>
      <c r="AA125" s="1">
        <v>130.19999999999999</v>
      </c>
      <c r="AB125" s="1">
        <v>119.9</v>
      </c>
      <c r="AC125" s="1">
        <v>123.3</v>
      </c>
      <c r="AD125" s="1">
        <v>131.9</v>
      </c>
    </row>
    <row r="126" spans="1:30" x14ac:dyDescent="0.3">
      <c r="A126" s="1" t="s">
        <v>33</v>
      </c>
      <c r="B126" s="2">
        <v>2016</v>
      </c>
      <c r="C126" s="1" t="s">
        <v>39</v>
      </c>
      <c r="D126" s="1">
        <v>125.9</v>
      </c>
      <c r="E126" s="1">
        <v>143.9</v>
      </c>
      <c r="F126" s="1">
        <v>130.9</v>
      </c>
      <c r="G126" s="1">
        <v>131</v>
      </c>
      <c r="H126" s="1">
        <v>110.2</v>
      </c>
      <c r="I126" s="1">
        <v>135.5</v>
      </c>
      <c r="J126" s="1">
        <v>173.7</v>
      </c>
      <c r="K126" s="1">
        <v>184.4</v>
      </c>
      <c r="L126" s="1">
        <v>112</v>
      </c>
      <c r="M126" s="1">
        <v>142.80000000000001</v>
      </c>
      <c r="N126" s="1">
        <v>121.6</v>
      </c>
      <c r="O126" s="1">
        <v>136.9</v>
      </c>
      <c r="P126" s="1">
        <v>138.19999999999999</v>
      </c>
      <c r="Q126" s="1">
        <v>142.69999999999999</v>
      </c>
      <c r="R126" s="1">
        <v>127.6</v>
      </c>
      <c r="S126" s="1">
        <v>121.1</v>
      </c>
      <c r="T126" s="1">
        <v>126.6</v>
      </c>
      <c r="U126" s="1">
        <v>125.5</v>
      </c>
      <c r="V126" s="1">
        <v>115.5</v>
      </c>
      <c r="W126" s="1">
        <v>123.2</v>
      </c>
      <c r="X126" s="1">
        <v>120.6</v>
      </c>
      <c r="Y126" s="1">
        <v>112.3</v>
      </c>
      <c r="Z126" s="1">
        <v>119.9</v>
      </c>
      <c r="AA126" s="1">
        <v>129.30000000000001</v>
      </c>
      <c r="AB126" s="1">
        <v>118.8</v>
      </c>
      <c r="AC126" s="1">
        <v>119.6</v>
      </c>
      <c r="AD126" s="1">
        <v>128.1</v>
      </c>
    </row>
    <row r="127" spans="1:30" x14ac:dyDescent="0.3">
      <c r="A127" s="1" t="s">
        <v>34</v>
      </c>
      <c r="B127" s="2">
        <v>2016</v>
      </c>
      <c r="C127" s="1" t="s">
        <v>39</v>
      </c>
      <c r="D127" s="1">
        <v>127.7</v>
      </c>
      <c r="E127" s="1">
        <v>140.5</v>
      </c>
      <c r="F127" s="1">
        <v>128.30000000000001</v>
      </c>
      <c r="G127" s="1">
        <v>132.6</v>
      </c>
      <c r="H127" s="1">
        <v>115.5</v>
      </c>
      <c r="I127" s="1">
        <v>136.5</v>
      </c>
      <c r="J127" s="1">
        <v>159.69999999999999</v>
      </c>
      <c r="K127" s="1">
        <v>174.3</v>
      </c>
      <c r="L127" s="1">
        <v>109.9</v>
      </c>
      <c r="M127" s="1">
        <v>136.30000000000001</v>
      </c>
      <c r="N127" s="1">
        <v>124.4</v>
      </c>
      <c r="O127" s="1">
        <v>138.1</v>
      </c>
      <c r="P127" s="1">
        <v>136.80000000000001</v>
      </c>
      <c r="Q127" s="1">
        <v>138.69999999999999</v>
      </c>
      <c r="R127" s="1">
        <v>132.9</v>
      </c>
      <c r="S127" s="1">
        <v>127.2</v>
      </c>
      <c r="T127" s="1">
        <v>132</v>
      </c>
      <c r="U127" s="1">
        <v>125.5</v>
      </c>
      <c r="V127" s="1">
        <v>123.3</v>
      </c>
      <c r="W127" s="1">
        <v>126.4</v>
      </c>
      <c r="X127" s="1">
        <v>124.1</v>
      </c>
      <c r="Y127" s="1">
        <v>114.2</v>
      </c>
      <c r="Z127" s="1">
        <v>121.7</v>
      </c>
      <c r="AA127" s="1">
        <v>129.69999999999999</v>
      </c>
      <c r="AB127" s="1">
        <v>119.4</v>
      </c>
      <c r="AC127" s="1">
        <v>121.5</v>
      </c>
      <c r="AD127" s="1">
        <v>130.1</v>
      </c>
    </row>
    <row r="128" spans="1:30" x14ac:dyDescent="0.3">
      <c r="A128" s="1" t="s">
        <v>30</v>
      </c>
      <c r="B128" s="2">
        <v>2016</v>
      </c>
      <c r="C128" s="1" t="s">
        <v>40</v>
      </c>
      <c r="D128" s="1">
        <v>129.30000000000001</v>
      </c>
      <c r="E128" s="1">
        <v>139.5</v>
      </c>
      <c r="F128" s="1">
        <v>129.6</v>
      </c>
      <c r="G128" s="1">
        <v>134.5</v>
      </c>
      <c r="H128" s="1">
        <v>119.5</v>
      </c>
      <c r="I128" s="1">
        <v>138.5</v>
      </c>
      <c r="J128" s="1">
        <v>158.19999999999999</v>
      </c>
      <c r="K128" s="1">
        <v>171.8</v>
      </c>
      <c r="L128" s="1">
        <v>110.3</v>
      </c>
      <c r="M128" s="1">
        <v>134.30000000000001</v>
      </c>
      <c r="N128" s="1">
        <v>127.3</v>
      </c>
      <c r="O128" s="1">
        <v>139.9</v>
      </c>
      <c r="P128" s="1">
        <v>137.6</v>
      </c>
      <c r="Q128" s="1">
        <v>138</v>
      </c>
      <c r="R128" s="1">
        <v>137.19999999999999</v>
      </c>
      <c r="S128" s="1">
        <v>132.19999999999999</v>
      </c>
      <c r="T128" s="1">
        <v>136.5</v>
      </c>
      <c r="U128" s="1">
        <f>U129</f>
        <v>126.4</v>
      </c>
      <c r="V128" s="1">
        <v>128.19999999999999</v>
      </c>
      <c r="W128" s="1">
        <v>130</v>
      </c>
      <c r="X128" s="1">
        <v>126.7</v>
      </c>
      <c r="Y128" s="1">
        <v>116.4</v>
      </c>
      <c r="Z128" s="1">
        <v>125.2</v>
      </c>
      <c r="AA128" s="1">
        <v>130.80000000000001</v>
      </c>
      <c r="AB128" s="1">
        <v>120.9</v>
      </c>
      <c r="AC128" s="1">
        <v>123.8</v>
      </c>
      <c r="AD128" s="1">
        <v>133</v>
      </c>
    </row>
    <row r="129" spans="1:30" x14ac:dyDescent="0.3">
      <c r="A129" s="1" t="s">
        <v>33</v>
      </c>
      <c r="B129" s="2">
        <v>2016</v>
      </c>
      <c r="C129" s="1" t="s">
        <v>40</v>
      </c>
      <c r="D129" s="1">
        <v>126.8</v>
      </c>
      <c r="E129" s="1">
        <v>144.19999999999999</v>
      </c>
      <c r="F129" s="1">
        <v>136.6</v>
      </c>
      <c r="G129" s="1">
        <v>131.80000000000001</v>
      </c>
      <c r="H129" s="1">
        <v>111</v>
      </c>
      <c r="I129" s="1">
        <v>137</v>
      </c>
      <c r="J129" s="1">
        <v>179.5</v>
      </c>
      <c r="K129" s="1">
        <v>188.4</v>
      </c>
      <c r="L129" s="1">
        <v>113.3</v>
      </c>
      <c r="M129" s="1">
        <v>143.9</v>
      </c>
      <c r="N129" s="1">
        <v>121.7</v>
      </c>
      <c r="O129" s="1">
        <v>137.5</v>
      </c>
      <c r="P129" s="1">
        <v>139.80000000000001</v>
      </c>
      <c r="Q129" s="1">
        <v>142.9</v>
      </c>
      <c r="R129" s="1">
        <v>127.9</v>
      </c>
      <c r="S129" s="1">
        <v>121.1</v>
      </c>
      <c r="T129" s="1">
        <v>126.9</v>
      </c>
      <c r="U129" s="1">
        <v>126.4</v>
      </c>
      <c r="V129" s="1">
        <v>115.5</v>
      </c>
      <c r="W129" s="1">
        <v>123.5</v>
      </c>
      <c r="X129" s="1">
        <v>120.9</v>
      </c>
      <c r="Y129" s="1">
        <v>111.7</v>
      </c>
      <c r="Z129" s="1">
        <v>120.3</v>
      </c>
      <c r="AA129" s="1">
        <v>130.80000000000001</v>
      </c>
      <c r="AB129" s="1">
        <v>120</v>
      </c>
      <c r="AC129" s="1">
        <v>119.9</v>
      </c>
      <c r="AD129" s="1">
        <v>129</v>
      </c>
    </row>
    <row r="130" spans="1:30" x14ac:dyDescent="0.3">
      <c r="A130" s="1" t="s">
        <v>34</v>
      </c>
      <c r="B130" s="2">
        <v>2016</v>
      </c>
      <c r="C130" s="1" t="s">
        <v>40</v>
      </c>
      <c r="D130" s="1">
        <v>128.5</v>
      </c>
      <c r="E130" s="1">
        <v>141.19999999999999</v>
      </c>
      <c r="F130" s="1">
        <v>132.30000000000001</v>
      </c>
      <c r="G130" s="1">
        <v>133.5</v>
      </c>
      <c r="H130" s="1">
        <v>116.4</v>
      </c>
      <c r="I130" s="1">
        <v>137.80000000000001</v>
      </c>
      <c r="J130" s="1">
        <v>165.4</v>
      </c>
      <c r="K130" s="1">
        <v>177.4</v>
      </c>
      <c r="L130" s="1">
        <v>111.3</v>
      </c>
      <c r="M130" s="1">
        <v>137.5</v>
      </c>
      <c r="N130" s="1">
        <v>125</v>
      </c>
      <c r="O130" s="1">
        <v>138.80000000000001</v>
      </c>
      <c r="P130" s="1">
        <v>138.4</v>
      </c>
      <c r="Q130" s="1">
        <v>139.30000000000001</v>
      </c>
      <c r="R130" s="1">
        <v>133.5</v>
      </c>
      <c r="S130" s="1">
        <v>127.6</v>
      </c>
      <c r="T130" s="1">
        <v>132.69999999999999</v>
      </c>
      <c r="U130" s="1">
        <v>126.4</v>
      </c>
      <c r="V130" s="1">
        <v>123.4</v>
      </c>
      <c r="W130" s="1">
        <v>126.9</v>
      </c>
      <c r="X130" s="1">
        <v>124.5</v>
      </c>
      <c r="Y130" s="1">
        <v>113.9</v>
      </c>
      <c r="Z130" s="1">
        <v>122.4</v>
      </c>
      <c r="AA130" s="1">
        <v>130.80000000000001</v>
      </c>
      <c r="AB130" s="1">
        <v>120.5</v>
      </c>
      <c r="AC130" s="1">
        <v>121.9</v>
      </c>
      <c r="AD130" s="1">
        <v>131.1</v>
      </c>
    </row>
    <row r="131" spans="1:30" x14ac:dyDescent="0.3">
      <c r="A131" s="1" t="s">
        <v>30</v>
      </c>
      <c r="B131" s="2">
        <v>2016</v>
      </c>
      <c r="C131" s="1" t="s">
        <v>41</v>
      </c>
      <c r="D131" s="1">
        <v>130.1</v>
      </c>
      <c r="E131" s="1">
        <v>138.80000000000001</v>
      </c>
      <c r="F131" s="1">
        <v>130.30000000000001</v>
      </c>
      <c r="G131" s="1">
        <v>135.30000000000001</v>
      </c>
      <c r="H131" s="1">
        <v>119.9</v>
      </c>
      <c r="I131" s="1">
        <v>140.19999999999999</v>
      </c>
      <c r="J131" s="1">
        <v>156.9</v>
      </c>
      <c r="K131" s="1">
        <v>172.2</v>
      </c>
      <c r="L131" s="1">
        <v>112.1</v>
      </c>
      <c r="M131" s="1">
        <v>134.9</v>
      </c>
      <c r="N131" s="1">
        <v>128.1</v>
      </c>
      <c r="O131" s="1">
        <v>140.69999999999999</v>
      </c>
      <c r="P131" s="1">
        <v>138</v>
      </c>
      <c r="Q131" s="1">
        <v>138.9</v>
      </c>
      <c r="R131" s="1">
        <v>137.80000000000001</v>
      </c>
      <c r="S131" s="1">
        <v>133</v>
      </c>
      <c r="T131" s="1">
        <v>137.1</v>
      </c>
      <c r="U131" s="1">
        <f>U132</f>
        <v>127.3</v>
      </c>
      <c r="V131" s="1">
        <v>129.1</v>
      </c>
      <c r="W131" s="1">
        <v>130.6</v>
      </c>
      <c r="X131" s="1">
        <v>127</v>
      </c>
      <c r="Y131" s="1">
        <v>116</v>
      </c>
      <c r="Z131" s="1">
        <v>125.5</v>
      </c>
      <c r="AA131" s="1">
        <v>131.9</v>
      </c>
      <c r="AB131" s="1">
        <v>122</v>
      </c>
      <c r="AC131" s="1">
        <v>124.2</v>
      </c>
      <c r="AD131" s="1">
        <v>133.5</v>
      </c>
    </row>
    <row r="132" spans="1:30" x14ac:dyDescent="0.3">
      <c r="A132" s="1" t="s">
        <v>33</v>
      </c>
      <c r="B132" s="2">
        <v>2016</v>
      </c>
      <c r="C132" s="1" t="s">
        <v>41</v>
      </c>
      <c r="D132" s="1">
        <v>127.6</v>
      </c>
      <c r="E132" s="1">
        <v>140.30000000000001</v>
      </c>
      <c r="F132" s="1">
        <v>133.69999999999999</v>
      </c>
      <c r="G132" s="1">
        <v>132.19999999999999</v>
      </c>
      <c r="H132" s="1">
        <v>111.8</v>
      </c>
      <c r="I132" s="1">
        <v>135.80000000000001</v>
      </c>
      <c r="J132" s="1">
        <v>163.5</v>
      </c>
      <c r="K132" s="1">
        <v>182.3</v>
      </c>
      <c r="L132" s="1">
        <v>114.6</v>
      </c>
      <c r="M132" s="1">
        <v>144.6</v>
      </c>
      <c r="N132" s="1">
        <v>121.9</v>
      </c>
      <c r="O132" s="1">
        <v>138.1</v>
      </c>
      <c r="P132" s="1">
        <v>137.6</v>
      </c>
      <c r="Q132" s="1">
        <v>143.6</v>
      </c>
      <c r="R132" s="1">
        <v>128.30000000000001</v>
      </c>
      <c r="S132" s="1">
        <v>121.4</v>
      </c>
      <c r="T132" s="1">
        <v>127.3</v>
      </c>
      <c r="U132" s="1">
        <v>127.3</v>
      </c>
      <c r="V132" s="1">
        <v>114.7</v>
      </c>
      <c r="W132" s="1">
        <v>123.9</v>
      </c>
      <c r="X132" s="1">
        <v>121.2</v>
      </c>
      <c r="Y132" s="1">
        <v>110.4</v>
      </c>
      <c r="Z132" s="1">
        <v>120.6</v>
      </c>
      <c r="AA132" s="1">
        <v>131.5</v>
      </c>
      <c r="AB132" s="1">
        <v>120.9</v>
      </c>
      <c r="AC132" s="1">
        <v>119.9</v>
      </c>
      <c r="AD132" s="1">
        <v>128.4</v>
      </c>
    </row>
    <row r="133" spans="1:30" x14ac:dyDescent="0.3">
      <c r="A133" s="1" t="s">
        <v>34</v>
      </c>
      <c r="B133" s="2">
        <v>2016</v>
      </c>
      <c r="C133" s="1" t="s">
        <v>41</v>
      </c>
      <c r="D133" s="1">
        <v>129.30000000000001</v>
      </c>
      <c r="E133" s="1">
        <v>139.30000000000001</v>
      </c>
      <c r="F133" s="1">
        <v>131.6</v>
      </c>
      <c r="G133" s="1">
        <v>134.1</v>
      </c>
      <c r="H133" s="1">
        <v>116.9</v>
      </c>
      <c r="I133" s="1">
        <v>138.1</v>
      </c>
      <c r="J133" s="1">
        <v>159.1</v>
      </c>
      <c r="K133" s="1">
        <v>175.6</v>
      </c>
      <c r="L133" s="1">
        <v>112.9</v>
      </c>
      <c r="M133" s="1">
        <v>138.1</v>
      </c>
      <c r="N133" s="1">
        <v>125.5</v>
      </c>
      <c r="O133" s="1">
        <v>139.5</v>
      </c>
      <c r="P133" s="1">
        <v>137.9</v>
      </c>
      <c r="Q133" s="1">
        <v>140.19999999999999</v>
      </c>
      <c r="R133" s="1">
        <v>134.1</v>
      </c>
      <c r="S133" s="1">
        <v>128.19999999999999</v>
      </c>
      <c r="T133" s="1">
        <v>133.19999999999999</v>
      </c>
      <c r="U133" s="1">
        <v>127.3</v>
      </c>
      <c r="V133" s="1">
        <v>123.6</v>
      </c>
      <c r="W133" s="1">
        <v>127.4</v>
      </c>
      <c r="X133" s="1">
        <v>124.8</v>
      </c>
      <c r="Y133" s="1">
        <v>113.1</v>
      </c>
      <c r="Z133" s="1">
        <v>122.7</v>
      </c>
      <c r="AA133" s="1">
        <v>131.69999999999999</v>
      </c>
      <c r="AB133" s="1">
        <v>121.5</v>
      </c>
      <c r="AC133" s="1">
        <v>122.1</v>
      </c>
      <c r="AD133" s="1">
        <v>131.1</v>
      </c>
    </row>
    <row r="134" spans="1:30" x14ac:dyDescent="0.3">
      <c r="A134" s="1" t="s">
        <v>30</v>
      </c>
      <c r="B134" s="2">
        <v>2016</v>
      </c>
      <c r="C134" s="1" t="s">
        <v>42</v>
      </c>
      <c r="D134" s="1">
        <v>130.80000000000001</v>
      </c>
      <c r="E134" s="1">
        <v>138.19999999999999</v>
      </c>
      <c r="F134" s="1">
        <v>130.5</v>
      </c>
      <c r="G134" s="1">
        <v>135.5</v>
      </c>
      <c r="H134" s="1">
        <v>120.2</v>
      </c>
      <c r="I134" s="1">
        <v>139.19999999999999</v>
      </c>
      <c r="J134" s="1">
        <v>149.5</v>
      </c>
      <c r="K134" s="1">
        <v>170.4</v>
      </c>
      <c r="L134" s="1">
        <v>113.1</v>
      </c>
      <c r="M134" s="1">
        <v>135.80000000000001</v>
      </c>
      <c r="N134" s="1">
        <v>128.80000000000001</v>
      </c>
      <c r="O134" s="1">
        <v>141.5</v>
      </c>
      <c r="P134" s="1">
        <v>137.19999999999999</v>
      </c>
      <c r="Q134" s="1">
        <v>139.9</v>
      </c>
      <c r="R134" s="1">
        <v>138.5</v>
      </c>
      <c r="S134" s="1">
        <v>133.5</v>
      </c>
      <c r="T134" s="1">
        <v>137.80000000000001</v>
      </c>
      <c r="U134" s="1">
        <f>U135</f>
        <v>127.9</v>
      </c>
      <c r="V134" s="1">
        <v>129.69999999999999</v>
      </c>
      <c r="W134" s="1">
        <v>131.1</v>
      </c>
      <c r="X134" s="1">
        <v>127.8</v>
      </c>
      <c r="Y134" s="1">
        <v>117</v>
      </c>
      <c r="Z134" s="1">
        <v>125.7</v>
      </c>
      <c r="AA134" s="1">
        <v>132.19999999999999</v>
      </c>
      <c r="AB134" s="1">
        <v>122.8</v>
      </c>
      <c r="AC134" s="1">
        <v>124.9</v>
      </c>
      <c r="AD134" s="1">
        <v>133.4</v>
      </c>
    </row>
    <row r="135" spans="1:30" x14ac:dyDescent="0.3">
      <c r="A135" s="1" t="s">
        <v>33</v>
      </c>
      <c r="B135" s="2">
        <v>2016</v>
      </c>
      <c r="C135" s="1" t="s">
        <v>42</v>
      </c>
      <c r="D135" s="1">
        <v>128.1</v>
      </c>
      <c r="E135" s="1">
        <v>137.69999999999999</v>
      </c>
      <c r="F135" s="1">
        <v>130.6</v>
      </c>
      <c r="G135" s="1">
        <v>132.6</v>
      </c>
      <c r="H135" s="1">
        <v>111.9</v>
      </c>
      <c r="I135" s="1">
        <v>132.5</v>
      </c>
      <c r="J135" s="1">
        <v>152.9</v>
      </c>
      <c r="K135" s="1">
        <v>173.6</v>
      </c>
      <c r="L135" s="1">
        <v>115.1</v>
      </c>
      <c r="M135" s="1">
        <v>144.80000000000001</v>
      </c>
      <c r="N135" s="1">
        <v>122.1</v>
      </c>
      <c r="O135" s="1">
        <v>138.80000000000001</v>
      </c>
      <c r="P135" s="1">
        <v>135.69999999999999</v>
      </c>
      <c r="Q135" s="1">
        <v>143.9</v>
      </c>
      <c r="R135" s="1">
        <v>128.69999999999999</v>
      </c>
      <c r="S135" s="1">
        <v>121.6</v>
      </c>
      <c r="T135" s="1">
        <v>127.7</v>
      </c>
      <c r="U135" s="1">
        <v>127.9</v>
      </c>
      <c r="V135" s="1">
        <v>114.8</v>
      </c>
      <c r="W135" s="1">
        <v>124.3</v>
      </c>
      <c r="X135" s="1">
        <v>121.4</v>
      </c>
      <c r="Y135" s="1">
        <v>111.8</v>
      </c>
      <c r="Z135" s="1">
        <v>120.8</v>
      </c>
      <c r="AA135" s="1">
        <v>131.6</v>
      </c>
      <c r="AB135" s="1">
        <v>121.2</v>
      </c>
      <c r="AC135" s="1">
        <v>120.5</v>
      </c>
      <c r="AD135" s="1">
        <v>128</v>
      </c>
    </row>
    <row r="136" spans="1:30" x14ac:dyDescent="0.3">
      <c r="A136" s="1" t="s">
        <v>34</v>
      </c>
      <c r="B136" s="2">
        <v>2016</v>
      </c>
      <c r="C136" s="1" t="s">
        <v>42</v>
      </c>
      <c r="D136" s="1">
        <v>129.9</v>
      </c>
      <c r="E136" s="1">
        <v>138</v>
      </c>
      <c r="F136" s="1">
        <v>130.5</v>
      </c>
      <c r="G136" s="1">
        <v>134.4</v>
      </c>
      <c r="H136" s="1">
        <v>117.2</v>
      </c>
      <c r="I136" s="1">
        <v>136.1</v>
      </c>
      <c r="J136" s="1">
        <v>150.69999999999999</v>
      </c>
      <c r="K136" s="1">
        <v>171.5</v>
      </c>
      <c r="L136" s="1">
        <v>113.8</v>
      </c>
      <c r="M136" s="1">
        <v>138.80000000000001</v>
      </c>
      <c r="N136" s="1">
        <v>126</v>
      </c>
      <c r="O136" s="1">
        <v>140.19999999999999</v>
      </c>
      <c r="P136" s="1">
        <v>136.6</v>
      </c>
      <c r="Q136" s="1">
        <v>141</v>
      </c>
      <c r="R136" s="1">
        <v>134.6</v>
      </c>
      <c r="S136" s="1">
        <v>128.6</v>
      </c>
      <c r="T136" s="1">
        <v>133.80000000000001</v>
      </c>
      <c r="U136" s="1">
        <v>127.9</v>
      </c>
      <c r="V136" s="1">
        <v>124.1</v>
      </c>
      <c r="W136" s="1">
        <v>127.9</v>
      </c>
      <c r="X136" s="1">
        <v>125.4</v>
      </c>
      <c r="Y136" s="1">
        <v>114.3</v>
      </c>
      <c r="Z136" s="1">
        <v>122.9</v>
      </c>
      <c r="AA136" s="1">
        <v>131.80000000000001</v>
      </c>
      <c r="AB136" s="1">
        <v>122.1</v>
      </c>
      <c r="AC136" s="1">
        <v>122.8</v>
      </c>
      <c r="AD136" s="1">
        <v>130.9</v>
      </c>
    </row>
    <row r="137" spans="1:30" x14ac:dyDescent="0.3">
      <c r="A137" s="1" t="s">
        <v>30</v>
      </c>
      <c r="B137" s="2">
        <v>2016</v>
      </c>
      <c r="C137" s="1" t="s">
        <v>43</v>
      </c>
      <c r="D137" s="1">
        <v>131.30000000000001</v>
      </c>
      <c r="E137" s="1">
        <v>137.6</v>
      </c>
      <c r="F137" s="1">
        <v>130.1</v>
      </c>
      <c r="G137" s="1">
        <v>136</v>
      </c>
      <c r="H137" s="1">
        <v>120.8</v>
      </c>
      <c r="I137" s="1">
        <v>138.4</v>
      </c>
      <c r="J137" s="1">
        <v>149.19999999999999</v>
      </c>
      <c r="K137" s="1">
        <v>170.2</v>
      </c>
      <c r="L137" s="1">
        <v>113.4</v>
      </c>
      <c r="M137" s="1">
        <v>136.30000000000001</v>
      </c>
      <c r="N137" s="1">
        <v>128.69999999999999</v>
      </c>
      <c r="O137" s="1">
        <v>142.4</v>
      </c>
      <c r="P137" s="1">
        <v>137.4</v>
      </c>
      <c r="Q137" s="1">
        <v>140.9</v>
      </c>
      <c r="R137" s="1">
        <v>139.6</v>
      </c>
      <c r="S137" s="1">
        <v>134.30000000000001</v>
      </c>
      <c r="T137" s="1">
        <v>138.80000000000001</v>
      </c>
      <c r="U137" s="1">
        <f>U138</f>
        <v>128.69999999999999</v>
      </c>
      <c r="V137" s="1">
        <v>129.80000000000001</v>
      </c>
      <c r="W137" s="1">
        <v>131.80000000000001</v>
      </c>
      <c r="X137" s="1">
        <v>128.69999999999999</v>
      </c>
      <c r="Y137" s="1">
        <v>117.8</v>
      </c>
      <c r="Z137" s="1">
        <v>126.5</v>
      </c>
      <c r="AA137" s="1">
        <v>133</v>
      </c>
      <c r="AB137" s="1">
        <v>123</v>
      </c>
      <c r="AC137" s="1">
        <v>125.7</v>
      </c>
      <c r="AD137" s="1">
        <v>133.80000000000001</v>
      </c>
    </row>
    <row r="138" spans="1:30" x14ac:dyDescent="0.3">
      <c r="A138" s="1" t="s">
        <v>33</v>
      </c>
      <c r="B138" s="2">
        <v>2016</v>
      </c>
      <c r="C138" s="1" t="s">
        <v>43</v>
      </c>
      <c r="D138" s="1">
        <v>128.69999999999999</v>
      </c>
      <c r="E138" s="1">
        <v>138.4</v>
      </c>
      <c r="F138" s="1">
        <v>130.30000000000001</v>
      </c>
      <c r="G138" s="1">
        <v>132.69999999999999</v>
      </c>
      <c r="H138" s="1">
        <v>112.5</v>
      </c>
      <c r="I138" s="1">
        <v>130.4</v>
      </c>
      <c r="J138" s="1">
        <v>155.1</v>
      </c>
      <c r="K138" s="1">
        <v>175.7</v>
      </c>
      <c r="L138" s="1">
        <v>115.4</v>
      </c>
      <c r="M138" s="1">
        <v>145.30000000000001</v>
      </c>
      <c r="N138" s="1">
        <v>122.5</v>
      </c>
      <c r="O138" s="1">
        <v>139.6</v>
      </c>
      <c r="P138" s="1">
        <v>136.30000000000001</v>
      </c>
      <c r="Q138" s="1">
        <v>144.30000000000001</v>
      </c>
      <c r="R138" s="1">
        <v>129.1</v>
      </c>
      <c r="S138" s="1">
        <v>121.9</v>
      </c>
      <c r="T138" s="1">
        <v>128</v>
      </c>
      <c r="U138" s="1">
        <v>128.69999999999999</v>
      </c>
      <c r="V138" s="1">
        <v>115.2</v>
      </c>
      <c r="W138" s="1">
        <v>124.5</v>
      </c>
      <c r="X138" s="1">
        <v>121.8</v>
      </c>
      <c r="Y138" s="1">
        <v>112.8</v>
      </c>
      <c r="Z138" s="1">
        <v>121.2</v>
      </c>
      <c r="AA138" s="1">
        <v>131.9</v>
      </c>
      <c r="AB138" s="1">
        <v>120.8</v>
      </c>
      <c r="AC138" s="1">
        <v>120.9</v>
      </c>
      <c r="AD138" s="1">
        <v>128.6</v>
      </c>
    </row>
    <row r="139" spans="1:30" x14ac:dyDescent="0.3">
      <c r="A139" s="1" t="s">
        <v>34</v>
      </c>
      <c r="B139" s="2">
        <v>2016</v>
      </c>
      <c r="C139" s="1" t="s">
        <v>43</v>
      </c>
      <c r="D139" s="1">
        <v>130.5</v>
      </c>
      <c r="E139" s="1">
        <v>137.9</v>
      </c>
      <c r="F139" s="1">
        <v>130.19999999999999</v>
      </c>
      <c r="G139" s="1">
        <v>134.80000000000001</v>
      </c>
      <c r="H139" s="1">
        <v>117.8</v>
      </c>
      <c r="I139" s="1">
        <v>134.69999999999999</v>
      </c>
      <c r="J139" s="1">
        <v>151.19999999999999</v>
      </c>
      <c r="K139" s="1">
        <v>172.1</v>
      </c>
      <c r="L139" s="1">
        <v>114.1</v>
      </c>
      <c r="M139" s="1">
        <v>139.30000000000001</v>
      </c>
      <c r="N139" s="1">
        <v>126.1</v>
      </c>
      <c r="O139" s="1">
        <v>141.1</v>
      </c>
      <c r="P139" s="1">
        <v>137</v>
      </c>
      <c r="Q139" s="1">
        <v>141.80000000000001</v>
      </c>
      <c r="R139" s="1">
        <v>135.5</v>
      </c>
      <c r="S139" s="1">
        <v>129.1</v>
      </c>
      <c r="T139" s="1">
        <v>134.5</v>
      </c>
      <c r="U139" s="1">
        <v>128.69999999999999</v>
      </c>
      <c r="V139" s="1">
        <v>124.3</v>
      </c>
      <c r="W139" s="1">
        <v>128.4</v>
      </c>
      <c r="X139" s="1">
        <v>126.1</v>
      </c>
      <c r="Y139" s="1">
        <v>115.2</v>
      </c>
      <c r="Z139" s="1">
        <v>123.5</v>
      </c>
      <c r="AA139" s="1">
        <v>132.4</v>
      </c>
      <c r="AB139" s="1">
        <v>122.1</v>
      </c>
      <c r="AC139" s="1">
        <v>123.4</v>
      </c>
      <c r="AD139" s="1">
        <v>131.4</v>
      </c>
    </row>
    <row r="140" spans="1:30" x14ac:dyDescent="0.3">
      <c r="A140" s="1" t="s">
        <v>30</v>
      </c>
      <c r="B140" s="2">
        <v>2016</v>
      </c>
      <c r="C140" s="1" t="s">
        <v>45</v>
      </c>
      <c r="D140" s="1">
        <v>132</v>
      </c>
      <c r="E140" s="1">
        <v>137.4</v>
      </c>
      <c r="F140" s="1">
        <v>130.6</v>
      </c>
      <c r="G140" s="1">
        <v>136.19999999999999</v>
      </c>
      <c r="H140" s="1">
        <v>121.1</v>
      </c>
      <c r="I140" s="1">
        <v>136.9</v>
      </c>
      <c r="J140" s="1">
        <v>141.80000000000001</v>
      </c>
      <c r="K140" s="1">
        <v>170</v>
      </c>
      <c r="L140" s="1">
        <v>113.4</v>
      </c>
      <c r="M140" s="1">
        <v>136.80000000000001</v>
      </c>
      <c r="N140" s="1">
        <v>128.69999999999999</v>
      </c>
      <c r="O140" s="1">
        <v>143.1</v>
      </c>
      <c r="P140" s="1">
        <v>136.6</v>
      </c>
      <c r="Q140" s="1">
        <v>141.19999999999999</v>
      </c>
      <c r="R140" s="1">
        <v>139.9</v>
      </c>
      <c r="S140" s="1">
        <v>134.5</v>
      </c>
      <c r="T140" s="1">
        <v>139.19999999999999</v>
      </c>
      <c r="U140" s="1">
        <f>U141</f>
        <v>129.1</v>
      </c>
      <c r="V140" s="1">
        <v>130.30000000000001</v>
      </c>
      <c r="W140" s="1">
        <v>132.1</v>
      </c>
      <c r="X140" s="1">
        <v>129.1</v>
      </c>
      <c r="Y140" s="1">
        <v>118.2</v>
      </c>
      <c r="Z140" s="1">
        <v>126.9</v>
      </c>
      <c r="AA140" s="1">
        <v>133.69999999999999</v>
      </c>
      <c r="AB140" s="1">
        <v>123.5</v>
      </c>
      <c r="AC140" s="1">
        <v>126.1</v>
      </c>
      <c r="AD140" s="1">
        <v>133.6</v>
      </c>
    </row>
    <row r="141" spans="1:30" x14ac:dyDescent="0.3">
      <c r="A141" s="1" t="s">
        <v>33</v>
      </c>
      <c r="B141" s="2">
        <v>2016</v>
      </c>
      <c r="C141" s="1" t="s">
        <v>45</v>
      </c>
      <c r="D141" s="1">
        <v>130.19999999999999</v>
      </c>
      <c r="E141" s="1">
        <v>138.5</v>
      </c>
      <c r="F141" s="1">
        <v>134.1</v>
      </c>
      <c r="G141" s="1">
        <v>132.9</v>
      </c>
      <c r="H141" s="1">
        <v>112.6</v>
      </c>
      <c r="I141" s="1">
        <v>130.80000000000001</v>
      </c>
      <c r="J141" s="1">
        <v>142</v>
      </c>
      <c r="K141" s="1">
        <v>174.9</v>
      </c>
      <c r="L141" s="1">
        <v>115.6</v>
      </c>
      <c r="M141" s="1">
        <v>145.4</v>
      </c>
      <c r="N141" s="1">
        <v>122.7</v>
      </c>
      <c r="O141" s="1">
        <v>140.30000000000001</v>
      </c>
      <c r="P141" s="1">
        <v>135.19999999999999</v>
      </c>
      <c r="Q141" s="1">
        <v>144.30000000000001</v>
      </c>
      <c r="R141" s="1">
        <v>129.6</v>
      </c>
      <c r="S141" s="1">
        <v>122.1</v>
      </c>
      <c r="T141" s="1">
        <v>128.5</v>
      </c>
      <c r="U141" s="1">
        <v>129.1</v>
      </c>
      <c r="V141" s="1">
        <v>116.2</v>
      </c>
      <c r="W141" s="1">
        <v>124.7</v>
      </c>
      <c r="X141" s="1">
        <v>122.1</v>
      </c>
      <c r="Y141" s="1">
        <v>113.4</v>
      </c>
      <c r="Z141" s="1">
        <v>121.7</v>
      </c>
      <c r="AA141" s="1">
        <v>132.1</v>
      </c>
      <c r="AB141" s="1">
        <v>121.3</v>
      </c>
      <c r="AC141" s="1">
        <v>121.3</v>
      </c>
      <c r="AD141" s="1">
        <v>128.5</v>
      </c>
    </row>
    <row r="142" spans="1:30" x14ac:dyDescent="0.3">
      <c r="A142" s="1" t="s">
        <v>34</v>
      </c>
      <c r="B142" s="2">
        <v>2016</v>
      </c>
      <c r="C142" s="1" t="s">
        <v>45</v>
      </c>
      <c r="D142" s="1">
        <v>131.4</v>
      </c>
      <c r="E142" s="1">
        <v>137.80000000000001</v>
      </c>
      <c r="F142" s="1">
        <v>132</v>
      </c>
      <c r="G142" s="1">
        <v>135</v>
      </c>
      <c r="H142" s="1">
        <v>118</v>
      </c>
      <c r="I142" s="1">
        <v>134.1</v>
      </c>
      <c r="J142" s="1">
        <v>141.9</v>
      </c>
      <c r="K142" s="1">
        <v>171.7</v>
      </c>
      <c r="L142" s="1">
        <v>114.1</v>
      </c>
      <c r="M142" s="1">
        <v>139.69999999999999</v>
      </c>
      <c r="N142" s="1">
        <v>126.2</v>
      </c>
      <c r="O142" s="1">
        <v>141.80000000000001</v>
      </c>
      <c r="P142" s="1">
        <v>136.1</v>
      </c>
      <c r="Q142" s="1">
        <v>142</v>
      </c>
      <c r="R142" s="1">
        <v>135.80000000000001</v>
      </c>
      <c r="S142" s="1">
        <v>129.30000000000001</v>
      </c>
      <c r="T142" s="1">
        <v>135</v>
      </c>
      <c r="U142" s="1">
        <v>129.1</v>
      </c>
      <c r="V142" s="1">
        <v>125</v>
      </c>
      <c r="W142" s="1">
        <v>128.6</v>
      </c>
      <c r="X142" s="1">
        <v>126.4</v>
      </c>
      <c r="Y142" s="1">
        <v>115.7</v>
      </c>
      <c r="Z142" s="1">
        <v>124</v>
      </c>
      <c r="AA142" s="1">
        <v>132.80000000000001</v>
      </c>
      <c r="AB142" s="1">
        <v>122.6</v>
      </c>
      <c r="AC142" s="1">
        <v>123.8</v>
      </c>
      <c r="AD142" s="1">
        <v>131.19999999999999</v>
      </c>
    </row>
    <row r="143" spans="1:30" x14ac:dyDescent="0.3">
      <c r="A143" s="1" t="s">
        <v>30</v>
      </c>
      <c r="B143" s="2">
        <v>2016</v>
      </c>
      <c r="C143" s="1" t="s">
        <v>46</v>
      </c>
      <c r="D143" s="1">
        <v>132.6</v>
      </c>
      <c r="E143" s="1">
        <v>137.30000000000001</v>
      </c>
      <c r="F143" s="1">
        <v>131.6</v>
      </c>
      <c r="G143" s="1">
        <v>136.30000000000001</v>
      </c>
      <c r="H143" s="1">
        <v>121.6</v>
      </c>
      <c r="I143" s="1">
        <v>135.6</v>
      </c>
      <c r="J143" s="1">
        <v>127.5</v>
      </c>
      <c r="K143" s="1">
        <v>167.9</v>
      </c>
      <c r="L143" s="1">
        <v>113.8</v>
      </c>
      <c r="M143" s="1">
        <v>137.5</v>
      </c>
      <c r="N143" s="1">
        <v>129.1</v>
      </c>
      <c r="O143" s="1">
        <v>143.6</v>
      </c>
      <c r="P143" s="1">
        <v>134.69999999999999</v>
      </c>
      <c r="Q143" s="1">
        <v>142.4</v>
      </c>
      <c r="R143" s="1">
        <v>140.4</v>
      </c>
      <c r="S143" s="1">
        <v>135.19999999999999</v>
      </c>
      <c r="T143" s="1">
        <v>139.69999999999999</v>
      </c>
      <c r="U143" s="1">
        <f>U144</f>
        <v>128.5</v>
      </c>
      <c r="V143" s="1">
        <v>132</v>
      </c>
      <c r="W143" s="1">
        <v>132.9</v>
      </c>
      <c r="X143" s="1">
        <v>129.69999999999999</v>
      </c>
      <c r="Y143" s="1">
        <v>118.6</v>
      </c>
      <c r="Z143" s="1">
        <v>127.3</v>
      </c>
      <c r="AA143" s="1">
        <v>134.19999999999999</v>
      </c>
      <c r="AB143" s="1">
        <v>121.9</v>
      </c>
      <c r="AC143" s="1">
        <v>126.3</v>
      </c>
      <c r="AD143" s="1">
        <v>132.80000000000001</v>
      </c>
    </row>
    <row r="144" spans="1:30" x14ac:dyDescent="0.3">
      <c r="A144" s="1" t="s">
        <v>33</v>
      </c>
      <c r="B144" s="2">
        <v>2016</v>
      </c>
      <c r="C144" s="1" t="s">
        <v>46</v>
      </c>
      <c r="D144" s="1">
        <v>131.6</v>
      </c>
      <c r="E144" s="1">
        <v>138.19999999999999</v>
      </c>
      <c r="F144" s="1">
        <v>134.9</v>
      </c>
      <c r="G144" s="1">
        <v>133.1</v>
      </c>
      <c r="H144" s="1">
        <v>113.5</v>
      </c>
      <c r="I144" s="1">
        <v>129.30000000000001</v>
      </c>
      <c r="J144" s="1">
        <v>121.1</v>
      </c>
      <c r="K144" s="1">
        <v>170.3</v>
      </c>
      <c r="L144" s="1">
        <v>115.5</v>
      </c>
      <c r="M144" s="1">
        <v>145.5</v>
      </c>
      <c r="N144" s="1">
        <v>123.1</v>
      </c>
      <c r="O144" s="1">
        <v>140.9</v>
      </c>
      <c r="P144" s="1">
        <v>132.80000000000001</v>
      </c>
      <c r="Q144" s="1">
        <v>145</v>
      </c>
      <c r="R144" s="1">
        <v>130</v>
      </c>
      <c r="S144" s="1">
        <v>122.2</v>
      </c>
      <c r="T144" s="1">
        <v>128.80000000000001</v>
      </c>
      <c r="U144" s="1">
        <v>128.5</v>
      </c>
      <c r="V144" s="1">
        <v>117.8</v>
      </c>
      <c r="W144" s="1">
        <v>125</v>
      </c>
      <c r="X144" s="1">
        <v>122.3</v>
      </c>
      <c r="Y144" s="1">
        <v>113.7</v>
      </c>
      <c r="Z144" s="1">
        <v>121.8</v>
      </c>
      <c r="AA144" s="1">
        <v>132.30000000000001</v>
      </c>
      <c r="AB144" s="1">
        <v>119.9</v>
      </c>
      <c r="AC144" s="1">
        <v>121.4</v>
      </c>
      <c r="AD144" s="1">
        <v>127.6</v>
      </c>
    </row>
    <row r="145" spans="1:30" x14ac:dyDescent="0.3">
      <c r="A145" s="1" t="s">
        <v>34</v>
      </c>
      <c r="B145" s="2">
        <v>2016</v>
      </c>
      <c r="C145" s="1" t="s">
        <v>46</v>
      </c>
      <c r="D145" s="1">
        <v>132.30000000000001</v>
      </c>
      <c r="E145" s="1">
        <v>137.6</v>
      </c>
      <c r="F145" s="1">
        <v>132.9</v>
      </c>
      <c r="G145" s="1">
        <v>135.1</v>
      </c>
      <c r="H145" s="1">
        <v>118.6</v>
      </c>
      <c r="I145" s="1">
        <v>132.69999999999999</v>
      </c>
      <c r="J145" s="1">
        <v>125.3</v>
      </c>
      <c r="K145" s="1">
        <v>168.7</v>
      </c>
      <c r="L145" s="1">
        <v>114.4</v>
      </c>
      <c r="M145" s="1">
        <v>140.19999999999999</v>
      </c>
      <c r="N145" s="1">
        <v>126.6</v>
      </c>
      <c r="O145" s="1">
        <v>142.30000000000001</v>
      </c>
      <c r="P145" s="1">
        <v>134</v>
      </c>
      <c r="Q145" s="1">
        <v>143.1</v>
      </c>
      <c r="R145" s="1">
        <v>136.30000000000001</v>
      </c>
      <c r="S145" s="1">
        <v>129.80000000000001</v>
      </c>
      <c r="T145" s="1">
        <v>135.4</v>
      </c>
      <c r="U145" s="1">
        <v>128.5</v>
      </c>
      <c r="V145" s="1">
        <v>126.6</v>
      </c>
      <c r="W145" s="1">
        <v>129.19999999999999</v>
      </c>
      <c r="X145" s="1">
        <v>126.9</v>
      </c>
      <c r="Y145" s="1">
        <v>116</v>
      </c>
      <c r="Z145" s="1">
        <v>124.2</v>
      </c>
      <c r="AA145" s="1">
        <v>133.1</v>
      </c>
      <c r="AB145" s="1">
        <v>121.1</v>
      </c>
      <c r="AC145" s="1">
        <v>123.9</v>
      </c>
      <c r="AD145" s="1">
        <v>130.4</v>
      </c>
    </row>
    <row r="146" spans="1:30" x14ac:dyDescent="0.3">
      <c r="A146" s="1" t="s">
        <v>30</v>
      </c>
      <c r="B146" s="2">
        <v>2017</v>
      </c>
      <c r="C146" s="1" t="s">
        <v>31</v>
      </c>
      <c r="D146" s="1">
        <v>133.1</v>
      </c>
      <c r="E146" s="1">
        <v>137.80000000000001</v>
      </c>
      <c r="F146" s="1">
        <v>131.9</v>
      </c>
      <c r="G146" s="1">
        <v>136.69999999999999</v>
      </c>
      <c r="H146" s="1">
        <v>122</v>
      </c>
      <c r="I146" s="1">
        <v>136</v>
      </c>
      <c r="J146" s="1">
        <v>119.8</v>
      </c>
      <c r="K146" s="1">
        <v>161.69999999999999</v>
      </c>
      <c r="L146" s="1">
        <v>114.8</v>
      </c>
      <c r="M146" s="1">
        <v>136.9</v>
      </c>
      <c r="N146" s="1">
        <v>129</v>
      </c>
      <c r="O146" s="1">
        <v>143.9</v>
      </c>
      <c r="P146" s="1">
        <v>133.69999999999999</v>
      </c>
      <c r="Q146" s="1">
        <v>143.1</v>
      </c>
      <c r="R146" s="1">
        <v>140.69999999999999</v>
      </c>
      <c r="S146" s="1">
        <v>135.80000000000001</v>
      </c>
      <c r="T146" s="1">
        <v>140</v>
      </c>
      <c r="U146" s="1">
        <f>U147</f>
        <v>129.6</v>
      </c>
      <c r="V146" s="1">
        <v>132.1</v>
      </c>
      <c r="W146" s="1">
        <v>133.19999999999999</v>
      </c>
      <c r="X146" s="1">
        <v>129.9</v>
      </c>
      <c r="Y146" s="1">
        <v>119.1</v>
      </c>
      <c r="Z146" s="1">
        <v>127</v>
      </c>
      <c r="AA146" s="1">
        <v>134.6</v>
      </c>
      <c r="AB146" s="1">
        <v>122.3</v>
      </c>
      <c r="AC146" s="1">
        <v>126.6</v>
      </c>
      <c r="AD146" s="1">
        <v>132.4</v>
      </c>
    </row>
    <row r="147" spans="1:30" x14ac:dyDescent="0.3">
      <c r="A147" s="1" t="s">
        <v>33</v>
      </c>
      <c r="B147" s="2">
        <v>2017</v>
      </c>
      <c r="C147" s="1" t="s">
        <v>31</v>
      </c>
      <c r="D147" s="1">
        <v>132.19999999999999</v>
      </c>
      <c r="E147" s="1">
        <v>138.9</v>
      </c>
      <c r="F147" s="1">
        <v>132.6</v>
      </c>
      <c r="G147" s="1">
        <v>133.1</v>
      </c>
      <c r="H147" s="1">
        <v>114</v>
      </c>
      <c r="I147" s="1">
        <v>129.6</v>
      </c>
      <c r="J147" s="1">
        <v>118.7</v>
      </c>
      <c r="K147" s="1">
        <v>155.1</v>
      </c>
      <c r="L147" s="1">
        <v>117.3</v>
      </c>
      <c r="M147" s="1">
        <v>144.9</v>
      </c>
      <c r="N147" s="1">
        <v>123.2</v>
      </c>
      <c r="O147" s="1">
        <v>141.6</v>
      </c>
      <c r="P147" s="1">
        <v>132</v>
      </c>
      <c r="Q147" s="1">
        <v>145.6</v>
      </c>
      <c r="R147" s="1">
        <v>130.19999999999999</v>
      </c>
      <c r="S147" s="1">
        <v>122.3</v>
      </c>
      <c r="T147" s="1">
        <v>129</v>
      </c>
      <c r="U147" s="1">
        <v>129.6</v>
      </c>
      <c r="V147" s="1">
        <v>118</v>
      </c>
      <c r="W147" s="1">
        <v>125.1</v>
      </c>
      <c r="X147" s="1">
        <v>122.6</v>
      </c>
      <c r="Y147" s="1">
        <v>115.2</v>
      </c>
      <c r="Z147" s="1">
        <v>122</v>
      </c>
      <c r="AA147" s="1">
        <v>132.4</v>
      </c>
      <c r="AB147" s="1">
        <v>120.9</v>
      </c>
      <c r="AC147" s="1">
        <v>122.1</v>
      </c>
      <c r="AD147" s="1">
        <v>127.8</v>
      </c>
    </row>
    <row r="148" spans="1:30" x14ac:dyDescent="0.3">
      <c r="A148" s="1" t="s">
        <v>34</v>
      </c>
      <c r="B148" s="2">
        <v>2017</v>
      </c>
      <c r="C148" s="1" t="s">
        <v>31</v>
      </c>
      <c r="D148" s="1">
        <v>132.80000000000001</v>
      </c>
      <c r="E148" s="1">
        <v>138.19999999999999</v>
      </c>
      <c r="F148" s="1">
        <v>132.19999999999999</v>
      </c>
      <c r="G148" s="1">
        <v>135.4</v>
      </c>
      <c r="H148" s="1">
        <v>119.1</v>
      </c>
      <c r="I148" s="1">
        <v>133</v>
      </c>
      <c r="J148" s="1">
        <v>119.4</v>
      </c>
      <c r="K148" s="1">
        <v>159.5</v>
      </c>
      <c r="L148" s="1">
        <v>115.6</v>
      </c>
      <c r="M148" s="1">
        <v>139.6</v>
      </c>
      <c r="N148" s="1">
        <v>126.6</v>
      </c>
      <c r="O148" s="1">
        <v>142.80000000000001</v>
      </c>
      <c r="P148" s="1">
        <v>133.1</v>
      </c>
      <c r="Q148" s="1">
        <v>143.80000000000001</v>
      </c>
      <c r="R148" s="1">
        <v>136.6</v>
      </c>
      <c r="S148" s="1">
        <v>130.19999999999999</v>
      </c>
      <c r="T148" s="1">
        <v>135.6</v>
      </c>
      <c r="U148" s="1">
        <v>129.6</v>
      </c>
      <c r="V148" s="1">
        <v>126.8</v>
      </c>
      <c r="W148" s="1">
        <v>129.4</v>
      </c>
      <c r="X148" s="1">
        <v>127.1</v>
      </c>
      <c r="Y148" s="1">
        <v>117</v>
      </c>
      <c r="Z148" s="1">
        <v>124.2</v>
      </c>
      <c r="AA148" s="1">
        <v>133.30000000000001</v>
      </c>
      <c r="AB148" s="1">
        <v>121.7</v>
      </c>
      <c r="AC148" s="1">
        <v>124.4</v>
      </c>
      <c r="AD148" s="1">
        <v>130.30000000000001</v>
      </c>
    </row>
    <row r="149" spans="1:30" x14ac:dyDescent="0.3">
      <c r="A149" s="1" t="s">
        <v>30</v>
      </c>
      <c r="B149" s="2">
        <v>2017</v>
      </c>
      <c r="C149" s="1" t="s">
        <v>35</v>
      </c>
      <c r="D149" s="1">
        <v>133.30000000000001</v>
      </c>
      <c r="E149" s="1">
        <v>138.30000000000001</v>
      </c>
      <c r="F149" s="1">
        <v>129.30000000000001</v>
      </c>
      <c r="G149" s="1">
        <v>137.19999999999999</v>
      </c>
      <c r="H149" s="1">
        <v>122.1</v>
      </c>
      <c r="I149" s="1">
        <v>138.69999999999999</v>
      </c>
      <c r="J149" s="1">
        <v>119.1</v>
      </c>
      <c r="K149" s="1">
        <v>156.9</v>
      </c>
      <c r="L149" s="1">
        <v>116.2</v>
      </c>
      <c r="M149" s="1">
        <v>136</v>
      </c>
      <c r="N149" s="1">
        <v>129.4</v>
      </c>
      <c r="O149" s="1">
        <v>144.4</v>
      </c>
      <c r="P149" s="1">
        <v>133.6</v>
      </c>
      <c r="Q149" s="1">
        <v>143.69999999999999</v>
      </c>
      <c r="R149" s="1">
        <v>140.9</v>
      </c>
      <c r="S149" s="1">
        <v>135.80000000000001</v>
      </c>
      <c r="T149" s="1">
        <v>140.19999999999999</v>
      </c>
      <c r="U149" s="1">
        <f>U150</f>
        <v>130.5</v>
      </c>
      <c r="V149" s="1">
        <v>133.19999999999999</v>
      </c>
      <c r="W149" s="1">
        <v>133.6</v>
      </c>
      <c r="X149" s="1">
        <v>130.1</v>
      </c>
      <c r="Y149" s="1">
        <v>119.5</v>
      </c>
      <c r="Z149" s="1">
        <v>127.7</v>
      </c>
      <c r="AA149" s="1">
        <v>134.9</v>
      </c>
      <c r="AB149" s="1">
        <v>123.2</v>
      </c>
      <c r="AC149" s="1">
        <v>127</v>
      </c>
      <c r="AD149" s="1">
        <v>132.6</v>
      </c>
    </row>
    <row r="150" spans="1:30" x14ac:dyDescent="0.3">
      <c r="A150" s="1" t="s">
        <v>33</v>
      </c>
      <c r="B150" s="2">
        <v>2017</v>
      </c>
      <c r="C150" s="1" t="s">
        <v>35</v>
      </c>
      <c r="D150" s="1">
        <v>132.80000000000001</v>
      </c>
      <c r="E150" s="1">
        <v>139.80000000000001</v>
      </c>
      <c r="F150" s="1">
        <v>129.30000000000001</v>
      </c>
      <c r="G150" s="1">
        <v>133.5</v>
      </c>
      <c r="H150" s="1">
        <v>114.3</v>
      </c>
      <c r="I150" s="1">
        <v>131.4</v>
      </c>
      <c r="J150" s="1">
        <v>120.2</v>
      </c>
      <c r="K150" s="1">
        <v>143.1</v>
      </c>
      <c r="L150" s="1">
        <v>119.5</v>
      </c>
      <c r="M150" s="1">
        <v>144</v>
      </c>
      <c r="N150" s="1">
        <v>123.4</v>
      </c>
      <c r="O150" s="1">
        <v>141.9</v>
      </c>
      <c r="P150" s="1">
        <v>132.1</v>
      </c>
      <c r="Q150" s="1">
        <v>146.30000000000001</v>
      </c>
      <c r="R150" s="1">
        <v>130.5</v>
      </c>
      <c r="S150" s="1">
        <v>122.5</v>
      </c>
      <c r="T150" s="1">
        <v>129.30000000000001</v>
      </c>
      <c r="U150" s="1">
        <v>130.5</v>
      </c>
      <c r="V150" s="1">
        <v>119.2</v>
      </c>
      <c r="W150" s="1">
        <v>125.3</v>
      </c>
      <c r="X150" s="1">
        <v>122.9</v>
      </c>
      <c r="Y150" s="1">
        <v>115.5</v>
      </c>
      <c r="Z150" s="1">
        <v>122.2</v>
      </c>
      <c r="AA150" s="1">
        <v>132.4</v>
      </c>
      <c r="AB150" s="1">
        <v>121.7</v>
      </c>
      <c r="AC150" s="1">
        <v>122.4</v>
      </c>
      <c r="AD150" s="1">
        <v>128.19999999999999</v>
      </c>
    </row>
    <row r="151" spans="1:30" x14ac:dyDescent="0.3">
      <c r="A151" s="1" t="s">
        <v>34</v>
      </c>
      <c r="B151" s="2">
        <v>2017</v>
      </c>
      <c r="C151" s="1" t="s">
        <v>35</v>
      </c>
      <c r="D151" s="1">
        <v>133.1</v>
      </c>
      <c r="E151" s="1">
        <v>138.80000000000001</v>
      </c>
      <c r="F151" s="1">
        <v>129.30000000000001</v>
      </c>
      <c r="G151" s="1">
        <v>135.80000000000001</v>
      </c>
      <c r="H151" s="1">
        <v>119.2</v>
      </c>
      <c r="I151" s="1">
        <v>135.30000000000001</v>
      </c>
      <c r="J151" s="1">
        <v>119.5</v>
      </c>
      <c r="K151" s="1">
        <v>152.19999999999999</v>
      </c>
      <c r="L151" s="1">
        <v>117.3</v>
      </c>
      <c r="M151" s="1">
        <v>138.69999999999999</v>
      </c>
      <c r="N151" s="1">
        <v>126.9</v>
      </c>
      <c r="O151" s="1">
        <v>143.19999999999999</v>
      </c>
      <c r="P151" s="1">
        <v>133</v>
      </c>
      <c r="Q151" s="1">
        <v>144.4</v>
      </c>
      <c r="R151" s="1">
        <v>136.80000000000001</v>
      </c>
      <c r="S151" s="1">
        <v>130.30000000000001</v>
      </c>
      <c r="T151" s="1">
        <v>135.9</v>
      </c>
      <c r="U151" s="1">
        <v>130.5</v>
      </c>
      <c r="V151" s="1">
        <v>127.9</v>
      </c>
      <c r="W151" s="1">
        <v>129.69999999999999</v>
      </c>
      <c r="X151" s="1">
        <v>127.4</v>
      </c>
      <c r="Y151" s="1">
        <v>117.4</v>
      </c>
      <c r="Z151" s="1">
        <v>124.6</v>
      </c>
      <c r="AA151" s="1">
        <v>133.4</v>
      </c>
      <c r="AB151" s="1">
        <v>122.6</v>
      </c>
      <c r="AC151" s="1">
        <v>124.8</v>
      </c>
      <c r="AD151" s="1">
        <v>130.6</v>
      </c>
    </row>
    <row r="152" spans="1:30" x14ac:dyDescent="0.3">
      <c r="A152" s="1" t="s">
        <v>30</v>
      </c>
      <c r="B152" s="2">
        <v>2017</v>
      </c>
      <c r="C152" s="1" t="s">
        <v>36</v>
      </c>
      <c r="D152" s="1">
        <v>133.6</v>
      </c>
      <c r="E152" s="1">
        <v>138.80000000000001</v>
      </c>
      <c r="F152" s="1">
        <v>128.80000000000001</v>
      </c>
      <c r="G152" s="1">
        <v>137.19999999999999</v>
      </c>
      <c r="H152" s="1">
        <v>121.6</v>
      </c>
      <c r="I152" s="1">
        <v>139.69999999999999</v>
      </c>
      <c r="J152" s="1">
        <v>119.7</v>
      </c>
      <c r="K152" s="1">
        <v>148</v>
      </c>
      <c r="L152" s="1">
        <v>116.9</v>
      </c>
      <c r="M152" s="1">
        <v>135.6</v>
      </c>
      <c r="N152" s="1">
        <v>129.80000000000001</v>
      </c>
      <c r="O152" s="1">
        <v>145.4</v>
      </c>
      <c r="P152" s="1">
        <v>133.4</v>
      </c>
      <c r="Q152" s="1">
        <v>144.19999999999999</v>
      </c>
      <c r="R152" s="1">
        <v>141.6</v>
      </c>
      <c r="S152" s="1">
        <v>136.19999999999999</v>
      </c>
      <c r="T152" s="1">
        <v>140.80000000000001</v>
      </c>
      <c r="U152" s="1">
        <f>U153</f>
        <v>131.1</v>
      </c>
      <c r="V152" s="1">
        <v>134.19999999999999</v>
      </c>
      <c r="W152" s="1">
        <v>134.1</v>
      </c>
      <c r="X152" s="1">
        <v>130.6</v>
      </c>
      <c r="Y152" s="1">
        <v>119.8</v>
      </c>
      <c r="Z152" s="1">
        <v>128.30000000000001</v>
      </c>
      <c r="AA152" s="1">
        <v>135.19999999999999</v>
      </c>
      <c r="AB152" s="1">
        <v>123.3</v>
      </c>
      <c r="AC152" s="1">
        <v>127.4</v>
      </c>
      <c r="AD152" s="1">
        <v>132.80000000000001</v>
      </c>
    </row>
    <row r="153" spans="1:30" x14ac:dyDescent="0.3">
      <c r="A153" s="1" t="s">
        <v>33</v>
      </c>
      <c r="B153" s="2">
        <v>2017</v>
      </c>
      <c r="C153" s="1" t="s">
        <v>36</v>
      </c>
      <c r="D153" s="1">
        <v>132.69999999999999</v>
      </c>
      <c r="E153" s="1">
        <v>139.4</v>
      </c>
      <c r="F153" s="1">
        <v>128.4</v>
      </c>
      <c r="G153" s="1">
        <v>134.9</v>
      </c>
      <c r="H153" s="1">
        <v>114</v>
      </c>
      <c r="I153" s="1">
        <v>136.80000000000001</v>
      </c>
      <c r="J153" s="1">
        <v>122.2</v>
      </c>
      <c r="K153" s="1">
        <v>135.80000000000001</v>
      </c>
      <c r="L153" s="1">
        <v>120.3</v>
      </c>
      <c r="M153" s="1">
        <v>142.6</v>
      </c>
      <c r="N153" s="1">
        <v>123.6</v>
      </c>
      <c r="O153" s="1">
        <v>142.4</v>
      </c>
      <c r="P153" s="1">
        <v>132.6</v>
      </c>
      <c r="Q153" s="1">
        <v>147.5</v>
      </c>
      <c r="R153" s="1">
        <v>130.80000000000001</v>
      </c>
      <c r="S153" s="1">
        <v>122.8</v>
      </c>
      <c r="T153" s="1">
        <v>129.6</v>
      </c>
      <c r="U153" s="1">
        <v>131.1</v>
      </c>
      <c r="V153" s="1">
        <v>120.8</v>
      </c>
      <c r="W153" s="1">
        <v>125.6</v>
      </c>
      <c r="X153" s="1">
        <v>123.1</v>
      </c>
      <c r="Y153" s="1">
        <v>115.6</v>
      </c>
      <c r="Z153" s="1">
        <v>122.4</v>
      </c>
      <c r="AA153" s="1">
        <v>132.80000000000001</v>
      </c>
      <c r="AB153" s="1">
        <v>121.7</v>
      </c>
      <c r="AC153" s="1">
        <v>122.6</v>
      </c>
      <c r="AD153" s="1">
        <v>128.69999999999999</v>
      </c>
    </row>
    <row r="154" spans="1:30" x14ac:dyDescent="0.3">
      <c r="A154" s="1" t="s">
        <v>34</v>
      </c>
      <c r="B154" s="2">
        <v>2017</v>
      </c>
      <c r="C154" s="1" t="s">
        <v>36</v>
      </c>
      <c r="D154" s="1">
        <v>133.30000000000001</v>
      </c>
      <c r="E154" s="1">
        <v>139</v>
      </c>
      <c r="F154" s="1">
        <v>128.6</v>
      </c>
      <c r="G154" s="1">
        <v>136.30000000000001</v>
      </c>
      <c r="H154" s="1">
        <v>118.8</v>
      </c>
      <c r="I154" s="1">
        <v>138.30000000000001</v>
      </c>
      <c r="J154" s="1">
        <v>120.5</v>
      </c>
      <c r="K154" s="1">
        <v>143.9</v>
      </c>
      <c r="L154" s="1">
        <v>118</v>
      </c>
      <c r="M154" s="1">
        <v>137.9</v>
      </c>
      <c r="N154" s="1">
        <v>127.2</v>
      </c>
      <c r="O154" s="1">
        <v>144</v>
      </c>
      <c r="P154" s="1">
        <v>133.1</v>
      </c>
      <c r="Q154" s="1">
        <v>145.1</v>
      </c>
      <c r="R154" s="1">
        <v>137.30000000000001</v>
      </c>
      <c r="S154" s="1">
        <v>130.6</v>
      </c>
      <c r="T154" s="1">
        <v>136.4</v>
      </c>
      <c r="U154" s="1">
        <v>131.1</v>
      </c>
      <c r="V154" s="1">
        <v>129.1</v>
      </c>
      <c r="W154" s="1">
        <v>130.1</v>
      </c>
      <c r="X154" s="1">
        <v>127.8</v>
      </c>
      <c r="Y154" s="1">
        <v>117.6</v>
      </c>
      <c r="Z154" s="1">
        <v>125</v>
      </c>
      <c r="AA154" s="1">
        <v>133.80000000000001</v>
      </c>
      <c r="AB154" s="1">
        <v>122.6</v>
      </c>
      <c r="AC154" s="1">
        <v>125.1</v>
      </c>
      <c r="AD154" s="1">
        <v>130.9</v>
      </c>
    </row>
    <row r="155" spans="1:30" x14ac:dyDescent="0.3">
      <c r="A155" s="1" t="s">
        <v>30</v>
      </c>
      <c r="B155" s="2">
        <v>2017</v>
      </c>
      <c r="C155" s="1" t="s">
        <v>37</v>
      </c>
      <c r="D155" s="1">
        <v>133.19999999999999</v>
      </c>
      <c r="E155" s="1">
        <v>138.69999999999999</v>
      </c>
      <c r="F155" s="1">
        <v>127.1</v>
      </c>
      <c r="G155" s="1">
        <v>137.69999999999999</v>
      </c>
      <c r="H155" s="1">
        <v>121.3</v>
      </c>
      <c r="I155" s="1">
        <v>141.80000000000001</v>
      </c>
      <c r="J155" s="1">
        <v>121.5</v>
      </c>
      <c r="K155" s="1">
        <v>144.5</v>
      </c>
      <c r="L155" s="1">
        <v>117.4</v>
      </c>
      <c r="M155" s="1">
        <v>134.1</v>
      </c>
      <c r="N155" s="1">
        <v>130</v>
      </c>
      <c r="O155" s="1">
        <v>145.5</v>
      </c>
      <c r="P155" s="1">
        <v>133.5</v>
      </c>
      <c r="Q155" s="1">
        <v>144.4</v>
      </c>
      <c r="R155" s="1">
        <v>142.4</v>
      </c>
      <c r="S155" s="1">
        <v>136.80000000000001</v>
      </c>
      <c r="T155" s="1">
        <v>141.6</v>
      </c>
      <c r="U155" s="1">
        <f>U156</f>
        <v>131.69999999999999</v>
      </c>
      <c r="V155" s="1">
        <v>135</v>
      </c>
      <c r="W155" s="1">
        <v>134.30000000000001</v>
      </c>
      <c r="X155" s="1">
        <v>131</v>
      </c>
      <c r="Y155" s="1">
        <v>119.2</v>
      </c>
      <c r="Z155" s="1">
        <v>128.30000000000001</v>
      </c>
      <c r="AA155" s="1">
        <v>135.69999999999999</v>
      </c>
      <c r="AB155" s="1">
        <v>123.7</v>
      </c>
      <c r="AC155" s="1">
        <v>127.5</v>
      </c>
      <c r="AD155" s="1">
        <v>132.9</v>
      </c>
    </row>
    <row r="156" spans="1:30" x14ac:dyDescent="0.3">
      <c r="A156" s="1" t="s">
        <v>33</v>
      </c>
      <c r="B156" s="2">
        <v>2017</v>
      </c>
      <c r="C156" s="1" t="s">
        <v>37</v>
      </c>
      <c r="D156" s="1">
        <v>132.69999999999999</v>
      </c>
      <c r="E156" s="1">
        <v>140.6</v>
      </c>
      <c r="F156" s="1">
        <v>124.5</v>
      </c>
      <c r="G156" s="1">
        <v>136.30000000000001</v>
      </c>
      <c r="H156" s="1">
        <v>113.5</v>
      </c>
      <c r="I156" s="1">
        <v>137.69999999999999</v>
      </c>
      <c r="J156" s="1">
        <v>127.1</v>
      </c>
      <c r="K156" s="1">
        <v>133.80000000000001</v>
      </c>
      <c r="L156" s="1">
        <v>120.8</v>
      </c>
      <c r="M156" s="1">
        <v>141.30000000000001</v>
      </c>
      <c r="N156" s="1">
        <v>123.8</v>
      </c>
      <c r="O156" s="1">
        <v>142.6</v>
      </c>
      <c r="P156" s="1">
        <v>133.4</v>
      </c>
      <c r="Q156" s="1">
        <v>148</v>
      </c>
      <c r="R156" s="1">
        <v>131.19999999999999</v>
      </c>
      <c r="S156" s="1">
        <v>123</v>
      </c>
      <c r="T156" s="1">
        <v>130</v>
      </c>
      <c r="U156" s="1">
        <v>131.69999999999999</v>
      </c>
      <c r="V156" s="1">
        <v>121.4</v>
      </c>
      <c r="W156" s="1">
        <v>126</v>
      </c>
      <c r="X156" s="1">
        <v>123.4</v>
      </c>
      <c r="Y156" s="1">
        <v>114.3</v>
      </c>
      <c r="Z156" s="1">
        <v>122.6</v>
      </c>
      <c r="AA156" s="1">
        <v>133.6</v>
      </c>
      <c r="AB156" s="1">
        <v>122.2</v>
      </c>
      <c r="AC156" s="1">
        <v>122.5</v>
      </c>
      <c r="AD156" s="1">
        <v>129.1</v>
      </c>
    </row>
    <row r="157" spans="1:30" x14ac:dyDescent="0.3">
      <c r="A157" s="1" t="s">
        <v>34</v>
      </c>
      <c r="B157" s="2">
        <v>2017</v>
      </c>
      <c r="C157" s="1" t="s">
        <v>37</v>
      </c>
      <c r="D157" s="1">
        <v>133</v>
      </c>
      <c r="E157" s="1">
        <v>139.4</v>
      </c>
      <c r="F157" s="1">
        <v>126.1</v>
      </c>
      <c r="G157" s="1">
        <v>137.19999999999999</v>
      </c>
      <c r="H157" s="1">
        <v>118.4</v>
      </c>
      <c r="I157" s="1">
        <v>139.9</v>
      </c>
      <c r="J157" s="1">
        <v>123.4</v>
      </c>
      <c r="K157" s="1">
        <v>140.9</v>
      </c>
      <c r="L157" s="1">
        <v>118.5</v>
      </c>
      <c r="M157" s="1">
        <v>136.5</v>
      </c>
      <c r="N157" s="1">
        <v>127.4</v>
      </c>
      <c r="O157" s="1">
        <v>144.19999999999999</v>
      </c>
      <c r="P157" s="1">
        <v>133.5</v>
      </c>
      <c r="Q157" s="1">
        <v>145.4</v>
      </c>
      <c r="R157" s="1">
        <v>138</v>
      </c>
      <c r="S157" s="1">
        <v>131.1</v>
      </c>
      <c r="T157" s="1">
        <v>137</v>
      </c>
      <c r="U157" s="1">
        <v>131.69999999999999</v>
      </c>
      <c r="V157" s="1">
        <v>129.80000000000001</v>
      </c>
      <c r="W157" s="1">
        <v>130.4</v>
      </c>
      <c r="X157" s="1">
        <v>128.1</v>
      </c>
      <c r="Y157" s="1">
        <v>116.6</v>
      </c>
      <c r="Z157" s="1">
        <v>125.1</v>
      </c>
      <c r="AA157" s="1">
        <v>134.5</v>
      </c>
      <c r="AB157" s="1">
        <v>123.1</v>
      </c>
      <c r="AC157" s="1">
        <v>125.1</v>
      </c>
      <c r="AD157" s="1">
        <v>131.1</v>
      </c>
    </row>
    <row r="158" spans="1:30" x14ac:dyDescent="0.3">
      <c r="A158" s="1" t="s">
        <v>30</v>
      </c>
      <c r="B158" s="2">
        <v>2017</v>
      </c>
      <c r="C158" s="1" t="s">
        <v>38</v>
      </c>
      <c r="D158" s="1">
        <v>133.1</v>
      </c>
      <c r="E158" s="1">
        <v>140.30000000000001</v>
      </c>
      <c r="F158" s="1">
        <v>126.8</v>
      </c>
      <c r="G158" s="1">
        <v>138.19999999999999</v>
      </c>
      <c r="H158" s="1">
        <v>120.8</v>
      </c>
      <c r="I158" s="1">
        <v>140.19999999999999</v>
      </c>
      <c r="J158" s="1">
        <v>123.8</v>
      </c>
      <c r="K158" s="1">
        <v>141.80000000000001</v>
      </c>
      <c r="L158" s="1">
        <v>118.6</v>
      </c>
      <c r="M158" s="1">
        <v>134</v>
      </c>
      <c r="N158" s="1">
        <v>130.30000000000001</v>
      </c>
      <c r="O158" s="1">
        <v>145.80000000000001</v>
      </c>
      <c r="P158" s="1">
        <v>133.80000000000001</v>
      </c>
      <c r="Q158" s="1">
        <v>145.5</v>
      </c>
      <c r="R158" s="1">
        <v>142.5</v>
      </c>
      <c r="S158" s="1">
        <v>137.30000000000001</v>
      </c>
      <c r="T158" s="1">
        <v>141.80000000000001</v>
      </c>
      <c r="U158" s="1">
        <f>U159</f>
        <v>132.1</v>
      </c>
      <c r="V158" s="1">
        <v>135</v>
      </c>
      <c r="W158" s="1">
        <v>134.9</v>
      </c>
      <c r="X158" s="1">
        <v>131.4</v>
      </c>
      <c r="Y158" s="1">
        <v>119.4</v>
      </c>
      <c r="Z158" s="1">
        <v>129.4</v>
      </c>
      <c r="AA158" s="1">
        <v>136.30000000000001</v>
      </c>
      <c r="AB158" s="1">
        <v>123.7</v>
      </c>
      <c r="AC158" s="1">
        <v>127.9</v>
      </c>
      <c r="AD158" s="1">
        <v>133.30000000000001</v>
      </c>
    </row>
    <row r="159" spans="1:30" x14ac:dyDescent="0.3">
      <c r="A159" s="1" t="s">
        <v>33</v>
      </c>
      <c r="B159" s="2">
        <v>2017</v>
      </c>
      <c r="C159" s="1" t="s">
        <v>38</v>
      </c>
      <c r="D159" s="1">
        <v>132.6</v>
      </c>
      <c r="E159" s="1">
        <v>144.1</v>
      </c>
      <c r="F159" s="1">
        <v>125.6</v>
      </c>
      <c r="G159" s="1">
        <v>136.80000000000001</v>
      </c>
      <c r="H159" s="1">
        <v>113.4</v>
      </c>
      <c r="I159" s="1">
        <v>135.19999999999999</v>
      </c>
      <c r="J159" s="1">
        <v>129.19999999999999</v>
      </c>
      <c r="K159" s="1">
        <v>131.5</v>
      </c>
      <c r="L159" s="1">
        <v>121</v>
      </c>
      <c r="M159" s="1">
        <v>139.9</v>
      </c>
      <c r="N159" s="1">
        <v>123.8</v>
      </c>
      <c r="O159" s="1">
        <v>142.9</v>
      </c>
      <c r="P159" s="1">
        <v>133.6</v>
      </c>
      <c r="Q159" s="1">
        <v>148.30000000000001</v>
      </c>
      <c r="R159" s="1">
        <v>131.5</v>
      </c>
      <c r="S159" s="1">
        <v>123.2</v>
      </c>
      <c r="T159" s="1">
        <v>130.19999999999999</v>
      </c>
      <c r="U159" s="1">
        <v>132.1</v>
      </c>
      <c r="V159" s="1">
        <v>120.1</v>
      </c>
      <c r="W159" s="1">
        <v>126.5</v>
      </c>
      <c r="X159" s="1">
        <v>123.6</v>
      </c>
      <c r="Y159" s="1">
        <v>114.3</v>
      </c>
      <c r="Z159" s="1">
        <v>122.8</v>
      </c>
      <c r="AA159" s="1">
        <v>133.80000000000001</v>
      </c>
      <c r="AB159" s="1">
        <v>122</v>
      </c>
      <c r="AC159" s="1">
        <v>122.6</v>
      </c>
      <c r="AD159" s="1">
        <v>129.30000000000001</v>
      </c>
    </row>
    <row r="160" spans="1:30" x14ac:dyDescent="0.3">
      <c r="A160" s="1" t="s">
        <v>34</v>
      </c>
      <c r="B160" s="2">
        <v>2017</v>
      </c>
      <c r="C160" s="1" t="s">
        <v>38</v>
      </c>
      <c r="D160" s="1">
        <v>132.9</v>
      </c>
      <c r="E160" s="1">
        <v>141.6</v>
      </c>
      <c r="F160" s="1">
        <v>126.3</v>
      </c>
      <c r="G160" s="1">
        <v>137.69999999999999</v>
      </c>
      <c r="H160" s="1">
        <v>118.1</v>
      </c>
      <c r="I160" s="1">
        <v>137.9</v>
      </c>
      <c r="J160" s="1">
        <v>125.6</v>
      </c>
      <c r="K160" s="1">
        <v>138.30000000000001</v>
      </c>
      <c r="L160" s="1">
        <v>119.4</v>
      </c>
      <c r="M160" s="1">
        <v>136</v>
      </c>
      <c r="N160" s="1">
        <v>127.6</v>
      </c>
      <c r="O160" s="1">
        <v>144.5</v>
      </c>
      <c r="P160" s="1">
        <v>133.69999999999999</v>
      </c>
      <c r="Q160" s="1">
        <v>146.19999999999999</v>
      </c>
      <c r="R160" s="1">
        <v>138.19999999999999</v>
      </c>
      <c r="S160" s="1">
        <v>131.4</v>
      </c>
      <c r="T160" s="1">
        <v>137.19999999999999</v>
      </c>
      <c r="U160" s="1">
        <v>132.1</v>
      </c>
      <c r="V160" s="1">
        <v>129.4</v>
      </c>
      <c r="W160" s="1">
        <v>130.9</v>
      </c>
      <c r="X160" s="1">
        <v>128.4</v>
      </c>
      <c r="Y160" s="1">
        <v>116.7</v>
      </c>
      <c r="Z160" s="1">
        <v>125.7</v>
      </c>
      <c r="AA160" s="1">
        <v>134.80000000000001</v>
      </c>
      <c r="AB160" s="1">
        <v>123</v>
      </c>
      <c r="AC160" s="1">
        <v>125.3</v>
      </c>
      <c r="AD160" s="1">
        <v>131.4</v>
      </c>
    </row>
    <row r="161" spans="1:30" x14ac:dyDescent="0.3">
      <c r="A161" s="1" t="s">
        <v>30</v>
      </c>
      <c r="B161" s="2">
        <v>2017</v>
      </c>
      <c r="C161" s="1" t="s">
        <v>39</v>
      </c>
      <c r="D161" s="1">
        <v>133.5</v>
      </c>
      <c r="E161" s="1">
        <v>143.69999999999999</v>
      </c>
      <c r="F161" s="1">
        <v>128</v>
      </c>
      <c r="G161" s="1">
        <v>138.6</v>
      </c>
      <c r="H161" s="1">
        <v>120.9</v>
      </c>
      <c r="I161" s="1">
        <v>140.9</v>
      </c>
      <c r="J161" s="1">
        <v>128.80000000000001</v>
      </c>
      <c r="K161" s="1">
        <v>140.19999999999999</v>
      </c>
      <c r="L161" s="1">
        <v>118.9</v>
      </c>
      <c r="M161" s="1">
        <v>133.5</v>
      </c>
      <c r="N161" s="1">
        <v>130.4</v>
      </c>
      <c r="O161" s="1">
        <v>146.5</v>
      </c>
      <c r="P161" s="1">
        <v>134.9</v>
      </c>
      <c r="Q161" s="1">
        <v>145.80000000000001</v>
      </c>
      <c r="R161" s="1">
        <v>143.1</v>
      </c>
      <c r="S161" s="1">
        <v>137.69999999999999</v>
      </c>
      <c r="T161" s="1">
        <v>142.30000000000001</v>
      </c>
      <c r="U161" s="1">
        <f>U162</f>
        <v>131.4</v>
      </c>
      <c r="V161" s="1">
        <v>134.80000000000001</v>
      </c>
      <c r="W161" s="1">
        <v>135.19999999999999</v>
      </c>
      <c r="X161" s="1">
        <v>131.30000000000001</v>
      </c>
      <c r="Y161" s="1">
        <v>119.4</v>
      </c>
      <c r="Z161" s="1">
        <v>129.80000000000001</v>
      </c>
      <c r="AA161" s="1">
        <v>136.9</v>
      </c>
      <c r="AB161" s="1">
        <v>124.1</v>
      </c>
      <c r="AC161" s="1">
        <v>128.1</v>
      </c>
      <c r="AD161" s="1">
        <v>133.9</v>
      </c>
    </row>
    <row r="162" spans="1:30" x14ac:dyDescent="0.3">
      <c r="A162" s="1" t="s">
        <v>33</v>
      </c>
      <c r="B162" s="2">
        <v>2017</v>
      </c>
      <c r="C162" s="1" t="s">
        <v>39</v>
      </c>
      <c r="D162" s="1">
        <v>132.9</v>
      </c>
      <c r="E162" s="1">
        <v>148.69999999999999</v>
      </c>
      <c r="F162" s="1">
        <v>128.30000000000001</v>
      </c>
      <c r="G162" s="1">
        <v>137.30000000000001</v>
      </c>
      <c r="H162" s="1">
        <v>113.5</v>
      </c>
      <c r="I162" s="1">
        <v>137.19999999999999</v>
      </c>
      <c r="J162" s="1">
        <v>142.19999999999999</v>
      </c>
      <c r="K162" s="1">
        <v>128.19999999999999</v>
      </c>
      <c r="L162" s="1">
        <v>120.9</v>
      </c>
      <c r="M162" s="1">
        <v>138.80000000000001</v>
      </c>
      <c r="N162" s="1">
        <v>124.2</v>
      </c>
      <c r="O162" s="1">
        <v>143.1</v>
      </c>
      <c r="P162" s="1">
        <v>135.69999999999999</v>
      </c>
      <c r="Q162" s="1">
        <v>148.6</v>
      </c>
      <c r="R162" s="1">
        <v>131.5</v>
      </c>
      <c r="S162" s="1">
        <v>123.2</v>
      </c>
      <c r="T162" s="1">
        <v>130.19999999999999</v>
      </c>
      <c r="U162" s="1">
        <v>131.4</v>
      </c>
      <c r="V162" s="1">
        <v>119</v>
      </c>
      <c r="W162" s="1">
        <v>126.8</v>
      </c>
      <c r="X162" s="1">
        <v>123.8</v>
      </c>
      <c r="Y162" s="1">
        <v>113.9</v>
      </c>
      <c r="Z162" s="1">
        <v>122.9</v>
      </c>
      <c r="AA162" s="1">
        <v>134.30000000000001</v>
      </c>
      <c r="AB162" s="1">
        <v>122.5</v>
      </c>
      <c r="AC162" s="1">
        <v>122.7</v>
      </c>
      <c r="AD162" s="1">
        <v>129.9</v>
      </c>
    </row>
    <row r="163" spans="1:30" x14ac:dyDescent="0.3">
      <c r="A163" s="1" t="s">
        <v>34</v>
      </c>
      <c r="B163" s="2">
        <v>2017</v>
      </c>
      <c r="C163" s="1" t="s">
        <v>39</v>
      </c>
      <c r="D163" s="1">
        <v>133.30000000000001</v>
      </c>
      <c r="E163" s="1">
        <v>145.5</v>
      </c>
      <c r="F163" s="1">
        <v>128.1</v>
      </c>
      <c r="G163" s="1">
        <v>138.1</v>
      </c>
      <c r="H163" s="1">
        <v>118.2</v>
      </c>
      <c r="I163" s="1">
        <v>139.19999999999999</v>
      </c>
      <c r="J163" s="1">
        <v>133.30000000000001</v>
      </c>
      <c r="K163" s="1">
        <v>136.19999999999999</v>
      </c>
      <c r="L163" s="1">
        <v>119.6</v>
      </c>
      <c r="M163" s="1">
        <v>135.30000000000001</v>
      </c>
      <c r="N163" s="1">
        <v>127.8</v>
      </c>
      <c r="O163" s="1">
        <v>144.9</v>
      </c>
      <c r="P163" s="1">
        <v>135.19999999999999</v>
      </c>
      <c r="Q163" s="1">
        <v>146.5</v>
      </c>
      <c r="R163" s="1">
        <v>138.5</v>
      </c>
      <c r="S163" s="1">
        <v>131.69999999999999</v>
      </c>
      <c r="T163" s="1">
        <v>137.5</v>
      </c>
      <c r="U163" s="1">
        <v>131.4</v>
      </c>
      <c r="V163" s="1">
        <v>128.80000000000001</v>
      </c>
      <c r="W163" s="1">
        <v>131.19999999999999</v>
      </c>
      <c r="X163" s="1">
        <v>128.5</v>
      </c>
      <c r="Y163" s="1">
        <v>116.5</v>
      </c>
      <c r="Z163" s="1">
        <v>125.9</v>
      </c>
      <c r="AA163" s="1">
        <v>135.4</v>
      </c>
      <c r="AB163" s="1">
        <v>123.4</v>
      </c>
      <c r="AC163" s="1">
        <v>125.5</v>
      </c>
      <c r="AD163" s="1">
        <v>132</v>
      </c>
    </row>
    <row r="164" spans="1:30" x14ac:dyDescent="0.3">
      <c r="A164" s="1" t="s">
        <v>30</v>
      </c>
      <c r="B164" s="2">
        <v>2017</v>
      </c>
      <c r="C164" s="1" t="s">
        <v>40</v>
      </c>
      <c r="D164" s="1">
        <v>134</v>
      </c>
      <c r="E164" s="1">
        <v>144.19999999999999</v>
      </c>
      <c r="F164" s="1">
        <v>129.80000000000001</v>
      </c>
      <c r="G164" s="1">
        <v>139</v>
      </c>
      <c r="H164" s="1">
        <v>120.9</v>
      </c>
      <c r="I164" s="1">
        <v>143.9</v>
      </c>
      <c r="J164" s="1">
        <v>151.5</v>
      </c>
      <c r="K164" s="1">
        <v>138.1</v>
      </c>
      <c r="L164" s="1">
        <v>120</v>
      </c>
      <c r="M164" s="1">
        <v>133.9</v>
      </c>
      <c r="N164" s="1">
        <v>131.4</v>
      </c>
      <c r="O164" s="1">
        <v>147.69999999999999</v>
      </c>
      <c r="P164" s="1">
        <v>138.5</v>
      </c>
      <c r="Q164" s="1">
        <v>147.4</v>
      </c>
      <c r="R164" s="1">
        <v>144.30000000000001</v>
      </c>
      <c r="S164" s="1">
        <v>138.1</v>
      </c>
      <c r="T164" s="1">
        <v>143.5</v>
      </c>
      <c r="U164" s="1">
        <f>U165</f>
        <v>132.6</v>
      </c>
      <c r="V164" s="1">
        <v>135.30000000000001</v>
      </c>
      <c r="W164" s="1">
        <v>136.1</v>
      </c>
      <c r="X164" s="1">
        <v>132.1</v>
      </c>
      <c r="Y164" s="1">
        <v>119.1</v>
      </c>
      <c r="Z164" s="1">
        <v>130.6</v>
      </c>
      <c r="AA164" s="1">
        <v>138.6</v>
      </c>
      <c r="AB164" s="1">
        <v>124.4</v>
      </c>
      <c r="AC164" s="1">
        <v>128.6</v>
      </c>
      <c r="AD164" s="1">
        <v>136.19999999999999</v>
      </c>
    </row>
    <row r="165" spans="1:30" x14ac:dyDescent="0.3">
      <c r="A165" s="1" t="s">
        <v>33</v>
      </c>
      <c r="B165" s="2">
        <v>2017</v>
      </c>
      <c r="C165" s="1" t="s">
        <v>40</v>
      </c>
      <c r="D165" s="1">
        <v>132.80000000000001</v>
      </c>
      <c r="E165" s="1">
        <v>148.4</v>
      </c>
      <c r="F165" s="1">
        <v>129.4</v>
      </c>
      <c r="G165" s="1">
        <v>137.69999999999999</v>
      </c>
      <c r="H165" s="1">
        <v>113.4</v>
      </c>
      <c r="I165" s="1">
        <v>139.4</v>
      </c>
      <c r="J165" s="1">
        <v>175.1</v>
      </c>
      <c r="K165" s="1">
        <v>124.7</v>
      </c>
      <c r="L165" s="1">
        <v>121.5</v>
      </c>
      <c r="M165" s="1">
        <v>137.80000000000001</v>
      </c>
      <c r="N165" s="1">
        <v>124.4</v>
      </c>
      <c r="O165" s="1">
        <v>143.69999999999999</v>
      </c>
      <c r="P165" s="1">
        <v>139.80000000000001</v>
      </c>
      <c r="Q165" s="1">
        <v>150.5</v>
      </c>
      <c r="R165" s="1">
        <v>131.6</v>
      </c>
      <c r="S165" s="1">
        <v>123.7</v>
      </c>
      <c r="T165" s="1">
        <v>130.4</v>
      </c>
      <c r="U165" s="1">
        <v>132.6</v>
      </c>
      <c r="V165" s="1">
        <v>119.7</v>
      </c>
      <c r="W165" s="1">
        <v>127.2</v>
      </c>
      <c r="X165" s="1">
        <v>125</v>
      </c>
      <c r="Y165" s="1">
        <v>113.2</v>
      </c>
      <c r="Z165" s="1">
        <v>123.5</v>
      </c>
      <c r="AA165" s="1">
        <v>135.5</v>
      </c>
      <c r="AB165" s="1">
        <v>122.4</v>
      </c>
      <c r="AC165" s="1">
        <v>123</v>
      </c>
      <c r="AD165" s="1">
        <v>131.80000000000001</v>
      </c>
    </row>
    <row r="166" spans="1:30" x14ac:dyDescent="0.3">
      <c r="A166" s="1" t="s">
        <v>34</v>
      </c>
      <c r="B166" s="2">
        <v>2017</v>
      </c>
      <c r="C166" s="1" t="s">
        <v>40</v>
      </c>
      <c r="D166" s="1">
        <v>133.6</v>
      </c>
      <c r="E166" s="1">
        <v>145.69999999999999</v>
      </c>
      <c r="F166" s="1">
        <v>129.6</v>
      </c>
      <c r="G166" s="1">
        <v>138.5</v>
      </c>
      <c r="H166" s="1">
        <v>118.1</v>
      </c>
      <c r="I166" s="1">
        <v>141.80000000000001</v>
      </c>
      <c r="J166" s="1">
        <v>159.5</v>
      </c>
      <c r="K166" s="1">
        <v>133.6</v>
      </c>
      <c r="L166" s="1">
        <v>120.5</v>
      </c>
      <c r="M166" s="1">
        <v>135.19999999999999</v>
      </c>
      <c r="N166" s="1">
        <v>128.5</v>
      </c>
      <c r="O166" s="1">
        <v>145.80000000000001</v>
      </c>
      <c r="P166" s="1">
        <v>139</v>
      </c>
      <c r="Q166" s="1">
        <v>148.19999999999999</v>
      </c>
      <c r="R166" s="1">
        <v>139.30000000000001</v>
      </c>
      <c r="S166" s="1">
        <v>132.1</v>
      </c>
      <c r="T166" s="1">
        <v>138.30000000000001</v>
      </c>
      <c r="U166" s="1">
        <v>132.6</v>
      </c>
      <c r="V166" s="1">
        <v>129.4</v>
      </c>
      <c r="W166" s="1">
        <v>131.9</v>
      </c>
      <c r="X166" s="1">
        <v>129.4</v>
      </c>
      <c r="Y166" s="1">
        <v>116</v>
      </c>
      <c r="Z166" s="1">
        <v>126.6</v>
      </c>
      <c r="AA166" s="1">
        <v>136.80000000000001</v>
      </c>
      <c r="AB166" s="1">
        <v>123.6</v>
      </c>
      <c r="AC166" s="1">
        <v>125.9</v>
      </c>
      <c r="AD166" s="1">
        <v>134.19999999999999</v>
      </c>
    </row>
    <row r="167" spans="1:30" x14ac:dyDescent="0.3">
      <c r="A167" s="1" t="s">
        <v>30</v>
      </c>
      <c r="B167" s="2">
        <v>2017</v>
      </c>
      <c r="C167" s="1" t="s">
        <v>41</v>
      </c>
      <c r="D167" s="1">
        <v>134.80000000000001</v>
      </c>
      <c r="E167" s="1">
        <v>143.1</v>
      </c>
      <c r="F167" s="1">
        <v>130</v>
      </c>
      <c r="G167" s="1">
        <v>139.4</v>
      </c>
      <c r="H167" s="1">
        <v>120.5</v>
      </c>
      <c r="I167" s="1">
        <v>148</v>
      </c>
      <c r="J167" s="1">
        <v>162.9</v>
      </c>
      <c r="K167" s="1">
        <v>137.4</v>
      </c>
      <c r="L167" s="1">
        <v>120.8</v>
      </c>
      <c r="M167" s="1">
        <v>134.69999999999999</v>
      </c>
      <c r="N167" s="1">
        <v>131.6</v>
      </c>
      <c r="O167" s="1">
        <v>148.69999999999999</v>
      </c>
      <c r="P167" s="1">
        <v>140.6</v>
      </c>
      <c r="Q167" s="1">
        <v>149</v>
      </c>
      <c r="R167" s="1">
        <v>145.30000000000001</v>
      </c>
      <c r="S167" s="1">
        <v>139.19999999999999</v>
      </c>
      <c r="T167" s="1">
        <v>144.5</v>
      </c>
      <c r="U167" s="1">
        <f>U168</f>
        <v>134.4</v>
      </c>
      <c r="V167" s="1">
        <v>136.4</v>
      </c>
      <c r="W167" s="1">
        <v>137.30000000000001</v>
      </c>
      <c r="X167" s="1">
        <v>133</v>
      </c>
      <c r="Y167" s="1">
        <v>120.3</v>
      </c>
      <c r="Z167" s="1">
        <v>131.5</v>
      </c>
      <c r="AA167" s="1">
        <v>140.19999999999999</v>
      </c>
      <c r="AB167" s="1">
        <v>125.4</v>
      </c>
      <c r="AC167" s="1">
        <v>129.69999999999999</v>
      </c>
      <c r="AD167" s="1">
        <v>137.80000000000001</v>
      </c>
    </row>
    <row r="168" spans="1:30" x14ac:dyDescent="0.3">
      <c r="A168" s="1" t="s">
        <v>33</v>
      </c>
      <c r="B168" s="2">
        <v>2017</v>
      </c>
      <c r="C168" s="1" t="s">
        <v>41</v>
      </c>
      <c r="D168" s="1">
        <v>133.19999999999999</v>
      </c>
      <c r="E168" s="1">
        <v>143.9</v>
      </c>
      <c r="F168" s="1">
        <v>128.30000000000001</v>
      </c>
      <c r="G168" s="1">
        <v>138.30000000000001</v>
      </c>
      <c r="H168" s="1">
        <v>114.1</v>
      </c>
      <c r="I168" s="1">
        <v>142.69999999999999</v>
      </c>
      <c r="J168" s="1">
        <v>179.8</v>
      </c>
      <c r="K168" s="1">
        <v>123.5</v>
      </c>
      <c r="L168" s="1">
        <v>122.1</v>
      </c>
      <c r="M168" s="1">
        <v>137.5</v>
      </c>
      <c r="N168" s="1">
        <v>124.6</v>
      </c>
      <c r="O168" s="1">
        <v>144.5</v>
      </c>
      <c r="P168" s="1">
        <v>140.5</v>
      </c>
      <c r="Q168" s="1">
        <v>152.1</v>
      </c>
      <c r="R168" s="1">
        <v>132.69999999999999</v>
      </c>
      <c r="S168" s="1">
        <v>124.3</v>
      </c>
      <c r="T168" s="1">
        <v>131.4</v>
      </c>
      <c r="U168" s="1">
        <v>134.4</v>
      </c>
      <c r="V168" s="1">
        <v>118.9</v>
      </c>
      <c r="W168" s="1">
        <v>127.7</v>
      </c>
      <c r="X168" s="1">
        <v>125.7</v>
      </c>
      <c r="Y168" s="1">
        <v>114.6</v>
      </c>
      <c r="Z168" s="1">
        <v>124.1</v>
      </c>
      <c r="AA168" s="1">
        <v>135.69999999999999</v>
      </c>
      <c r="AB168" s="1">
        <v>123.3</v>
      </c>
      <c r="AC168" s="1">
        <v>123.8</v>
      </c>
      <c r="AD168" s="1">
        <v>132.69999999999999</v>
      </c>
    </row>
    <row r="169" spans="1:30" x14ac:dyDescent="0.3">
      <c r="A169" s="1" t="s">
        <v>34</v>
      </c>
      <c r="B169" s="2">
        <v>2017</v>
      </c>
      <c r="C169" s="1" t="s">
        <v>41</v>
      </c>
      <c r="D169" s="1">
        <v>134.30000000000001</v>
      </c>
      <c r="E169" s="1">
        <v>143.4</v>
      </c>
      <c r="F169" s="1">
        <v>129.30000000000001</v>
      </c>
      <c r="G169" s="1">
        <v>139</v>
      </c>
      <c r="H169" s="1">
        <v>118.1</v>
      </c>
      <c r="I169" s="1">
        <v>145.5</v>
      </c>
      <c r="J169" s="1">
        <v>168.6</v>
      </c>
      <c r="K169" s="1">
        <v>132.69999999999999</v>
      </c>
      <c r="L169" s="1">
        <v>121.2</v>
      </c>
      <c r="M169" s="1">
        <v>135.6</v>
      </c>
      <c r="N169" s="1">
        <v>128.69999999999999</v>
      </c>
      <c r="O169" s="1">
        <v>146.80000000000001</v>
      </c>
      <c r="P169" s="1">
        <v>140.6</v>
      </c>
      <c r="Q169" s="1">
        <v>149.80000000000001</v>
      </c>
      <c r="R169" s="1">
        <v>140.30000000000001</v>
      </c>
      <c r="S169" s="1">
        <v>133</v>
      </c>
      <c r="T169" s="1">
        <v>139.30000000000001</v>
      </c>
      <c r="U169" s="1">
        <v>134.4</v>
      </c>
      <c r="V169" s="1">
        <v>129.80000000000001</v>
      </c>
      <c r="W169" s="1">
        <v>132.80000000000001</v>
      </c>
      <c r="X169" s="1">
        <v>130.19999999999999</v>
      </c>
      <c r="Y169" s="1">
        <v>117.3</v>
      </c>
      <c r="Z169" s="1">
        <v>127.3</v>
      </c>
      <c r="AA169" s="1">
        <v>137.6</v>
      </c>
      <c r="AB169" s="1">
        <v>124.5</v>
      </c>
      <c r="AC169" s="1">
        <v>126.8</v>
      </c>
      <c r="AD169" s="1">
        <v>135.4</v>
      </c>
    </row>
    <row r="170" spans="1:30" x14ac:dyDescent="0.3">
      <c r="A170" s="1" t="s">
        <v>30</v>
      </c>
      <c r="B170" s="2">
        <v>2017</v>
      </c>
      <c r="C170" s="1" t="s">
        <v>42</v>
      </c>
      <c r="D170" s="1">
        <v>135.19999999999999</v>
      </c>
      <c r="E170" s="1">
        <v>142</v>
      </c>
      <c r="F170" s="1">
        <v>130.5</v>
      </c>
      <c r="G170" s="1">
        <v>140.19999999999999</v>
      </c>
      <c r="H170" s="1">
        <v>120.7</v>
      </c>
      <c r="I170" s="1">
        <v>147.80000000000001</v>
      </c>
      <c r="J170" s="1">
        <v>154.5</v>
      </c>
      <c r="K170" s="1">
        <v>137.1</v>
      </c>
      <c r="L170" s="1">
        <v>121</v>
      </c>
      <c r="M170" s="1">
        <v>134.69999999999999</v>
      </c>
      <c r="N170" s="1">
        <v>131.69999999999999</v>
      </c>
      <c r="O170" s="1">
        <v>149.30000000000001</v>
      </c>
      <c r="P170" s="1">
        <v>139.6</v>
      </c>
      <c r="Q170" s="1">
        <v>149.80000000000001</v>
      </c>
      <c r="R170" s="1">
        <v>146.1</v>
      </c>
      <c r="S170" s="1">
        <v>139.69999999999999</v>
      </c>
      <c r="T170" s="1">
        <v>145.19999999999999</v>
      </c>
      <c r="U170" s="1">
        <f>U171</f>
        <v>135.69999999999999</v>
      </c>
      <c r="V170" s="1">
        <v>137.4</v>
      </c>
      <c r="W170" s="1">
        <v>137.9</v>
      </c>
      <c r="X170" s="1">
        <v>133.4</v>
      </c>
      <c r="Y170" s="1">
        <v>121.2</v>
      </c>
      <c r="Z170" s="1">
        <v>132.30000000000001</v>
      </c>
      <c r="AA170" s="1">
        <v>139.6</v>
      </c>
      <c r="AB170" s="1">
        <v>126.7</v>
      </c>
      <c r="AC170" s="1">
        <v>130.30000000000001</v>
      </c>
      <c r="AD170" s="1">
        <v>137.6</v>
      </c>
    </row>
    <row r="171" spans="1:30" x14ac:dyDescent="0.3">
      <c r="A171" s="1" t="s">
        <v>33</v>
      </c>
      <c r="B171" s="2">
        <v>2017</v>
      </c>
      <c r="C171" s="1" t="s">
        <v>42</v>
      </c>
      <c r="D171" s="1">
        <v>133.6</v>
      </c>
      <c r="E171" s="1">
        <v>143</v>
      </c>
      <c r="F171" s="1">
        <v>129.69999999999999</v>
      </c>
      <c r="G171" s="1">
        <v>138.69999999999999</v>
      </c>
      <c r="H171" s="1">
        <v>114.5</v>
      </c>
      <c r="I171" s="1">
        <v>137.5</v>
      </c>
      <c r="J171" s="1">
        <v>160.69999999999999</v>
      </c>
      <c r="K171" s="1">
        <v>124.5</v>
      </c>
      <c r="L171" s="1">
        <v>122.4</v>
      </c>
      <c r="M171" s="1">
        <v>137.30000000000001</v>
      </c>
      <c r="N171" s="1">
        <v>124.8</v>
      </c>
      <c r="O171" s="1">
        <v>145</v>
      </c>
      <c r="P171" s="1">
        <v>138</v>
      </c>
      <c r="Q171" s="1">
        <v>153.6</v>
      </c>
      <c r="R171" s="1">
        <v>133.30000000000001</v>
      </c>
      <c r="S171" s="1">
        <v>124.6</v>
      </c>
      <c r="T171" s="1">
        <v>132</v>
      </c>
      <c r="U171" s="1">
        <v>135.69999999999999</v>
      </c>
      <c r="V171" s="1">
        <v>120.6</v>
      </c>
      <c r="W171" s="1">
        <v>128.1</v>
      </c>
      <c r="X171" s="1">
        <v>126.1</v>
      </c>
      <c r="Y171" s="1">
        <v>115.7</v>
      </c>
      <c r="Z171" s="1">
        <v>124.5</v>
      </c>
      <c r="AA171" s="1">
        <v>135.9</v>
      </c>
      <c r="AB171" s="1">
        <v>124.4</v>
      </c>
      <c r="AC171" s="1">
        <v>124.5</v>
      </c>
      <c r="AD171" s="1">
        <v>132.4</v>
      </c>
    </row>
    <row r="172" spans="1:30" x14ac:dyDescent="0.3">
      <c r="A172" s="1" t="s">
        <v>34</v>
      </c>
      <c r="B172" s="2">
        <v>2017</v>
      </c>
      <c r="C172" s="1" t="s">
        <v>42</v>
      </c>
      <c r="D172" s="1">
        <v>134.69999999999999</v>
      </c>
      <c r="E172" s="1">
        <v>142.4</v>
      </c>
      <c r="F172" s="1">
        <v>130.19999999999999</v>
      </c>
      <c r="G172" s="1">
        <v>139.6</v>
      </c>
      <c r="H172" s="1">
        <v>118.4</v>
      </c>
      <c r="I172" s="1">
        <v>143</v>
      </c>
      <c r="J172" s="1">
        <v>156.6</v>
      </c>
      <c r="K172" s="1">
        <v>132.9</v>
      </c>
      <c r="L172" s="1">
        <v>121.5</v>
      </c>
      <c r="M172" s="1">
        <v>135.6</v>
      </c>
      <c r="N172" s="1">
        <v>128.80000000000001</v>
      </c>
      <c r="O172" s="1">
        <v>147.30000000000001</v>
      </c>
      <c r="P172" s="1">
        <v>139</v>
      </c>
      <c r="Q172" s="1">
        <v>150.80000000000001</v>
      </c>
      <c r="R172" s="1">
        <v>141.1</v>
      </c>
      <c r="S172" s="1">
        <v>133.4</v>
      </c>
      <c r="T172" s="1">
        <v>140</v>
      </c>
      <c r="U172" s="1">
        <v>135.69999999999999</v>
      </c>
      <c r="V172" s="1">
        <v>131</v>
      </c>
      <c r="W172" s="1">
        <v>133.30000000000001</v>
      </c>
      <c r="X172" s="1">
        <v>130.6</v>
      </c>
      <c r="Y172" s="1">
        <v>118.3</v>
      </c>
      <c r="Z172" s="1">
        <v>127.9</v>
      </c>
      <c r="AA172" s="1">
        <v>137.4</v>
      </c>
      <c r="AB172" s="1">
        <v>125.7</v>
      </c>
      <c r="AC172" s="1">
        <v>127.5</v>
      </c>
      <c r="AD172" s="1">
        <v>135.19999999999999</v>
      </c>
    </row>
    <row r="173" spans="1:30" x14ac:dyDescent="0.3">
      <c r="A173" s="1" t="s">
        <v>30</v>
      </c>
      <c r="B173" s="2">
        <v>2017</v>
      </c>
      <c r="C173" s="1" t="s">
        <v>43</v>
      </c>
      <c r="D173" s="1">
        <v>135.9</v>
      </c>
      <c r="E173" s="1">
        <v>141.9</v>
      </c>
      <c r="F173" s="1">
        <v>131</v>
      </c>
      <c r="G173" s="1">
        <v>141.5</v>
      </c>
      <c r="H173" s="1">
        <v>121.4</v>
      </c>
      <c r="I173" s="1">
        <v>146.69999999999999</v>
      </c>
      <c r="J173" s="1">
        <v>157.1</v>
      </c>
      <c r="K173" s="1">
        <v>136.4</v>
      </c>
      <c r="L173" s="1">
        <v>121.4</v>
      </c>
      <c r="M173" s="1">
        <v>135.6</v>
      </c>
      <c r="N173" s="1">
        <v>131.30000000000001</v>
      </c>
      <c r="O173" s="1">
        <v>150.30000000000001</v>
      </c>
      <c r="P173" s="1">
        <v>140.4</v>
      </c>
      <c r="Q173" s="1">
        <v>150.5</v>
      </c>
      <c r="R173" s="1">
        <v>147.19999999999999</v>
      </c>
      <c r="S173" s="1">
        <v>140.6</v>
      </c>
      <c r="T173" s="1">
        <v>146.19999999999999</v>
      </c>
      <c r="U173" s="1">
        <f>U174</f>
        <v>137.30000000000001</v>
      </c>
      <c r="V173" s="1">
        <v>138.1</v>
      </c>
      <c r="W173" s="1">
        <v>138.4</v>
      </c>
      <c r="X173" s="1">
        <v>134.19999999999999</v>
      </c>
      <c r="Y173" s="1">
        <v>121</v>
      </c>
      <c r="Z173" s="1">
        <v>133</v>
      </c>
      <c r="AA173" s="1">
        <v>140.1</v>
      </c>
      <c r="AB173" s="1">
        <v>127.4</v>
      </c>
      <c r="AC173" s="1">
        <v>130.69999999999999</v>
      </c>
      <c r="AD173" s="1">
        <v>138.30000000000001</v>
      </c>
    </row>
    <row r="174" spans="1:30" x14ac:dyDescent="0.3">
      <c r="A174" s="1" t="s">
        <v>33</v>
      </c>
      <c r="B174" s="2">
        <v>2017</v>
      </c>
      <c r="C174" s="1" t="s">
        <v>43</v>
      </c>
      <c r="D174" s="1">
        <v>133.9</v>
      </c>
      <c r="E174" s="1">
        <v>142.80000000000001</v>
      </c>
      <c r="F174" s="1">
        <v>131.4</v>
      </c>
      <c r="G174" s="1">
        <v>139.1</v>
      </c>
      <c r="H174" s="1">
        <v>114.9</v>
      </c>
      <c r="I174" s="1">
        <v>135.6</v>
      </c>
      <c r="J174" s="1">
        <v>173.2</v>
      </c>
      <c r="K174" s="1">
        <v>124.1</v>
      </c>
      <c r="L174" s="1">
        <v>122.6</v>
      </c>
      <c r="M174" s="1">
        <v>137.80000000000001</v>
      </c>
      <c r="N174" s="1">
        <v>125.1</v>
      </c>
      <c r="O174" s="1">
        <v>145.5</v>
      </c>
      <c r="P174" s="1">
        <v>139.69999999999999</v>
      </c>
      <c r="Q174" s="1">
        <v>154.6</v>
      </c>
      <c r="R174" s="1">
        <v>134</v>
      </c>
      <c r="S174" s="1">
        <v>124.9</v>
      </c>
      <c r="T174" s="1">
        <v>132.6</v>
      </c>
      <c r="U174" s="1">
        <v>137.30000000000001</v>
      </c>
      <c r="V174" s="1">
        <v>122.6</v>
      </c>
      <c r="W174" s="1">
        <v>128.30000000000001</v>
      </c>
      <c r="X174" s="1">
        <v>126.6</v>
      </c>
      <c r="Y174" s="1">
        <v>115</v>
      </c>
      <c r="Z174" s="1">
        <v>124.8</v>
      </c>
      <c r="AA174" s="1">
        <v>136.30000000000001</v>
      </c>
      <c r="AB174" s="1">
        <v>124.6</v>
      </c>
      <c r="AC174" s="1">
        <v>124.5</v>
      </c>
      <c r="AD174" s="1">
        <v>133.5</v>
      </c>
    </row>
    <row r="175" spans="1:30" x14ac:dyDescent="0.3">
      <c r="A175" s="1" t="s">
        <v>34</v>
      </c>
      <c r="B175" s="2">
        <v>2017</v>
      </c>
      <c r="C175" s="1" t="s">
        <v>43</v>
      </c>
      <c r="D175" s="1">
        <v>135.30000000000001</v>
      </c>
      <c r="E175" s="1">
        <v>142.19999999999999</v>
      </c>
      <c r="F175" s="1">
        <v>131.19999999999999</v>
      </c>
      <c r="G175" s="1">
        <v>140.6</v>
      </c>
      <c r="H175" s="1">
        <v>119</v>
      </c>
      <c r="I175" s="1">
        <v>141.5</v>
      </c>
      <c r="J175" s="1">
        <v>162.6</v>
      </c>
      <c r="K175" s="1">
        <v>132.30000000000001</v>
      </c>
      <c r="L175" s="1">
        <v>121.8</v>
      </c>
      <c r="M175" s="1">
        <v>136.30000000000001</v>
      </c>
      <c r="N175" s="1">
        <v>128.69999999999999</v>
      </c>
      <c r="O175" s="1">
        <v>148.1</v>
      </c>
      <c r="P175" s="1">
        <v>140.1</v>
      </c>
      <c r="Q175" s="1">
        <v>151.6</v>
      </c>
      <c r="R175" s="1">
        <v>142</v>
      </c>
      <c r="S175" s="1">
        <v>134.1</v>
      </c>
      <c r="T175" s="1">
        <v>140.80000000000001</v>
      </c>
      <c r="U175" s="1">
        <v>137.30000000000001</v>
      </c>
      <c r="V175" s="1">
        <v>132.19999999999999</v>
      </c>
      <c r="W175" s="1">
        <v>133.6</v>
      </c>
      <c r="X175" s="1">
        <v>131.30000000000001</v>
      </c>
      <c r="Y175" s="1">
        <v>117.8</v>
      </c>
      <c r="Z175" s="1">
        <v>128.4</v>
      </c>
      <c r="AA175" s="1">
        <v>137.9</v>
      </c>
      <c r="AB175" s="1">
        <v>126.2</v>
      </c>
      <c r="AC175" s="1">
        <v>127.7</v>
      </c>
      <c r="AD175" s="1">
        <v>136.1</v>
      </c>
    </row>
    <row r="176" spans="1:30" x14ac:dyDescent="0.3">
      <c r="A176" s="1" t="s">
        <v>30</v>
      </c>
      <c r="B176" s="2">
        <v>2017</v>
      </c>
      <c r="C176" s="1" t="s">
        <v>45</v>
      </c>
      <c r="D176" s="1">
        <v>136.30000000000001</v>
      </c>
      <c r="E176" s="1">
        <v>142.5</v>
      </c>
      <c r="F176" s="1">
        <v>140.5</v>
      </c>
      <c r="G176" s="1">
        <v>141.5</v>
      </c>
      <c r="H176" s="1">
        <v>121.6</v>
      </c>
      <c r="I176" s="1">
        <v>147.30000000000001</v>
      </c>
      <c r="J176" s="1">
        <v>168</v>
      </c>
      <c r="K176" s="1">
        <v>135.80000000000001</v>
      </c>
      <c r="L176" s="1">
        <v>122.5</v>
      </c>
      <c r="M176" s="1">
        <v>136</v>
      </c>
      <c r="N176" s="1">
        <v>131.9</v>
      </c>
      <c r="O176" s="1">
        <v>151.4</v>
      </c>
      <c r="P176" s="1">
        <v>142.4</v>
      </c>
      <c r="Q176" s="1">
        <v>152.1</v>
      </c>
      <c r="R176" s="1">
        <v>148.19999999999999</v>
      </c>
      <c r="S176" s="1">
        <v>141.5</v>
      </c>
      <c r="T176" s="1">
        <v>147.30000000000001</v>
      </c>
      <c r="U176" s="1">
        <f>U177</f>
        <v>138.6</v>
      </c>
      <c r="V176" s="1">
        <v>141.1</v>
      </c>
      <c r="W176" s="1">
        <v>139.4</v>
      </c>
      <c r="X176" s="1">
        <v>135.80000000000001</v>
      </c>
      <c r="Y176" s="1">
        <v>121.6</v>
      </c>
      <c r="Z176" s="1">
        <v>133.69999999999999</v>
      </c>
      <c r="AA176" s="1">
        <v>141.5</v>
      </c>
      <c r="AB176" s="1">
        <v>128.1</v>
      </c>
      <c r="AC176" s="1">
        <v>131.69999999999999</v>
      </c>
      <c r="AD176" s="1">
        <v>140</v>
      </c>
    </row>
    <row r="177" spans="1:30" x14ac:dyDescent="0.3">
      <c r="A177" s="1" t="s">
        <v>33</v>
      </c>
      <c r="B177" s="2">
        <v>2017</v>
      </c>
      <c r="C177" s="1" t="s">
        <v>45</v>
      </c>
      <c r="D177" s="1">
        <v>134.30000000000001</v>
      </c>
      <c r="E177" s="1">
        <v>142.1</v>
      </c>
      <c r="F177" s="1">
        <v>146.69999999999999</v>
      </c>
      <c r="G177" s="1">
        <v>139.5</v>
      </c>
      <c r="H177" s="1">
        <v>115.2</v>
      </c>
      <c r="I177" s="1">
        <v>136.4</v>
      </c>
      <c r="J177" s="1">
        <v>185.2</v>
      </c>
      <c r="K177" s="1">
        <v>122.2</v>
      </c>
      <c r="L177" s="1">
        <v>123.9</v>
      </c>
      <c r="M177" s="1">
        <v>138.30000000000001</v>
      </c>
      <c r="N177" s="1">
        <v>125.4</v>
      </c>
      <c r="O177" s="1">
        <v>146</v>
      </c>
      <c r="P177" s="1">
        <v>141.5</v>
      </c>
      <c r="Q177" s="1">
        <v>156.19999999999999</v>
      </c>
      <c r="R177" s="1">
        <v>135</v>
      </c>
      <c r="S177" s="1">
        <v>125.4</v>
      </c>
      <c r="T177" s="1">
        <v>133.5</v>
      </c>
      <c r="U177" s="1">
        <v>138.6</v>
      </c>
      <c r="V177" s="1">
        <v>125.7</v>
      </c>
      <c r="W177" s="1">
        <v>128.80000000000001</v>
      </c>
      <c r="X177" s="1">
        <v>127.4</v>
      </c>
      <c r="Y177" s="1">
        <v>115.3</v>
      </c>
      <c r="Z177" s="1">
        <v>125.1</v>
      </c>
      <c r="AA177" s="1">
        <v>136.6</v>
      </c>
      <c r="AB177" s="1">
        <v>124.9</v>
      </c>
      <c r="AC177" s="1">
        <v>124.9</v>
      </c>
      <c r="AD177" s="1">
        <v>134.80000000000001</v>
      </c>
    </row>
    <row r="178" spans="1:30" x14ac:dyDescent="0.3">
      <c r="A178" s="1" t="s">
        <v>34</v>
      </c>
      <c r="B178" s="2">
        <v>2017</v>
      </c>
      <c r="C178" s="1" t="s">
        <v>45</v>
      </c>
      <c r="D178" s="1">
        <v>135.69999999999999</v>
      </c>
      <c r="E178" s="1">
        <v>142.4</v>
      </c>
      <c r="F178" s="1">
        <v>142.9</v>
      </c>
      <c r="G178" s="1">
        <v>140.80000000000001</v>
      </c>
      <c r="H178" s="1">
        <v>119.2</v>
      </c>
      <c r="I178" s="1">
        <v>142.19999999999999</v>
      </c>
      <c r="J178" s="1">
        <v>173.8</v>
      </c>
      <c r="K178" s="1">
        <v>131.19999999999999</v>
      </c>
      <c r="L178" s="1">
        <v>123</v>
      </c>
      <c r="M178" s="1">
        <v>136.80000000000001</v>
      </c>
      <c r="N178" s="1">
        <v>129.19999999999999</v>
      </c>
      <c r="O178" s="1">
        <v>148.9</v>
      </c>
      <c r="P178" s="1">
        <v>142.1</v>
      </c>
      <c r="Q178" s="1">
        <v>153.19999999999999</v>
      </c>
      <c r="R178" s="1">
        <v>143</v>
      </c>
      <c r="S178" s="1">
        <v>134.80000000000001</v>
      </c>
      <c r="T178" s="1">
        <v>141.80000000000001</v>
      </c>
      <c r="U178" s="1">
        <v>138.6</v>
      </c>
      <c r="V178" s="1">
        <v>135.30000000000001</v>
      </c>
      <c r="W178" s="1">
        <v>134.4</v>
      </c>
      <c r="X178" s="1">
        <v>132.6</v>
      </c>
      <c r="Y178" s="1">
        <v>118.3</v>
      </c>
      <c r="Z178" s="1">
        <v>128.9</v>
      </c>
      <c r="AA178" s="1">
        <v>138.6</v>
      </c>
      <c r="AB178" s="1">
        <v>126.8</v>
      </c>
      <c r="AC178" s="1">
        <v>128.4</v>
      </c>
      <c r="AD178" s="1">
        <v>137.6</v>
      </c>
    </row>
    <row r="179" spans="1:30" x14ac:dyDescent="0.3">
      <c r="A179" s="1" t="s">
        <v>30</v>
      </c>
      <c r="B179" s="2">
        <v>2017</v>
      </c>
      <c r="C179" s="1" t="s">
        <v>46</v>
      </c>
      <c r="D179" s="1">
        <v>136.4</v>
      </c>
      <c r="E179" s="1">
        <v>143.69999999999999</v>
      </c>
      <c r="F179" s="1">
        <v>144.80000000000001</v>
      </c>
      <c r="G179" s="1">
        <v>141.9</v>
      </c>
      <c r="H179" s="1">
        <v>123.1</v>
      </c>
      <c r="I179" s="1">
        <v>147.19999999999999</v>
      </c>
      <c r="J179" s="1">
        <v>161</v>
      </c>
      <c r="K179" s="1">
        <v>133.80000000000001</v>
      </c>
      <c r="L179" s="1">
        <v>121.9</v>
      </c>
      <c r="M179" s="1">
        <v>135.80000000000001</v>
      </c>
      <c r="N179" s="1">
        <v>131.1</v>
      </c>
      <c r="O179" s="1">
        <v>151.4</v>
      </c>
      <c r="P179" s="1">
        <v>141.5</v>
      </c>
      <c r="Q179" s="1">
        <v>153.19999999999999</v>
      </c>
      <c r="R179" s="1">
        <v>148</v>
      </c>
      <c r="S179" s="1">
        <v>141.9</v>
      </c>
      <c r="T179" s="1">
        <v>147.19999999999999</v>
      </c>
      <c r="U179" s="1">
        <f>U180</f>
        <v>139.1</v>
      </c>
      <c r="V179" s="1">
        <v>142.6</v>
      </c>
      <c r="W179" s="1">
        <v>139.5</v>
      </c>
      <c r="X179" s="1">
        <v>136.1</v>
      </c>
      <c r="Y179" s="1">
        <v>122</v>
      </c>
      <c r="Z179" s="1">
        <v>133.4</v>
      </c>
      <c r="AA179" s="1">
        <v>141.1</v>
      </c>
      <c r="AB179" s="1">
        <v>127.8</v>
      </c>
      <c r="AC179" s="1">
        <v>131.9</v>
      </c>
      <c r="AD179" s="1">
        <v>139.80000000000001</v>
      </c>
    </row>
    <row r="180" spans="1:30" x14ac:dyDescent="0.3">
      <c r="A180" s="1" t="s">
        <v>33</v>
      </c>
      <c r="B180" s="2">
        <v>2017</v>
      </c>
      <c r="C180" s="1" t="s">
        <v>46</v>
      </c>
      <c r="D180" s="1">
        <v>134.4</v>
      </c>
      <c r="E180" s="1">
        <v>142.6</v>
      </c>
      <c r="F180" s="1">
        <v>145.9</v>
      </c>
      <c r="G180" s="1">
        <v>139.5</v>
      </c>
      <c r="H180" s="1">
        <v>115.9</v>
      </c>
      <c r="I180" s="1">
        <v>135</v>
      </c>
      <c r="J180" s="1">
        <v>163.19999999999999</v>
      </c>
      <c r="K180" s="1">
        <v>119.8</v>
      </c>
      <c r="L180" s="1">
        <v>120.7</v>
      </c>
      <c r="M180" s="1">
        <v>139.69999999999999</v>
      </c>
      <c r="N180" s="1">
        <v>125.7</v>
      </c>
      <c r="O180" s="1">
        <v>146.30000000000001</v>
      </c>
      <c r="P180" s="1">
        <v>138.80000000000001</v>
      </c>
      <c r="Q180" s="1">
        <v>157</v>
      </c>
      <c r="R180" s="1">
        <v>135.6</v>
      </c>
      <c r="S180" s="1">
        <v>125.6</v>
      </c>
      <c r="T180" s="1">
        <v>134</v>
      </c>
      <c r="U180" s="1">
        <v>139.1</v>
      </c>
      <c r="V180" s="1">
        <v>126.8</v>
      </c>
      <c r="W180" s="1">
        <v>129.30000000000001</v>
      </c>
      <c r="X180" s="1">
        <v>128.19999999999999</v>
      </c>
      <c r="Y180" s="1">
        <v>115.3</v>
      </c>
      <c r="Z180" s="1">
        <v>125.6</v>
      </c>
      <c r="AA180" s="1">
        <v>136.69999999999999</v>
      </c>
      <c r="AB180" s="1">
        <v>124.6</v>
      </c>
      <c r="AC180" s="1">
        <v>125.1</v>
      </c>
      <c r="AD180" s="1">
        <v>134.1</v>
      </c>
    </row>
    <row r="181" spans="1:30" x14ac:dyDescent="0.3">
      <c r="A181" s="1" t="s">
        <v>34</v>
      </c>
      <c r="B181" s="2">
        <v>2017</v>
      </c>
      <c r="C181" s="1" t="s">
        <v>46</v>
      </c>
      <c r="D181" s="1">
        <v>135.80000000000001</v>
      </c>
      <c r="E181" s="1">
        <v>143.30000000000001</v>
      </c>
      <c r="F181" s="1">
        <v>145.19999999999999</v>
      </c>
      <c r="G181" s="1">
        <v>141</v>
      </c>
      <c r="H181" s="1">
        <v>120.5</v>
      </c>
      <c r="I181" s="1">
        <v>141.5</v>
      </c>
      <c r="J181" s="1">
        <v>161.69999999999999</v>
      </c>
      <c r="K181" s="1">
        <v>129.1</v>
      </c>
      <c r="L181" s="1">
        <v>121.5</v>
      </c>
      <c r="M181" s="1">
        <v>137.1</v>
      </c>
      <c r="N181" s="1">
        <v>128.80000000000001</v>
      </c>
      <c r="O181" s="1">
        <v>149</v>
      </c>
      <c r="P181" s="1">
        <v>140.5</v>
      </c>
      <c r="Q181" s="1">
        <v>154.19999999999999</v>
      </c>
      <c r="R181" s="1">
        <v>143.1</v>
      </c>
      <c r="S181" s="1">
        <v>135.1</v>
      </c>
      <c r="T181" s="1">
        <v>142</v>
      </c>
      <c r="U181" s="1">
        <v>139.1</v>
      </c>
      <c r="V181" s="1">
        <v>136.6</v>
      </c>
      <c r="W181" s="1">
        <v>134.69999999999999</v>
      </c>
      <c r="X181" s="1">
        <v>133.1</v>
      </c>
      <c r="Y181" s="1">
        <v>118.5</v>
      </c>
      <c r="Z181" s="1">
        <v>129</v>
      </c>
      <c r="AA181" s="1">
        <v>138.5</v>
      </c>
      <c r="AB181" s="1">
        <v>126.5</v>
      </c>
      <c r="AC181" s="1">
        <v>128.6</v>
      </c>
      <c r="AD181" s="1">
        <v>137.19999999999999</v>
      </c>
    </row>
    <row r="182" spans="1:30" x14ac:dyDescent="0.3">
      <c r="A182" s="1" t="s">
        <v>30</v>
      </c>
      <c r="B182" s="2">
        <v>2018</v>
      </c>
      <c r="C182" s="1" t="s">
        <v>31</v>
      </c>
      <c r="D182" s="1">
        <v>136.6</v>
      </c>
      <c r="E182" s="1">
        <v>144.4</v>
      </c>
      <c r="F182" s="1">
        <v>143.80000000000001</v>
      </c>
      <c r="G182" s="1">
        <v>142</v>
      </c>
      <c r="H182" s="1">
        <v>123.2</v>
      </c>
      <c r="I182" s="1">
        <v>147.9</v>
      </c>
      <c r="J182" s="1">
        <v>152.1</v>
      </c>
      <c r="K182" s="1">
        <v>131.80000000000001</v>
      </c>
      <c r="L182" s="1">
        <v>119.5</v>
      </c>
      <c r="M182" s="1">
        <v>136</v>
      </c>
      <c r="N182" s="1">
        <v>131.19999999999999</v>
      </c>
      <c r="O182" s="1">
        <v>151.80000000000001</v>
      </c>
      <c r="P182" s="1">
        <v>140.4</v>
      </c>
      <c r="Q182" s="1">
        <v>153.6</v>
      </c>
      <c r="R182" s="1">
        <v>148.30000000000001</v>
      </c>
      <c r="S182" s="1">
        <v>142.30000000000001</v>
      </c>
      <c r="T182" s="1">
        <v>147.5</v>
      </c>
      <c r="U182" s="1">
        <f>U183</f>
        <v>140.4</v>
      </c>
      <c r="V182" s="1">
        <v>142.30000000000001</v>
      </c>
      <c r="W182" s="1">
        <v>139.80000000000001</v>
      </c>
      <c r="X182" s="1">
        <v>136</v>
      </c>
      <c r="Y182" s="1">
        <v>122.7</v>
      </c>
      <c r="Z182" s="1">
        <v>134.30000000000001</v>
      </c>
      <c r="AA182" s="1">
        <v>141.6</v>
      </c>
      <c r="AB182" s="1">
        <v>128.6</v>
      </c>
      <c r="AC182" s="1">
        <v>132.30000000000001</v>
      </c>
      <c r="AD182" s="1">
        <v>139.30000000000001</v>
      </c>
    </row>
    <row r="183" spans="1:30" x14ac:dyDescent="0.3">
      <c r="A183" s="1" t="s">
        <v>33</v>
      </c>
      <c r="B183" s="2">
        <v>2018</v>
      </c>
      <c r="C183" s="1" t="s">
        <v>31</v>
      </c>
      <c r="D183" s="1">
        <v>134.6</v>
      </c>
      <c r="E183" s="1">
        <v>143.69999999999999</v>
      </c>
      <c r="F183" s="1">
        <v>143.6</v>
      </c>
      <c r="G183" s="1">
        <v>139.6</v>
      </c>
      <c r="H183" s="1">
        <v>116.4</v>
      </c>
      <c r="I183" s="1">
        <v>133.80000000000001</v>
      </c>
      <c r="J183" s="1">
        <v>150.5</v>
      </c>
      <c r="K183" s="1">
        <v>118.4</v>
      </c>
      <c r="L183" s="1">
        <v>117.3</v>
      </c>
      <c r="M183" s="1">
        <v>140.5</v>
      </c>
      <c r="N183" s="1">
        <v>125.9</v>
      </c>
      <c r="O183" s="1">
        <v>146.80000000000001</v>
      </c>
      <c r="P183" s="1">
        <v>137.19999999999999</v>
      </c>
      <c r="Q183" s="1">
        <v>157.69999999999999</v>
      </c>
      <c r="R183" s="1">
        <v>136</v>
      </c>
      <c r="S183" s="1">
        <v>125.9</v>
      </c>
      <c r="T183" s="1">
        <v>134.4</v>
      </c>
      <c r="U183" s="1">
        <v>140.4</v>
      </c>
      <c r="V183" s="1">
        <v>127.3</v>
      </c>
      <c r="W183" s="1">
        <v>129.5</v>
      </c>
      <c r="X183" s="1">
        <v>129</v>
      </c>
      <c r="Y183" s="1">
        <v>116.3</v>
      </c>
      <c r="Z183" s="1">
        <v>126.2</v>
      </c>
      <c r="AA183" s="1">
        <v>137.1</v>
      </c>
      <c r="AB183" s="1">
        <v>125.5</v>
      </c>
      <c r="AC183" s="1">
        <v>125.8</v>
      </c>
      <c r="AD183" s="1">
        <v>134.1</v>
      </c>
    </row>
    <row r="184" spans="1:30" x14ac:dyDescent="0.3">
      <c r="A184" s="1" t="s">
        <v>34</v>
      </c>
      <c r="B184" s="2">
        <v>2018</v>
      </c>
      <c r="C184" s="1" t="s">
        <v>31</v>
      </c>
      <c r="D184" s="1">
        <v>136</v>
      </c>
      <c r="E184" s="1">
        <v>144.19999999999999</v>
      </c>
      <c r="F184" s="1">
        <v>143.69999999999999</v>
      </c>
      <c r="G184" s="1">
        <v>141.1</v>
      </c>
      <c r="H184" s="1">
        <v>120.7</v>
      </c>
      <c r="I184" s="1">
        <v>141.30000000000001</v>
      </c>
      <c r="J184" s="1">
        <v>151.6</v>
      </c>
      <c r="K184" s="1">
        <v>127.3</v>
      </c>
      <c r="L184" s="1">
        <v>118.8</v>
      </c>
      <c r="M184" s="1">
        <v>137.5</v>
      </c>
      <c r="N184" s="1">
        <v>129</v>
      </c>
      <c r="O184" s="1">
        <v>149.5</v>
      </c>
      <c r="P184" s="1">
        <v>139.19999999999999</v>
      </c>
      <c r="Q184" s="1">
        <v>154.69999999999999</v>
      </c>
      <c r="R184" s="1">
        <v>143.5</v>
      </c>
      <c r="S184" s="1">
        <v>135.5</v>
      </c>
      <c r="T184" s="1">
        <v>142.30000000000001</v>
      </c>
      <c r="U184" s="1">
        <v>140.4</v>
      </c>
      <c r="V184" s="1">
        <v>136.6</v>
      </c>
      <c r="W184" s="1">
        <v>134.9</v>
      </c>
      <c r="X184" s="1">
        <v>133.30000000000001</v>
      </c>
      <c r="Y184" s="1">
        <v>119.3</v>
      </c>
      <c r="Z184" s="1">
        <v>129.69999999999999</v>
      </c>
      <c r="AA184" s="1">
        <v>139</v>
      </c>
      <c r="AB184" s="1">
        <v>127.3</v>
      </c>
      <c r="AC184" s="1">
        <v>129.1</v>
      </c>
      <c r="AD184" s="1">
        <v>136.9</v>
      </c>
    </row>
    <row r="185" spans="1:30" x14ac:dyDescent="0.3">
      <c r="A185" s="1" t="s">
        <v>30</v>
      </c>
      <c r="B185" s="2">
        <v>2018</v>
      </c>
      <c r="C185" s="1" t="s">
        <v>35</v>
      </c>
      <c r="D185" s="1">
        <v>136.4</v>
      </c>
      <c r="E185" s="1">
        <v>143.69999999999999</v>
      </c>
      <c r="F185" s="1">
        <v>140.6</v>
      </c>
      <c r="G185" s="1">
        <v>141.5</v>
      </c>
      <c r="H185" s="1">
        <v>122.9</v>
      </c>
      <c r="I185" s="1">
        <v>149.4</v>
      </c>
      <c r="J185" s="1">
        <v>142.4</v>
      </c>
      <c r="K185" s="1">
        <v>130.19999999999999</v>
      </c>
      <c r="L185" s="1">
        <v>117.9</v>
      </c>
      <c r="M185" s="1">
        <v>135.6</v>
      </c>
      <c r="N185" s="1">
        <v>130.5</v>
      </c>
      <c r="O185" s="1">
        <v>151.69999999999999</v>
      </c>
      <c r="P185" s="1">
        <v>138.69999999999999</v>
      </c>
      <c r="Q185" s="1">
        <v>153.30000000000001</v>
      </c>
      <c r="R185" s="1">
        <v>148.69999999999999</v>
      </c>
      <c r="S185" s="1">
        <v>142.4</v>
      </c>
      <c r="T185" s="1">
        <v>147.80000000000001</v>
      </c>
      <c r="U185" s="1">
        <f>U186</f>
        <v>141.30000000000001</v>
      </c>
      <c r="V185" s="1">
        <v>142.4</v>
      </c>
      <c r="W185" s="1">
        <v>139.9</v>
      </c>
      <c r="X185" s="1">
        <v>136.19999999999999</v>
      </c>
      <c r="Y185" s="1">
        <v>123.3</v>
      </c>
      <c r="Z185" s="1">
        <v>134.30000000000001</v>
      </c>
      <c r="AA185" s="1">
        <v>141.5</v>
      </c>
      <c r="AB185" s="1">
        <v>128.80000000000001</v>
      </c>
      <c r="AC185" s="1">
        <v>132.5</v>
      </c>
      <c r="AD185" s="1">
        <v>138.5</v>
      </c>
    </row>
    <row r="186" spans="1:30" x14ac:dyDescent="0.3">
      <c r="A186" s="1" t="s">
        <v>33</v>
      </c>
      <c r="B186" s="2">
        <v>2018</v>
      </c>
      <c r="C186" s="1" t="s">
        <v>35</v>
      </c>
      <c r="D186" s="1">
        <v>134.80000000000001</v>
      </c>
      <c r="E186" s="1">
        <v>143</v>
      </c>
      <c r="F186" s="1">
        <v>139.9</v>
      </c>
      <c r="G186" s="1">
        <v>139.9</v>
      </c>
      <c r="H186" s="1">
        <v>116.2</v>
      </c>
      <c r="I186" s="1">
        <v>135.5</v>
      </c>
      <c r="J186" s="1">
        <v>136.9</v>
      </c>
      <c r="K186" s="1">
        <v>117</v>
      </c>
      <c r="L186" s="1">
        <v>115.4</v>
      </c>
      <c r="M186" s="1">
        <v>140.69999999999999</v>
      </c>
      <c r="N186" s="1">
        <v>125.9</v>
      </c>
      <c r="O186" s="1">
        <v>147.1</v>
      </c>
      <c r="P186" s="1">
        <v>135.6</v>
      </c>
      <c r="Q186" s="1">
        <v>159.30000000000001</v>
      </c>
      <c r="R186" s="1">
        <v>136.30000000000001</v>
      </c>
      <c r="S186" s="1">
        <v>126.1</v>
      </c>
      <c r="T186" s="1">
        <v>134.69999999999999</v>
      </c>
      <c r="U186" s="1">
        <v>141.30000000000001</v>
      </c>
      <c r="V186" s="1">
        <v>127.3</v>
      </c>
      <c r="W186" s="1">
        <v>129.9</v>
      </c>
      <c r="X186" s="1">
        <v>129.80000000000001</v>
      </c>
      <c r="Y186" s="1">
        <v>117.4</v>
      </c>
      <c r="Z186" s="1">
        <v>126.5</v>
      </c>
      <c r="AA186" s="1">
        <v>137.19999999999999</v>
      </c>
      <c r="AB186" s="1">
        <v>126.2</v>
      </c>
      <c r="AC186" s="1">
        <v>126.5</v>
      </c>
      <c r="AD186" s="1">
        <v>134</v>
      </c>
    </row>
    <row r="187" spans="1:30" x14ac:dyDescent="0.3">
      <c r="A187" s="1" t="s">
        <v>34</v>
      </c>
      <c r="B187" s="2">
        <v>2018</v>
      </c>
      <c r="C187" s="1" t="s">
        <v>35</v>
      </c>
      <c r="D187" s="1">
        <v>135.9</v>
      </c>
      <c r="E187" s="1">
        <v>143.5</v>
      </c>
      <c r="F187" s="1">
        <v>140.30000000000001</v>
      </c>
      <c r="G187" s="1">
        <v>140.9</v>
      </c>
      <c r="H187" s="1">
        <v>120.4</v>
      </c>
      <c r="I187" s="1">
        <v>142.9</v>
      </c>
      <c r="J187" s="1">
        <v>140.5</v>
      </c>
      <c r="K187" s="1">
        <v>125.8</v>
      </c>
      <c r="L187" s="1">
        <v>117.1</v>
      </c>
      <c r="M187" s="1">
        <v>137.30000000000001</v>
      </c>
      <c r="N187" s="1">
        <v>128.6</v>
      </c>
      <c r="O187" s="1">
        <v>149.6</v>
      </c>
      <c r="P187" s="1">
        <v>137.6</v>
      </c>
      <c r="Q187" s="1">
        <v>154.9</v>
      </c>
      <c r="R187" s="1">
        <v>143.80000000000001</v>
      </c>
      <c r="S187" s="1">
        <v>135.6</v>
      </c>
      <c r="T187" s="1">
        <v>142.6</v>
      </c>
      <c r="U187" s="1">
        <v>141.30000000000001</v>
      </c>
      <c r="V187" s="1">
        <v>136.69999999999999</v>
      </c>
      <c r="W187" s="1">
        <v>135.19999999999999</v>
      </c>
      <c r="X187" s="1">
        <v>133.80000000000001</v>
      </c>
      <c r="Y187" s="1">
        <v>120.2</v>
      </c>
      <c r="Z187" s="1">
        <v>129.9</v>
      </c>
      <c r="AA187" s="1">
        <v>139</v>
      </c>
      <c r="AB187" s="1">
        <v>127.7</v>
      </c>
      <c r="AC187" s="1">
        <v>129.6</v>
      </c>
      <c r="AD187" s="1">
        <v>136.4</v>
      </c>
    </row>
    <row r="188" spans="1:30" x14ac:dyDescent="0.3">
      <c r="A188" s="1" t="s">
        <v>30</v>
      </c>
      <c r="B188" s="2">
        <v>2018</v>
      </c>
      <c r="C188" s="1" t="s">
        <v>36</v>
      </c>
      <c r="D188" s="1">
        <v>136.80000000000001</v>
      </c>
      <c r="E188" s="1">
        <v>143.80000000000001</v>
      </c>
      <c r="F188" s="1">
        <v>140</v>
      </c>
      <c r="G188" s="1">
        <v>142</v>
      </c>
      <c r="H188" s="1">
        <v>123.2</v>
      </c>
      <c r="I188" s="1">
        <v>152.9</v>
      </c>
      <c r="J188" s="1">
        <v>138</v>
      </c>
      <c r="K188" s="1">
        <v>129.30000000000001</v>
      </c>
      <c r="L188" s="1">
        <v>117.1</v>
      </c>
      <c r="M188" s="1">
        <v>136.30000000000001</v>
      </c>
      <c r="N188" s="1">
        <v>131.19999999999999</v>
      </c>
      <c r="O188" s="1">
        <v>152.80000000000001</v>
      </c>
      <c r="P188" s="1">
        <v>138.6</v>
      </c>
      <c r="Q188" s="1">
        <v>155.1</v>
      </c>
      <c r="R188" s="1">
        <v>149.19999999999999</v>
      </c>
      <c r="S188" s="1">
        <v>143</v>
      </c>
      <c r="T188" s="1">
        <v>148.30000000000001</v>
      </c>
      <c r="U188" s="1">
        <f>U189</f>
        <v>142</v>
      </c>
      <c r="V188" s="1">
        <v>142.6</v>
      </c>
      <c r="W188" s="1">
        <v>139.9</v>
      </c>
      <c r="X188" s="1">
        <v>136.69999999999999</v>
      </c>
      <c r="Y188" s="1">
        <v>124.6</v>
      </c>
      <c r="Z188" s="1">
        <v>135.1</v>
      </c>
      <c r="AA188" s="1">
        <v>142.69999999999999</v>
      </c>
      <c r="AB188" s="1">
        <v>129.30000000000001</v>
      </c>
      <c r="AC188" s="1">
        <v>133.30000000000001</v>
      </c>
      <c r="AD188" s="1">
        <v>138.69999999999999</v>
      </c>
    </row>
    <row r="189" spans="1:30" x14ac:dyDescent="0.3">
      <c r="A189" s="1" t="s">
        <v>33</v>
      </c>
      <c r="B189" s="2">
        <v>2018</v>
      </c>
      <c r="C189" s="1" t="s">
        <v>36</v>
      </c>
      <c r="D189" s="1">
        <v>135</v>
      </c>
      <c r="E189" s="1">
        <v>143.1</v>
      </c>
      <c r="F189" s="1">
        <v>135.5</v>
      </c>
      <c r="G189" s="1">
        <v>139.9</v>
      </c>
      <c r="H189" s="1">
        <v>116.5</v>
      </c>
      <c r="I189" s="1">
        <v>138.5</v>
      </c>
      <c r="J189" s="1">
        <v>128</v>
      </c>
      <c r="K189" s="1">
        <v>115.5</v>
      </c>
      <c r="L189" s="1">
        <v>114.2</v>
      </c>
      <c r="M189" s="1">
        <v>140.69999999999999</v>
      </c>
      <c r="N189" s="1">
        <v>126.2</v>
      </c>
      <c r="O189" s="1">
        <v>147.6</v>
      </c>
      <c r="P189" s="1">
        <v>134.80000000000001</v>
      </c>
      <c r="Q189" s="1">
        <v>159.69999999999999</v>
      </c>
      <c r="R189" s="1">
        <v>136.69999999999999</v>
      </c>
      <c r="S189" s="1">
        <v>126.7</v>
      </c>
      <c r="T189" s="1">
        <v>135.19999999999999</v>
      </c>
      <c r="U189" s="1">
        <v>142</v>
      </c>
      <c r="V189" s="1">
        <v>126.4</v>
      </c>
      <c r="W189" s="1">
        <v>130.80000000000001</v>
      </c>
      <c r="X189" s="1">
        <v>130.5</v>
      </c>
      <c r="Y189" s="1">
        <v>117.8</v>
      </c>
      <c r="Z189" s="1">
        <v>126.8</v>
      </c>
      <c r="AA189" s="1">
        <v>137.80000000000001</v>
      </c>
      <c r="AB189" s="1">
        <v>126.7</v>
      </c>
      <c r="AC189" s="1">
        <v>127.1</v>
      </c>
      <c r="AD189" s="1">
        <v>134</v>
      </c>
    </row>
    <row r="190" spans="1:30" x14ac:dyDescent="0.3">
      <c r="A190" s="1" t="s">
        <v>34</v>
      </c>
      <c r="B190" s="2">
        <v>2018</v>
      </c>
      <c r="C190" s="1" t="s">
        <v>36</v>
      </c>
      <c r="D190" s="1">
        <v>136.19999999999999</v>
      </c>
      <c r="E190" s="1">
        <v>143.6</v>
      </c>
      <c r="F190" s="1">
        <v>138.30000000000001</v>
      </c>
      <c r="G190" s="1">
        <v>141.19999999999999</v>
      </c>
      <c r="H190" s="1">
        <v>120.7</v>
      </c>
      <c r="I190" s="1">
        <v>146.19999999999999</v>
      </c>
      <c r="J190" s="1">
        <v>134.6</v>
      </c>
      <c r="K190" s="1">
        <v>124.6</v>
      </c>
      <c r="L190" s="1">
        <v>116.1</v>
      </c>
      <c r="M190" s="1">
        <v>137.80000000000001</v>
      </c>
      <c r="N190" s="1">
        <v>129.1</v>
      </c>
      <c r="O190" s="1">
        <v>150.4</v>
      </c>
      <c r="P190" s="1">
        <v>137.19999999999999</v>
      </c>
      <c r="Q190" s="1">
        <v>156.30000000000001</v>
      </c>
      <c r="R190" s="1">
        <v>144.30000000000001</v>
      </c>
      <c r="S190" s="1">
        <v>136.19999999999999</v>
      </c>
      <c r="T190" s="1">
        <v>143.1</v>
      </c>
      <c r="U190" s="1">
        <v>142</v>
      </c>
      <c r="V190" s="1">
        <v>136.5</v>
      </c>
      <c r="W190" s="1">
        <v>135.6</v>
      </c>
      <c r="X190" s="1">
        <v>134.30000000000001</v>
      </c>
      <c r="Y190" s="1">
        <v>121</v>
      </c>
      <c r="Z190" s="1">
        <v>130.4</v>
      </c>
      <c r="AA190" s="1">
        <v>139.80000000000001</v>
      </c>
      <c r="AB190" s="1">
        <v>128.19999999999999</v>
      </c>
      <c r="AC190" s="1">
        <v>130.30000000000001</v>
      </c>
      <c r="AD190" s="1">
        <v>136.5</v>
      </c>
    </row>
    <row r="191" spans="1:30" x14ac:dyDescent="0.3">
      <c r="A191" s="1" t="s">
        <v>30</v>
      </c>
      <c r="B191" s="2">
        <v>2018</v>
      </c>
      <c r="C191" s="1" t="s">
        <v>37</v>
      </c>
      <c r="D191" s="1">
        <v>137.1</v>
      </c>
      <c r="E191" s="1">
        <v>144.5</v>
      </c>
      <c r="F191" s="1">
        <v>135.9</v>
      </c>
      <c r="G191" s="1">
        <v>142.4</v>
      </c>
      <c r="H191" s="1">
        <v>123.5</v>
      </c>
      <c r="I191" s="1">
        <v>156.4</v>
      </c>
      <c r="J191" s="1">
        <v>135.1</v>
      </c>
      <c r="K191" s="1">
        <v>128.4</v>
      </c>
      <c r="L191" s="1">
        <v>115.2</v>
      </c>
      <c r="M191" s="1">
        <v>137.19999999999999</v>
      </c>
      <c r="N191" s="1">
        <v>131.9</v>
      </c>
      <c r="O191" s="1">
        <v>153.80000000000001</v>
      </c>
      <c r="P191" s="1">
        <v>138.6</v>
      </c>
      <c r="Q191" s="1">
        <v>156.1</v>
      </c>
      <c r="R191" s="1">
        <v>150.1</v>
      </c>
      <c r="S191" s="1">
        <v>143.30000000000001</v>
      </c>
      <c r="T191" s="1">
        <v>149.1</v>
      </c>
      <c r="U191" s="1">
        <f>U192</f>
        <v>142.9</v>
      </c>
      <c r="V191" s="1">
        <v>143.80000000000001</v>
      </c>
      <c r="W191" s="1">
        <v>140.9</v>
      </c>
      <c r="X191" s="1">
        <v>137.6</v>
      </c>
      <c r="Y191" s="1">
        <v>125.3</v>
      </c>
      <c r="Z191" s="1">
        <v>136</v>
      </c>
      <c r="AA191" s="1">
        <v>143.69999999999999</v>
      </c>
      <c r="AB191" s="1">
        <v>130.4</v>
      </c>
      <c r="AC191" s="1">
        <v>134.19999999999999</v>
      </c>
      <c r="AD191" s="1">
        <v>139.1</v>
      </c>
    </row>
    <row r="192" spans="1:30" x14ac:dyDescent="0.3">
      <c r="A192" s="1" t="s">
        <v>33</v>
      </c>
      <c r="B192" s="2">
        <v>2018</v>
      </c>
      <c r="C192" s="1" t="s">
        <v>37</v>
      </c>
      <c r="D192" s="1">
        <v>135</v>
      </c>
      <c r="E192" s="1">
        <v>144.30000000000001</v>
      </c>
      <c r="F192" s="1">
        <v>130.80000000000001</v>
      </c>
      <c r="G192" s="1">
        <v>140.30000000000001</v>
      </c>
      <c r="H192" s="1">
        <v>116.6</v>
      </c>
      <c r="I192" s="1">
        <v>150.1</v>
      </c>
      <c r="J192" s="1">
        <v>127.6</v>
      </c>
      <c r="K192" s="1">
        <v>114</v>
      </c>
      <c r="L192" s="1">
        <v>110.6</v>
      </c>
      <c r="M192" s="1">
        <v>140.19999999999999</v>
      </c>
      <c r="N192" s="1">
        <v>126.5</v>
      </c>
      <c r="O192" s="1">
        <v>148.30000000000001</v>
      </c>
      <c r="P192" s="1">
        <v>135.69999999999999</v>
      </c>
      <c r="Q192" s="1">
        <v>159.19999999999999</v>
      </c>
      <c r="R192" s="1">
        <v>137.80000000000001</v>
      </c>
      <c r="S192" s="1">
        <v>127.4</v>
      </c>
      <c r="T192" s="1">
        <v>136.19999999999999</v>
      </c>
      <c r="U192" s="1">
        <v>142.9</v>
      </c>
      <c r="V192" s="1">
        <v>124.6</v>
      </c>
      <c r="W192" s="1">
        <v>131.80000000000001</v>
      </c>
      <c r="X192" s="1">
        <v>131.30000000000001</v>
      </c>
      <c r="Y192" s="1">
        <v>118.9</v>
      </c>
      <c r="Z192" s="1">
        <v>127.6</v>
      </c>
      <c r="AA192" s="1">
        <v>139.69999999999999</v>
      </c>
      <c r="AB192" s="1">
        <v>127.6</v>
      </c>
      <c r="AC192" s="1">
        <v>128.19999999999999</v>
      </c>
      <c r="AD192" s="1">
        <v>134.80000000000001</v>
      </c>
    </row>
    <row r="193" spans="1:30" x14ac:dyDescent="0.3">
      <c r="A193" s="1" t="s">
        <v>34</v>
      </c>
      <c r="B193" s="2">
        <v>2018</v>
      </c>
      <c r="C193" s="1" t="s">
        <v>37</v>
      </c>
      <c r="D193" s="1">
        <v>136.4</v>
      </c>
      <c r="E193" s="1">
        <v>144.4</v>
      </c>
      <c r="F193" s="1">
        <v>133.9</v>
      </c>
      <c r="G193" s="1">
        <v>141.6</v>
      </c>
      <c r="H193" s="1">
        <v>121</v>
      </c>
      <c r="I193" s="1">
        <v>153.5</v>
      </c>
      <c r="J193" s="1">
        <v>132.6</v>
      </c>
      <c r="K193" s="1">
        <v>123.5</v>
      </c>
      <c r="L193" s="1">
        <v>113.7</v>
      </c>
      <c r="M193" s="1">
        <v>138.19999999999999</v>
      </c>
      <c r="N193" s="1">
        <v>129.6</v>
      </c>
      <c r="O193" s="1">
        <v>151.19999999999999</v>
      </c>
      <c r="P193" s="1">
        <v>137.5</v>
      </c>
      <c r="Q193" s="1">
        <v>156.9</v>
      </c>
      <c r="R193" s="1">
        <v>145.30000000000001</v>
      </c>
      <c r="S193" s="1">
        <v>136.69999999999999</v>
      </c>
      <c r="T193" s="1">
        <v>144</v>
      </c>
      <c r="U193" s="1">
        <v>142.9</v>
      </c>
      <c r="V193" s="1">
        <v>136.5</v>
      </c>
      <c r="W193" s="1">
        <v>136.6</v>
      </c>
      <c r="X193" s="1">
        <v>135.19999999999999</v>
      </c>
      <c r="Y193" s="1">
        <v>121.9</v>
      </c>
      <c r="Z193" s="1">
        <v>131.30000000000001</v>
      </c>
      <c r="AA193" s="1">
        <v>141.4</v>
      </c>
      <c r="AB193" s="1">
        <v>129.19999999999999</v>
      </c>
      <c r="AC193" s="1">
        <v>131.30000000000001</v>
      </c>
      <c r="AD193" s="1">
        <v>137.1</v>
      </c>
    </row>
    <row r="194" spans="1:30" x14ac:dyDescent="0.3">
      <c r="A194" s="1" t="s">
        <v>30</v>
      </c>
      <c r="B194" s="2">
        <v>2018</v>
      </c>
      <c r="C194" s="1" t="s">
        <v>38</v>
      </c>
      <c r="D194" s="1">
        <v>137.4</v>
      </c>
      <c r="E194" s="1">
        <v>145.69999999999999</v>
      </c>
      <c r="F194" s="1">
        <v>135.5</v>
      </c>
      <c r="G194" s="1">
        <v>142.9</v>
      </c>
      <c r="H194" s="1">
        <v>123.6</v>
      </c>
      <c r="I194" s="1">
        <v>157.5</v>
      </c>
      <c r="J194" s="1">
        <v>137.80000000000001</v>
      </c>
      <c r="K194" s="1">
        <v>127.2</v>
      </c>
      <c r="L194" s="1">
        <v>111.8</v>
      </c>
      <c r="M194" s="1">
        <v>137.4</v>
      </c>
      <c r="N194" s="1">
        <v>132.19999999999999</v>
      </c>
      <c r="O194" s="1">
        <v>154.30000000000001</v>
      </c>
      <c r="P194" s="1">
        <v>139.1</v>
      </c>
      <c r="Q194" s="1">
        <v>157</v>
      </c>
      <c r="R194" s="1">
        <v>150.80000000000001</v>
      </c>
      <c r="S194" s="1">
        <v>144.1</v>
      </c>
      <c r="T194" s="1">
        <v>149.80000000000001</v>
      </c>
      <c r="U194" s="1">
        <f>U195</f>
        <v>143.19999999999999</v>
      </c>
      <c r="V194" s="1">
        <v>144.30000000000001</v>
      </c>
      <c r="W194" s="1">
        <v>141.80000000000001</v>
      </c>
      <c r="X194" s="1">
        <v>138.4</v>
      </c>
      <c r="Y194" s="1">
        <v>126.4</v>
      </c>
      <c r="Z194" s="1">
        <v>136.80000000000001</v>
      </c>
      <c r="AA194" s="1">
        <v>144.4</v>
      </c>
      <c r="AB194" s="1">
        <v>131.19999999999999</v>
      </c>
      <c r="AC194" s="1">
        <v>135.1</v>
      </c>
      <c r="AD194" s="1">
        <v>139.80000000000001</v>
      </c>
    </row>
    <row r="195" spans="1:30" x14ac:dyDescent="0.3">
      <c r="A195" s="1" t="s">
        <v>33</v>
      </c>
      <c r="B195" s="2">
        <v>2018</v>
      </c>
      <c r="C195" s="1" t="s">
        <v>38</v>
      </c>
      <c r="D195" s="1">
        <v>135</v>
      </c>
      <c r="E195" s="1">
        <v>148.19999999999999</v>
      </c>
      <c r="F195" s="1">
        <v>130.5</v>
      </c>
      <c r="G195" s="1">
        <v>140.69999999999999</v>
      </c>
      <c r="H195" s="1">
        <v>116.4</v>
      </c>
      <c r="I195" s="1">
        <v>151.30000000000001</v>
      </c>
      <c r="J195" s="1">
        <v>131.4</v>
      </c>
      <c r="K195" s="1">
        <v>112.8</v>
      </c>
      <c r="L195" s="1">
        <v>105.3</v>
      </c>
      <c r="M195" s="1">
        <v>139.6</v>
      </c>
      <c r="N195" s="1">
        <v>126.6</v>
      </c>
      <c r="O195" s="1">
        <v>148.69999999999999</v>
      </c>
      <c r="P195" s="1">
        <v>136.4</v>
      </c>
      <c r="Q195" s="1">
        <v>160.30000000000001</v>
      </c>
      <c r="R195" s="1">
        <v>138.6</v>
      </c>
      <c r="S195" s="1">
        <v>127.9</v>
      </c>
      <c r="T195" s="1">
        <v>137</v>
      </c>
      <c r="U195" s="1">
        <v>143.19999999999999</v>
      </c>
      <c r="V195" s="1">
        <v>124.7</v>
      </c>
      <c r="W195" s="1">
        <v>132.5</v>
      </c>
      <c r="X195" s="1">
        <v>132</v>
      </c>
      <c r="Y195" s="1">
        <v>119.8</v>
      </c>
      <c r="Z195" s="1">
        <v>128</v>
      </c>
      <c r="AA195" s="1">
        <v>140.4</v>
      </c>
      <c r="AB195" s="1">
        <v>128.1</v>
      </c>
      <c r="AC195" s="1">
        <v>128.9</v>
      </c>
      <c r="AD195" s="1">
        <v>135.4</v>
      </c>
    </row>
    <row r="196" spans="1:30" x14ac:dyDescent="0.3">
      <c r="A196" s="1" t="s">
        <v>34</v>
      </c>
      <c r="B196" s="2">
        <v>2018</v>
      </c>
      <c r="C196" s="1" t="s">
        <v>38</v>
      </c>
      <c r="D196" s="1">
        <v>136.6</v>
      </c>
      <c r="E196" s="1">
        <v>146.6</v>
      </c>
      <c r="F196" s="1">
        <v>133.6</v>
      </c>
      <c r="G196" s="1">
        <v>142.1</v>
      </c>
      <c r="H196" s="1">
        <v>121</v>
      </c>
      <c r="I196" s="1">
        <v>154.6</v>
      </c>
      <c r="J196" s="1">
        <v>135.6</v>
      </c>
      <c r="K196" s="1">
        <v>122.3</v>
      </c>
      <c r="L196" s="1">
        <v>109.6</v>
      </c>
      <c r="M196" s="1">
        <v>138.1</v>
      </c>
      <c r="N196" s="1">
        <v>129.9</v>
      </c>
      <c r="O196" s="1">
        <v>151.69999999999999</v>
      </c>
      <c r="P196" s="1">
        <v>138.1</v>
      </c>
      <c r="Q196" s="1">
        <v>157.9</v>
      </c>
      <c r="R196" s="1">
        <v>146</v>
      </c>
      <c r="S196" s="1">
        <v>137.4</v>
      </c>
      <c r="T196" s="1">
        <v>144.69999999999999</v>
      </c>
      <c r="U196" s="1">
        <v>143.19999999999999</v>
      </c>
      <c r="V196" s="1">
        <v>136.9</v>
      </c>
      <c r="W196" s="1">
        <v>137.4</v>
      </c>
      <c r="X196" s="1">
        <v>136</v>
      </c>
      <c r="Y196" s="1">
        <v>122.9</v>
      </c>
      <c r="Z196" s="1">
        <v>131.80000000000001</v>
      </c>
      <c r="AA196" s="1">
        <v>142.1</v>
      </c>
      <c r="AB196" s="1">
        <v>129.9</v>
      </c>
      <c r="AC196" s="1">
        <v>132.1</v>
      </c>
      <c r="AD196" s="1">
        <v>137.80000000000001</v>
      </c>
    </row>
    <row r="197" spans="1:30" x14ac:dyDescent="0.3">
      <c r="A197" s="1" t="s">
        <v>30</v>
      </c>
      <c r="B197" s="2">
        <v>2018</v>
      </c>
      <c r="C197" s="1" t="s">
        <v>39</v>
      </c>
      <c r="D197" s="1">
        <v>137.6</v>
      </c>
      <c r="E197" s="1">
        <v>148.1</v>
      </c>
      <c r="F197" s="1">
        <v>136.69999999999999</v>
      </c>
      <c r="G197" s="1">
        <v>143.19999999999999</v>
      </c>
      <c r="H197" s="1">
        <v>124</v>
      </c>
      <c r="I197" s="1">
        <v>154.1</v>
      </c>
      <c r="J197" s="1">
        <v>143.5</v>
      </c>
      <c r="K197" s="1">
        <v>126</v>
      </c>
      <c r="L197" s="1">
        <v>112.4</v>
      </c>
      <c r="M197" s="1">
        <v>137.6</v>
      </c>
      <c r="N197" s="1">
        <v>132.80000000000001</v>
      </c>
      <c r="O197" s="1">
        <v>154.30000000000001</v>
      </c>
      <c r="P197" s="1">
        <v>140</v>
      </c>
      <c r="Q197" s="1">
        <v>157.30000000000001</v>
      </c>
      <c r="R197" s="1">
        <v>151.30000000000001</v>
      </c>
      <c r="S197" s="1">
        <v>144.69999999999999</v>
      </c>
      <c r="T197" s="1">
        <v>150.30000000000001</v>
      </c>
      <c r="U197" s="1">
        <f>U198</f>
        <v>142.5</v>
      </c>
      <c r="V197" s="1">
        <v>145.1</v>
      </c>
      <c r="W197" s="1">
        <v>142.19999999999999</v>
      </c>
      <c r="X197" s="1">
        <v>138.4</v>
      </c>
      <c r="Y197" s="1">
        <v>127.4</v>
      </c>
      <c r="Z197" s="1">
        <v>137.80000000000001</v>
      </c>
      <c r="AA197" s="1">
        <v>145.1</v>
      </c>
      <c r="AB197" s="1">
        <v>131.4</v>
      </c>
      <c r="AC197" s="1">
        <v>135.6</v>
      </c>
      <c r="AD197" s="1">
        <v>140.5</v>
      </c>
    </row>
    <row r="198" spans="1:30" x14ac:dyDescent="0.3">
      <c r="A198" s="1" t="s">
        <v>33</v>
      </c>
      <c r="B198" s="2">
        <v>2018</v>
      </c>
      <c r="C198" s="1" t="s">
        <v>39</v>
      </c>
      <c r="D198" s="1">
        <v>135.30000000000001</v>
      </c>
      <c r="E198" s="1">
        <v>149.69999999999999</v>
      </c>
      <c r="F198" s="1">
        <v>133.9</v>
      </c>
      <c r="G198" s="1">
        <v>140.80000000000001</v>
      </c>
      <c r="H198" s="1">
        <v>116.6</v>
      </c>
      <c r="I198" s="1">
        <v>152.19999999999999</v>
      </c>
      <c r="J198" s="1">
        <v>144</v>
      </c>
      <c r="K198" s="1">
        <v>112.3</v>
      </c>
      <c r="L198" s="1">
        <v>108.4</v>
      </c>
      <c r="M198" s="1">
        <v>140</v>
      </c>
      <c r="N198" s="1">
        <v>126.7</v>
      </c>
      <c r="O198" s="1">
        <v>149</v>
      </c>
      <c r="P198" s="1">
        <v>138.4</v>
      </c>
      <c r="Q198" s="1">
        <v>161</v>
      </c>
      <c r="R198" s="1">
        <v>138.9</v>
      </c>
      <c r="S198" s="1">
        <v>128.69999999999999</v>
      </c>
      <c r="T198" s="1">
        <v>137.4</v>
      </c>
      <c r="U198" s="1">
        <v>142.5</v>
      </c>
      <c r="V198" s="1">
        <v>126.5</v>
      </c>
      <c r="W198" s="1">
        <v>133.1</v>
      </c>
      <c r="X198" s="1">
        <v>132.6</v>
      </c>
      <c r="Y198" s="1">
        <v>120.4</v>
      </c>
      <c r="Z198" s="1">
        <v>128.5</v>
      </c>
      <c r="AA198" s="1">
        <v>141.19999999999999</v>
      </c>
      <c r="AB198" s="1">
        <v>128.19999999999999</v>
      </c>
      <c r="AC198" s="1">
        <v>129.5</v>
      </c>
      <c r="AD198" s="1">
        <v>136.19999999999999</v>
      </c>
    </row>
    <row r="199" spans="1:30" x14ac:dyDescent="0.3">
      <c r="A199" s="1" t="s">
        <v>34</v>
      </c>
      <c r="B199" s="2">
        <v>2018</v>
      </c>
      <c r="C199" s="1" t="s">
        <v>39</v>
      </c>
      <c r="D199" s="1">
        <v>136.9</v>
      </c>
      <c r="E199" s="1">
        <v>148.69999999999999</v>
      </c>
      <c r="F199" s="1">
        <v>135.6</v>
      </c>
      <c r="G199" s="1">
        <v>142.30000000000001</v>
      </c>
      <c r="H199" s="1">
        <v>121.3</v>
      </c>
      <c r="I199" s="1">
        <v>153.19999999999999</v>
      </c>
      <c r="J199" s="1">
        <v>143.69999999999999</v>
      </c>
      <c r="K199" s="1">
        <v>121.4</v>
      </c>
      <c r="L199" s="1">
        <v>111.1</v>
      </c>
      <c r="M199" s="1">
        <v>138.4</v>
      </c>
      <c r="N199" s="1">
        <v>130.30000000000001</v>
      </c>
      <c r="O199" s="1">
        <v>151.80000000000001</v>
      </c>
      <c r="P199" s="1">
        <v>139.4</v>
      </c>
      <c r="Q199" s="1">
        <v>158.30000000000001</v>
      </c>
      <c r="R199" s="1">
        <v>146.4</v>
      </c>
      <c r="S199" s="1">
        <v>138.1</v>
      </c>
      <c r="T199" s="1">
        <v>145.19999999999999</v>
      </c>
      <c r="U199" s="1">
        <v>142.5</v>
      </c>
      <c r="V199" s="1">
        <v>138.1</v>
      </c>
      <c r="W199" s="1">
        <v>137.9</v>
      </c>
      <c r="X199" s="1">
        <v>136.19999999999999</v>
      </c>
      <c r="Y199" s="1">
        <v>123.7</v>
      </c>
      <c r="Z199" s="1">
        <v>132.6</v>
      </c>
      <c r="AA199" s="1">
        <v>142.80000000000001</v>
      </c>
      <c r="AB199" s="1">
        <v>130.1</v>
      </c>
      <c r="AC199" s="1">
        <v>132.6</v>
      </c>
      <c r="AD199" s="1">
        <v>138.5</v>
      </c>
    </row>
    <row r="200" spans="1:30" x14ac:dyDescent="0.3">
      <c r="A200" s="1" t="s">
        <v>30</v>
      </c>
      <c r="B200" s="2">
        <v>2018</v>
      </c>
      <c r="C200" s="1" t="s">
        <v>40</v>
      </c>
      <c r="D200" s="1">
        <v>138.4</v>
      </c>
      <c r="E200" s="1">
        <v>149.30000000000001</v>
      </c>
      <c r="F200" s="1">
        <v>139.30000000000001</v>
      </c>
      <c r="G200" s="1">
        <v>143.4</v>
      </c>
      <c r="H200" s="1">
        <v>124.1</v>
      </c>
      <c r="I200" s="1">
        <v>153.30000000000001</v>
      </c>
      <c r="J200" s="1">
        <v>154.19999999999999</v>
      </c>
      <c r="K200" s="1">
        <v>126.4</v>
      </c>
      <c r="L200" s="1">
        <v>114.3</v>
      </c>
      <c r="M200" s="1">
        <v>138.19999999999999</v>
      </c>
      <c r="N200" s="1">
        <v>132.80000000000001</v>
      </c>
      <c r="O200" s="1">
        <v>154.80000000000001</v>
      </c>
      <c r="P200" s="1">
        <v>142</v>
      </c>
      <c r="Q200" s="1">
        <v>156.1</v>
      </c>
      <c r="R200" s="1">
        <v>151.5</v>
      </c>
      <c r="S200" s="1">
        <v>145.1</v>
      </c>
      <c r="T200" s="1">
        <v>150.6</v>
      </c>
      <c r="U200" s="1">
        <f>U201</f>
        <v>143.6</v>
      </c>
      <c r="V200" s="1">
        <v>146.80000000000001</v>
      </c>
      <c r="W200" s="1">
        <v>143.1</v>
      </c>
      <c r="X200" s="1">
        <v>139</v>
      </c>
      <c r="Y200" s="1">
        <v>127.5</v>
      </c>
      <c r="Z200" s="1">
        <v>138.4</v>
      </c>
      <c r="AA200" s="1">
        <v>145.80000000000001</v>
      </c>
      <c r="AB200" s="1">
        <v>131.4</v>
      </c>
      <c r="AC200" s="1">
        <v>136</v>
      </c>
      <c r="AD200" s="1">
        <v>141.80000000000001</v>
      </c>
    </row>
    <row r="201" spans="1:30" x14ac:dyDescent="0.3">
      <c r="A201" s="1" t="s">
        <v>33</v>
      </c>
      <c r="B201" s="2">
        <v>2018</v>
      </c>
      <c r="C201" s="1" t="s">
        <v>40</v>
      </c>
      <c r="D201" s="1">
        <v>135.6</v>
      </c>
      <c r="E201" s="1">
        <v>148.6</v>
      </c>
      <c r="F201" s="1">
        <v>139.1</v>
      </c>
      <c r="G201" s="1">
        <v>141</v>
      </c>
      <c r="H201" s="1">
        <v>116.7</v>
      </c>
      <c r="I201" s="1">
        <v>149.69999999999999</v>
      </c>
      <c r="J201" s="1">
        <v>159.19999999999999</v>
      </c>
      <c r="K201" s="1">
        <v>112.6</v>
      </c>
      <c r="L201" s="1">
        <v>111.8</v>
      </c>
      <c r="M201" s="1">
        <v>140.30000000000001</v>
      </c>
      <c r="N201" s="1">
        <v>126.8</v>
      </c>
      <c r="O201" s="1">
        <v>149.4</v>
      </c>
      <c r="P201" s="1">
        <v>140.30000000000001</v>
      </c>
      <c r="Q201" s="1">
        <v>161.4</v>
      </c>
      <c r="R201" s="1">
        <v>139.6</v>
      </c>
      <c r="S201" s="1">
        <v>128.9</v>
      </c>
      <c r="T201" s="1">
        <v>137.9</v>
      </c>
      <c r="U201" s="1">
        <v>143.6</v>
      </c>
      <c r="V201" s="1">
        <v>128.1</v>
      </c>
      <c r="W201" s="1">
        <v>133.6</v>
      </c>
      <c r="X201" s="1">
        <v>133.6</v>
      </c>
      <c r="Y201" s="1">
        <v>120.1</v>
      </c>
      <c r="Z201" s="1">
        <v>129</v>
      </c>
      <c r="AA201" s="1">
        <v>144</v>
      </c>
      <c r="AB201" s="1">
        <v>128.19999999999999</v>
      </c>
      <c r="AC201" s="1">
        <v>130.19999999999999</v>
      </c>
      <c r="AD201" s="1">
        <v>137.5</v>
      </c>
    </row>
    <row r="202" spans="1:30" x14ac:dyDescent="0.3">
      <c r="A202" s="1" t="s">
        <v>34</v>
      </c>
      <c r="B202" s="2">
        <v>2018</v>
      </c>
      <c r="C202" s="1" t="s">
        <v>40</v>
      </c>
      <c r="D202" s="1">
        <v>137.5</v>
      </c>
      <c r="E202" s="1">
        <v>149.1</v>
      </c>
      <c r="F202" s="1">
        <v>139.19999999999999</v>
      </c>
      <c r="G202" s="1">
        <v>142.5</v>
      </c>
      <c r="H202" s="1">
        <v>121.4</v>
      </c>
      <c r="I202" s="1">
        <v>151.6</v>
      </c>
      <c r="J202" s="1">
        <v>155.9</v>
      </c>
      <c r="K202" s="1">
        <v>121.7</v>
      </c>
      <c r="L202" s="1">
        <v>113.5</v>
      </c>
      <c r="M202" s="1">
        <v>138.9</v>
      </c>
      <c r="N202" s="1">
        <v>130.30000000000001</v>
      </c>
      <c r="O202" s="1">
        <v>152.30000000000001</v>
      </c>
      <c r="P202" s="1">
        <v>141.4</v>
      </c>
      <c r="Q202" s="1">
        <v>157.5</v>
      </c>
      <c r="R202" s="1">
        <v>146.80000000000001</v>
      </c>
      <c r="S202" s="1">
        <v>138.4</v>
      </c>
      <c r="T202" s="1">
        <v>145.6</v>
      </c>
      <c r="U202" s="1">
        <v>143.6</v>
      </c>
      <c r="V202" s="1">
        <v>139.69999999999999</v>
      </c>
      <c r="W202" s="1">
        <v>138.6</v>
      </c>
      <c r="X202" s="1">
        <v>137</v>
      </c>
      <c r="Y202" s="1">
        <v>123.6</v>
      </c>
      <c r="Z202" s="1">
        <v>133.1</v>
      </c>
      <c r="AA202" s="1">
        <v>144.69999999999999</v>
      </c>
      <c r="AB202" s="1">
        <v>130.1</v>
      </c>
      <c r="AC202" s="1">
        <v>133.19999999999999</v>
      </c>
      <c r="AD202" s="1">
        <v>139.80000000000001</v>
      </c>
    </row>
    <row r="203" spans="1:30" x14ac:dyDescent="0.3">
      <c r="A203" s="1" t="s">
        <v>30</v>
      </c>
      <c r="B203" s="2">
        <v>2018</v>
      </c>
      <c r="C203" s="1" t="s">
        <v>41</v>
      </c>
      <c r="D203" s="1">
        <v>139.19999999999999</v>
      </c>
      <c r="E203" s="1">
        <v>148.80000000000001</v>
      </c>
      <c r="F203" s="1">
        <v>139.1</v>
      </c>
      <c r="G203" s="1">
        <v>143.5</v>
      </c>
      <c r="H203" s="1">
        <v>125</v>
      </c>
      <c r="I203" s="1">
        <v>154.4</v>
      </c>
      <c r="J203" s="1">
        <v>156.30000000000001</v>
      </c>
      <c r="K203" s="1">
        <v>126.8</v>
      </c>
      <c r="L203" s="1">
        <v>115.4</v>
      </c>
      <c r="M203" s="1">
        <v>138.6</v>
      </c>
      <c r="N203" s="1">
        <v>133.80000000000001</v>
      </c>
      <c r="O203" s="1">
        <v>155.19999999999999</v>
      </c>
      <c r="P203" s="1">
        <v>142.69999999999999</v>
      </c>
      <c r="Q203" s="1">
        <v>156.4</v>
      </c>
      <c r="R203" s="1">
        <v>152.1</v>
      </c>
      <c r="S203" s="1">
        <v>145.80000000000001</v>
      </c>
      <c r="T203" s="1">
        <v>151.30000000000001</v>
      </c>
      <c r="U203" s="1">
        <f>U204</f>
        <v>144.6</v>
      </c>
      <c r="V203" s="1">
        <v>147.69999999999999</v>
      </c>
      <c r="W203" s="1">
        <v>143.80000000000001</v>
      </c>
      <c r="X203" s="1">
        <v>139.4</v>
      </c>
      <c r="Y203" s="1">
        <v>128.30000000000001</v>
      </c>
      <c r="Z203" s="1">
        <v>138.6</v>
      </c>
      <c r="AA203" s="1">
        <v>146.9</v>
      </c>
      <c r="AB203" s="1">
        <v>131.30000000000001</v>
      </c>
      <c r="AC203" s="1">
        <v>136.6</v>
      </c>
      <c r="AD203" s="1">
        <v>142.5</v>
      </c>
    </row>
    <row r="204" spans="1:30" x14ac:dyDescent="0.3">
      <c r="A204" s="1" t="s">
        <v>33</v>
      </c>
      <c r="B204" s="2">
        <v>2018</v>
      </c>
      <c r="C204" s="1" t="s">
        <v>41</v>
      </c>
      <c r="D204" s="1">
        <v>136.5</v>
      </c>
      <c r="E204" s="1">
        <v>146.4</v>
      </c>
      <c r="F204" s="1">
        <v>136.6</v>
      </c>
      <c r="G204" s="1">
        <v>141.19999999999999</v>
      </c>
      <c r="H204" s="1">
        <v>117.4</v>
      </c>
      <c r="I204" s="1">
        <v>146.30000000000001</v>
      </c>
      <c r="J204" s="1">
        <v>157.30000000000001</v>
      </c>
      <c r="K204" s="1">
        <v>113.6</v>
      </c>
      <c r="L204" s="1">
        <v>113.3</v>
      </c>
      <c r="M204" s="1">
        <v>141.1</v>
      </c>
      <c r="N204" s="1">
        <v>127.4</v>
      </c>
      <c r="O204" s="1">
        <v>150.4</v>
      </c>
      <c r="P204" s="1">
        <v>140.1</v>
      </c>
      <c r="Q204" s="1">
        <v>162.1</v>
      </c>
      <c r="R204" s="1">
        <v>140</v>
      </c>
      <c r="S204" s="1">
        <v>129</v>
      </c>
      <c r="T204" s="1">
        <v>138.30000000000001</v>
      </c>
      <c r="U204" s="1">
        <v>144.6</v>
      </c>
      <c r="V204" s="1">
        <v>129.80000000000001</v>
      </c>
      <c r="W204" s="1">
        <v>134.4</v>
      </c>
      <c r="X204" s="1">
        <v>134.9</v>
      </c>
      <c r="Y204" s="1">
        <v>120.7</v>
      </c>
      <c r="Z204" s="1">
        <v>129.80000000000001</v>
      </c>
      <c r="AA204" s="1">
        <v>145.30000000000001</v>
      </c>
      <c r="AB204" s="1">
        <v>128.30000000000001</v>
      </c>
      <c r="AC204" s="1">
        <v>131</v>
      </c>
      <c r="AD204" s="1">
        <v>138</v>
      </c>
    </row>
    <row r="205" spans="1:30" x14ac:dyDescent="0.3">
      <c r="A205" s="1" t="s">
        <v>34</v>
      </c>
      <c r="B205" s="2">
        <v>2018</v>
      </c>
      <c r="C205" s="1" t="s">
        <v>41</v>
      </c>
      <c r="D205" s="1">
        <v>138.30000000000001</v>
      </c>
      <c r="E205" s="1">
        <v>148</v>
      </c>
      <c r="F205" s="1">
        <v>138.1</v>
      </c>
      <c r="G205" s="1">
        <v>142.6</v>
      </c>
      <c r="H205" s="1">
        <v>122.2</v>
      </c>
      <c r="I205" s="1">
        <v>150.6</v>
      </c>
      <c r="J205" s="1">
        <v>156.6</v>
      </c>
      <c r="K205" s="1">
        <v>122.4</v>
      </c>
      <c r="L205" s="1">
        <v>114.7</v>
      </c>
      <c r="M205" s="1">
        <v>139.4</v>
      </c>
      <c r="N205" s="1">
        <v>131.1</v>
      </c>
      <c r="O205" s="1">
        <v>153</v>
      </c>
      <c r="P205" s="1">
        <v>141.69999999999999</v>
      </c>
      <c r="Q205" s="1">
        <v>157.9</v>
      </c>
      <c r="R205" s="1">
        <v>147.30000000000001</v>
      </c>
      <c r="S205" s="1">
        <v>138.80000000000001</v>
      </c>
      <c r="T205" s="1">
        <v>146.1</v>
      </c>
      <c r="U205" s="1">
        <v>144.6</v>
      </c>
      <c r="V205" s="1">
        <v>140.9</v>
      </c>
      <c r="W205" s="1">
        <v>139.4</v>
      </c>
      <c r="X205" s="1">
        <v>137.69999999999999</v>
      </c>
      <c r="Y205" s="1">
        <v>124.3</v>
      </c>
      <c r="Z205" s="1">
        <v>133.6</v>
      </c>
      <c r="AA205" s="1">
        <v>146</v>
      </c>
      <c r="AB205" s="1">
        <v>130.1</v>
      </c>
      <c r="AC205" s="1">
        <v>133.9</v>
      </c>
      <c r="AD205" s="1">
        <v>140.4</v>
      </c>
    </row>
    <row r="206" spans="1:30" x14ac:dyDescent="0.3">
      <c r="A206" s="1" t="s">
        <v>30</v>
      </c>
      <c r="B206" s="2">
        <v>2018</v>
      </c>
      <c r="C206" s="1" t="s">
        <v>42</v>
      </c>
      <c r="D206" s="1">
        <v>139.4</v>
      </c>
      <c r="E206" s="1">
        <v>147.19999999999999</v>
      </c>
      <c r="F206" s="1">
        <v>136.6</v>
      </c>
      <c r="G206" s="1">
        <v>143.69999999999999</v>
      </c>
      <c r="H206" s="1">
        <v>124.6</v>
      </c>
      <c r="I206" s="1">
        <v>150.1</v>
      </c>
      <c r="J206" s="1">
        <v>149.4</v>
      </c>
      <c r="K206" s="1">
        <v>125.4</v>
      </c>
      <c r="L206" s="1">
        <v>114.4</v>
      </c>
      <c r="M206" s="1">
        <v>138.69999999999999</v>
      </c>
      <c r="N206" s="1">
        <v>133.1</v>
      </c>
      <c r="O206" s="1">
        <v>155.9</v>
      </c>
      <c r="P206" s="1">
        <v>141.30000000000001</v>
      </c>
      <c r="Q206" s="1">
        <v>157.69999999999999</v>
      </c>
      <c r="R206" s="1">
        <v>152.1</v>
      </c>
      <c r="S206" s="1">
        <v>146.1</v>
      </c>
      <c r="T206" s="1">
        <v>151.30000000000001</v>
      </c>
      <c r="U206" s="1">
        <f>U207</f>
        <v>145.30000000000001</v>
      </c>
      <c r="V206" s="1">
        <v>149</v>
      </c>
      <c r="W206" s="1">
        <v>144</v>
      </c>
      <c r="X206" s="1">
        <v>140</v>
      </c>
      <c r="Y206" s="1">
        <v>129.9</v>
      </c>
      <c r="Z206" s="1">
        <v>140</v>
      </c>
      <c r="AA206" s="1">
        <v>147.6</v>
      </c>
      <c r="AB206" s="1">
        <v>132</v>
      </c>
      <c r="AC206" s="1">
        <v>137.4</v>
      </c>
      <c r="AD206" s="1">
        <v>142.1</v>
      </c>
    </row>
    <row r="207" spans="1:30" x14ac:dyDescent="0.3">
      <c r="A207" s="1" t="s">
        <v>33</v>
      </c>
      <c r="B207" s="2">
        <v>2018</v>
      </c>
      <c r="C207" s="1" t="s">
        <v>42</v>
      </c>
      <c r="D207" s="1">
        <v>137</v>
      </c>
      <c r="E207" s="1">
        <v>143.1</v>
      </c>
      <c r="F207" s="1">
        <v>132.80000000000001</v>
      </c>
      <c r="G207" s="1">
        <v>141.5</v>
      </c>
      <c r="H207" s="1">
        <v>117.8</v>
      </c>
      <c r="I207" s="1">
        <v>140</v>
      </c>
      <c r="J207" s="1">
        <v>151.30000000000001</v>
      </c>
      <c r="K207" s="1">
        <v>113.5</v>
      </c>
      <c r="L207" s="1">
        <v>112.3</v>
      </c>
      <c r="M207" s="1">
        <v>141.19999999999999</v>
      </c>
      <c r="N207" s="1">
        <v>127.7</v>
      </c>
      <c r="O207" s="1">
        <v>151.30000000000001</v>
      </c>
      <c r="P207" s="1">
        <v>138.9</v>
      </c>
      <c r="Q207" s="1">
        <v>163.30000000000001</v>
      </c>
      <c r="R207" s="1">
        <v>140.80000000000001</v>
      </c>
      <c r="S207" s="1">
        <v>129.30000000000001</v>
      </c>
      <c r="T207" s="1">
        <v>139.1</v>
      </c>
      <c r="U207" s="1">
        <v>145.30000000000001</v>
      </c>
      <c r="V207" s="1">
        <v>131.19999999999999</v>
      </c>
      <c r="W207" s="1">
        <v>134.9</v>
      </c>
      <c r="X207" s="1">
        <v>135.69999999999999</v>
      </c>
      <c r="Y207" s="1">
        <v>122.5</v>
      </c>
      <c r="Z207" s="1">
        <v>130.19999999999999</v>
      </c>
      <c r="AA207" s="1">
        <v>145.19999999999999</v>
      </c>
      <c r="AB207" s="1">
        <v>129.30000000000001</v>
      </c>
      <c r="AC207" s="1">
        <v>131.9</v>
      </c>
      <c r="AD207" s="1">
        <v>138.1</v>
      </c>
    </row>
    <row r="208" spans="1:30" x14ac:dyDescent="0.3">
      <c r="A208" s="1" t="s">
        <v>34</v>
      </c>
      <c r="B208" s="2">
        <v>2018</v>
      </c>
      <c r="C208" s="1" t="s">
        <v>42</v>
      </c>
      <c r="D208" s="1">
        <v>138.6</v>
      </c>
      <c r="E208" s="1">
        <v>145.80000000000001</v>
      </c>
      <c r="F208" s="1">
        <v>135.1</v>
      </c>
      <c r="G208" s="1">
        <v>142.9</v>
      </c>
      <c r="H208" s="1">
        <v>122.1</v>
      </c>
      <c r="I208" s="1">
        <v>145.4</v>
      </c>
      <c r="J208" s="1">
        <v>150</v>
      </c>
      <c r="K208" s="1">
        <v>121.4</v>
      </c>
      <c r="L208" s="1">
        <v>113.7</v>
      </c>
      <c r="M208" s="1">
        <v>139.5</v>
      </c>
      <c r="N208" s="1">
        <v>130.80000000000001</v>
      </c>
      <c r="O208" s="1">
        <v>153.80000000000001</v>
      </c>
      <c r="P208" s="1">
        <v>140.4</v>
      </c>
      <c r="Q208" s="1">
        <v>159.19999999999999</v>
      </c>
      <c r="R208" s="1">
        <v>147.69999999999999</v>
      </c>
      <c r="S208" s="1">
        <v>139.1</v>
      </c>
      <c r="T208" s="1">
        <v>146.5</v>
      </c>
      <c r="U208" s="1">
        <v>145.30000000000001</v>
      </c>
      <c r="V208" s="1">
        <v>142.30000000000001</v>
      </c>
      <c r="W208" s="1">
        <v>139.69999999999999</v>
      </c>
      <c r="X208" s="1">
        <v>138.4</v>
      </c>
      <c r="Y208" s="1">
        <v>126</v>
      </c>
      <c r="Z208" s="1">
        <v>134.5</v>
      </c>
      <c r="AA208" s="1">
        <v>146.19999999999999</v>
      </c>
      <c r="AB208" s="1">
        <v>130.9</v>
      </c>
      <c r="AC208" s="1">
        <v>134.69999999999999</v>
      </c>
      <c r="AD208" s="1">
        <v>140.19999999999999</v>
      </c>
    </row>
    <row r="209" spans="1:30" x14ac:dyDescent="0.3">
      <c r="A209" s="1" t="s">
        <v>30</v>
      </c>
      <c r="B209" s="2">
        <v>2018</v>
      </c>
      <c r="C209" s="1" t="s">
        <v>43</v>
      </c>
      <c r="D209" s="1">
        <v>139.30000000000001</v>
      </c>
      <c r="E209" s="1">
        <v>147.6</v>
      </c>
      <c r="F209" s="1">
        <v>134.6</v>
      </c>
      <c r="G209" s="1">
        <v>141.9</v>
      </c>
      <c r="H209" s="1">
        <v>123.5</v>
      </c>
      <c r="I209" s="1">
        <v>144.5</v>
      </c>
      <c r="J209" s="1">
        <v>147.6</v>
      </c>
      <c r="K209" s="1">
        <v>121.4</v>
      </c>
      <c r="L209" s="1">
        <v>112.3</v>
      </c>
      <c r="M209" s="1">
        <v>139.5</v>
      </c>
      <c r="N209" s="1">
        <v>134.6</v>
      </c>
      <c r="O209" s="1">
        <v>155.19999999999999</v>
      </c>
      <c r="P209" s="1">
        <v>140.19999999999999</v>
      </c>
      <c r="Q209" s="1">
        <v>159.6</v>
      </c>
      <c r="R209" s="1">
        <v>150.69999999999999</v>
      </c>
      <c r="S209" s="1">
        <v>144.5</v>
      </c>
      <c r="T209" s="1">
        <v>149.80000000000001</v>
      </c>
      <c r="U209" s="1">
        <f>U210</f>
        <v>146.30000000000001</v>
      </c>
      <c r="V209" s="1">
        <v>149.69999999999999</v>
      </c>
      <c r="W209" s="1">
        <v>147.5</v>
      </c>
      <c r="X209" s="1">
        <v>144.80000000000001</v>
      </c>
      <c r="Y209" s="1">
        <v>130.80000000000001</v>
      </c>
      <c r="Z209" s="1">
        <v>140.1</v>
      </c>
      <c r="AA209" s="1">
        <v>148</v>
      </c>
      <c r="AB209" s="1">
        <v>134.4</v>
      </c>
      <c r="AC209" s="1">
        <v>139.80000000000001</v>
      </c>
      <c r="AD209" s="1">
        <v>142.19999999999999</v>
      </c>
    </row>
    <row r="210" spans="1:30" x14ac:dyDescent="0.3">
      <c r="A210" s="1" t="s">
        <v>33</v>
      </c>
      <c r="B210" s="2">
        <v>2018</v>
      </c>
      <c r="C210" s="1" t="s">
        <v>43</v>
      </c>
      <c r="D210" s="1">
        <v>137.6</v>
      </c>
      <c r="E210" s="1">
        <v>144.9</v>
      </c>
      <c r="F210" s="1">
        <v>133.5</v>
      </c>
      <c r="G210" s="1">
        <v>141.5</v>
      </c>
      <c r="H210" s="1">
        <v>118</v>
      </c>
      <c r="I210" s="1">
        <v>139.5</v>
      </c>
      <c r="J210" s="1">
        <v>153</v>
      </c>
      <c r="K210" s="1">
        <v>113.2</v>
      </c>
      <c r="L210" s="1">
        <v>112.8</v>
      </c>
      <c r="M210" s="1">
        <v>141.1</v>
      </c>
      <c r="N210" s="1">
        <v>127.6</v>
      </c>
      <c r="O210" s="1">
        <v>152</v>
      </c>
      <c r="P210" s="1">
        <v>139.4</v>
      </c>
      <c r="Q210" s="1">
        <v>164</v>
      </c>
      <c r="R210" s="1">
        <v>141.5</v>
      </c>
      <c r="S210" s="1">
        <v>129.80000000000001</v>
      </c>
      <c r="T210" s="1">
        <v>139.69999999999999</v>
      </c>
      <c r="U210" s="1">
        <v>146.30000000000001</v>
      </c>
      <c r="V210" s="1">
        <v>133.4</v>
      </c>
      <c r="W210" s="1">
        <v>135.1</v>
      </c>
      <c r="X210" s="1">
        <v>136.19999999999999</v>
      </c>
      <c r="Y210" s="1">
        <v>123.3</v>
      </c>
      <c r="Z210" s="1">
        <v>130.69999999999999</v>
      </c>
      <c r="AA210" s="1">
        <v>145.5</v>
      </c>
      <c r="AB210" s="1">
        <v>130.4</v>
      </c>
      <c r="AC210" s="1">
        <v>132.5</v>
      </c>
      <c r="AD210" s="1">
        <v>138.9</v>
      </c>
    </row>
    <row r="211" spans="1:30" x14ac:dyDescent="0.3">
      <c r="A211" s="1" t="s">
        <v>34</v>
      </c>
      <c r="B211" s="2">
        <v>2018</v>
      </c>
      <c r="C211" s="1" t="s">
        <v>43</v>
      </c>
      <c r="D211" s="1">
        <v>137.4</v>
      </c>
      <c r="E211" s="1">
        <v>149.5</v>
      </c>
      <c r="F211" s="1">
        <v>137.30000000000001</v>
      </c>
      <c r="G211" s="1">
        <v>141.9</v>
      </c>
      <c r="H211" s="1">
        <v>121.1</v>
      </c>
      <c r="I211" s="1">
        <v>142.5</v>
      </c>
      <c r="J211" s="1">
        <v>146.69999999999999</v>
      </c>
      <c r="K211" s="1">
        <v>119.1</v>
      </c>
      <c r="L211" s="1">
        <v>111.9</v>
      </c>
      <c r="M211" s="1">
        <v>141</v>
      </c>
      <c r="N211" s="1">
        <v>133.6</v>
      </c>
      <c r="O211" s="1">
        <v>154.5</v>
      </c>
      <c r="P211" s="1">
        <v>139.69999999999999</v>
      </c>
      <c r="Q211" s="1">
        <v>162.6</v>
      </c>
      <c r="R211" s="1">
        <v>148</v>
      </c>
      <c r="S211" s="1">
        <v>139.19999999999999</v>
      </c>
      <c r="T211" s="1">
        <v>146.80000000000001</v>
      </c>
      <c r="U211" s="1">
        <v>146.9</v>
      </c>
      <c r="V211" s="1">
        <v>145.30000000000001</v>
      </c>
      <c r="W211" s="1">
        <v>142.19999999999999</v>
      </c>
      <c r="X211" s="1">
        <v>142.1</v>
      </c>
      <c r="Y211" s="1">
        <v>125.5</v>
      </c>
      <c r="Z211" s="1">
        <v>136.5</v>
      </c>
      <c r="AA211" s="1">
        <v>147.80000000000001</v>
      </c>
      <c r="AB211" s="1">
        <v>132</v>
      </c>
      <c r="AC211" s="1">
        <v>136.30000000000001</v>
      </c>
      <c r="AD211" s="1">
        <v>140.80000000000001</v>
      </c>
    </row>
    <row r="212" spans="1:30" x14ac:dyDescent="0.3">
      <c r="A212" s="1" t="s">
        <v>30</v>
      </c>
      <c r="B212" s="2">
        <v>2018</v>
      </c>
      <c r="C212" s="1" t="s">
        <v>45</v>
      </c>
      <c r="D212" s="1">
        <v>137.1</v>
      </c>
      <c r="E212" s="1">
        <v>150.80000000000001</v>
      </c>
      <c r="F212" s="1">
        <v>136.69999999999999</v>
      </c>
      <c r="G212" s="1">
        <v>141.9</v>
      </c>
      <c r="H212" s="1">
        <v>122.8</v>
      </c>
      <c r="I212" s="1">
        <v>143.9</v>
      </c>
      <c r="J212" s="1">
        <v>147.5</v>
      </c>
      <c r="K212" s="1">
        <v>121</v>
      </c>
      <c r="L212" s="1">
        <v>111.6</v>
      </c>
      <c r="M212" s="1">
        <v>140.6</v>
      </c>
      <c r="N212" s="1">
        <v>137.5</v>
      </c>
      <c r="O212" s="1">
        <v>156.1</v>
      </c>
      <c r="P212" s="1">
        <v>140</v>
      </c>
      <c r="Q212" s="1">
        <v>161.9</v>
      </c>
      <c r="R212" s="1">
        <v>151.69999999999999</v>
      </c>
      <c r="S212" s="1">
        <v>145.5</v>
      </c>
      <c r="T212" s="1">
        <v>150.80000000000001</v>
      </c>
      <c r="U212" s="1">
        <f>U213</f>
        <v>146.9</v>
      </c>
      <c r="V212" s="1">
        <v>150.30000000000001</v>
      </c>
      <c r="W212" s="1">
        <v>148</v>
      </c>
      <c r="X212" s="1">
        <v>145.4</v>
      </c>
      <c r="Y212" s="1">
        <v>130.30000000000001</v>
      </c>
      <c r="Z212" s="1">
        <v>143.1</v>
      </c>
      <c r="AA212" s="1">
        <v>150.19999999999999</v>
      </c>
      <c r="AB212" s="1">
        <v>133.1</v>
      </c>
      <c r="AC212" s="1">
        <v>140.1</v>
      </c>
      <c r="AD212" s="1">
        <v>142.4</v>
      </c>
    </row>
    <row r="213" spans="1:30" x14ac:dyDescent="0.3">
      <c r="A213" s="1" t="s">
        <v>33</v>
      </c>
      <c r="B213" s="2">
        <v>2018</v>
      </c>
      <c r="C213" s="1" t="s">
        <v>45</v>
      </c>
      <c r="D213" s="1">
        <v>138.1</v>
      </c>
      <c r="E213" s="1">
        <v>146.30000000000001</v>
      </c>
      <c r="F213" s="1">
        <v>137.80000000000001</v>
      </c>
      <c r="G213" s="1">
        <v>141.6</v>
      </c>
      <c r="H213" s="1">
        <v>118.1</v>
      </c>
      <c r="I213" s="1">
        <v>141.5</v>
      </c>
      <c r="J213" s="1">
        <v>145.19999999999999</v>
      </c>
      <c r="K213" s="1">
        <v>115.3</v>
      </c>
      <c r="L213" s="1">
        <v>112.5</v>
      </c>
      <c r="M213" s="1">
        <v>141.4</v>
      </c>
      <c r="N213" s="1">
        <v>128</v>
      </c>
      <c r="O213" s="1">
        <v>152.6</v>
      </c>
      <c r="P213" s="1">
        <v>139.1</v>
      </c>
      <c r="Q213" s="1">
        <v>164.4</v>
      </c>
      <c r="R213" s="1">
        <v>142.4</v>
      </c>
      <c r="S213" s="1">
        <v>130.19999999999999</v>
      </c>
      <c r="T213" s="1">
        <v>140.5</v>
      </c>
      <c r="U213" s="1">
        <v>146.9</v>
      </c>
      <c r="V213" s="1">
        <v>136.69999999999999</v>
      </c>
      <c r="W213" s="1">
        <v>135.80000000000001</v>
      </c>
      <c r="X213" s="1">
        <v>136.80000000000001</v>
      </c>
      <c r="Y213" s="1">
        <v>121.2</v>
      </c>
      <c r="Z213" s="1">
        <v>131.30000000000001</v>
      </c>
      <c r="AA213" s="1">
        <v>146.1</v>
      </c>
      <c r="AB213" s="1">
        <v>130.5</v>
      </c>
      <c r="AC213" s="1">
        <v>132.19999999999999</v>
      </c>
      <c r="AD213" s="1">
        <v>139</v>
      </c>
    </row>
    <row r="214" spans="1:30" x14ac:dyDescent="0.3">
      <c r="A214" s="1" t="s">
        <v>34</v>
      </c>
      <c r="B214" s="2">
        <v>2018</v>
      </c>
      <c r="C214" s="1" t="s">
        <v>45</v>
      </c>
      <c r="D214" s="1">
        <v>137.4</v>
      </c>
      <c r="E214" s="1">
        <v>149.19999999999999</v>
      </c>
      <c r="F214" s="1">
        <v>137.1</v>
      </c>
      <c r="G214" s="1">
        <v>141.80000000000001</v>
      </c>
      <c r="H214" s="1">
        <v>121.1</v>
      </c>
      <c r="I214" s="1">
        <v>142.80000000000001</v>
      </c>
      <c r="J214" s="1">
        <v>146.69999999999999</v>
      </c>
      <c r="K214" s="1">
        <v>119.1</v>
      </c>
      <c r="L214" s="1">
        <v>111.9</v>
      </c>
      <c r="M214" s="1">
        <v>140.9</v>
      </c>
      <c r="N214" s="1">
        <v>133.5</v>
      </c>
      <c r="O214" s="1">
        <v>154.5</v>
      </c>
      <c r="P214" s="1">
        <v>139.69999999999999</v>
      </c>
      <c r="Q214" s="1">
        <v>162.6</v>
      </c>
      <c r="R214" s="1">
        <v>148</v>
      </c>
      <c r="S214" s="1">
        <v>139.1</v>
      </c>
      <c r="T214" s="1">
        <v>146.69999999999999</v>
      </c>
      <c r="U214" s="1">
        <v>146.9</v>
      </c>
      <c r="V214" s="1">
        <v>145.1</v>
      </c>
      <c r="W214" s="1">
        <v>142.19999999999999</v>
      </c>
      <c r="X214" s="1">
        <v>142.1</v>
      </c>
      <c r="Y214" s="1">
        <v>125.5</v>
      </c>
      <c r="Z214" s="1">
        <v>136.5</v>
      </c>
      <c r="AA214" s="1">
        <v>147.80000000000001</v>
      </c>
      <c r="AB214" s="1">
        <v>132</v>
      </c>
      <c r="AC214" s="1">
        <v>136.30000000000001</v>
      </c>
      <c r="AD214" s="1">
        <v>140.80000000000001</v>
      </c>
    </row>
    <row r="215" spans="1:30" x14ac:dyDescent="0.3">
      <c r="A215" s="1" t="s">
        <v>30</v>
      </c>
      <c r="B215" s="2">
        <v>2018</v>
      </c>
      <c r="C215" s="1" t="s">
        <v>46</v>
      </c>
      <c r="D215" s="1">
        <v>137.1</v>
      </c>
      <c r="E215" s="1">
        <v>151.9</v>
      </c>
      <c r="F215" s="1">
        <v>137.4</v>
      </c>
      <c r="G215" s="1">
        <v>142.4</v>
      </c>
      <c r="H215" s="1">
        <v>124.2</v>
      </c>
      <c r="I215" s="1">
        <v>140.19999999999999</v>
      </c>
      <c r="J215" s="1">
        <v>136.6</v>
      </c>
      <c r="K215" s="1">
        <v>120.9</v>
      </c>
      <c r="L215" s="1">
        <v>109.9</v>
      </c>
      <c r="M215" s="1">
        <v>140.19999999999999</v>
      </c>
      <c r="N215" s="1">
        <v>137.80000000000001</v>
      </c>
      <c r="O215" s="1">
        <v>156</v>
      </c>
      <c r="P215" s="1">
        <v>138.5</v>
      </c>
      <c r="Q215" s="1">
        <v>162.4</v>
      </c>
      <c r="R215" s="1">
        <v>151.6</v>
      </c>
      <c r="S215" s="1">
        <v>145.9</v>
      </c>
      <c r="T215" s="1">
        <v>150.80000000000001</v>
      </c>
      <c r="U215" s="1">
        <f>U216</f>
        <v>146.5</v>
      </c>
      <c r="V215" s="1">
        <v>149</v>
      </c>
      <c r="W215" s="1">
        <v>149.5</v>
      </c>
      <c r="X215" s="1">
        <v>149.6</v>
      </c>
      <c r="Y215" s="1">
        <v>128.9</v>
      </c>
      <c r="Z215" s="1">
        <v>143.30000000000001</v>
      </c>
      <c r="AA215" s="1">
        <v>155.1</v>
      </c>
      <c r="AB215" s="1">
        <v>133.19999999999999</v>
      </c>
      <c r="AC215" s="1">
        <v>141.6</v>
      </c>
      <c r="AD215" s="1">
        <v>141.9</v>
      </c>
    </row>
    <row r="216" spans="1:30" x14ac:dyDescent="0.3">
      <c r="A216" s="1" t="s">
        <v>33</v>
      </c>
      <c r="B216" s="2">
        <v>2018</v>
      </c>
      <c r="C216" s="1" t="s">
        <v>46</v>
      </c>
      <c r="D216" s="1">
        <v>138.5</v>
      </c>
      <c r="E216" s="1">
        <v>147.80000000000001</v>
      </c>
      <c r="F216" s="1">
        <v>141.1</v>
      </c>
      <c r="G216" s="1">
        <v>141.6</v>
      </c>
      <c r="H216" s="1">
        <v>118.1</v>
      </c>
      <c r="I216" s="1">
        <v>138.5</v>
      </c>
      <c r="J216" s="1">
        <v>132.4</v>
      </c>
      <c r="K216" s="1">
        <v>117.5</v>
      </c>
      <c r="L216" s="1">
        <v>111</v>
      </c>
      <c r="M216" s="1">
        <v>141.5</v>
      </c>
      <c r="N216" s="1">
        <v>128.1</v>
      </c>
      <c r="O216" s="1">
        <v>152.9</v>
      </c>
      <c r="P216" s="1">
        <v>137.6</v>
      </c>
      <c r="Q216" s="1">
        <v>164.6</v>
      </c>
      <c r="R216" s="1">
        <v>142.69999999999999</v>
      </c>
      <c r="S216" s="1">
        <v>130.30000000000001</v>
      </c>
      <c r="T216" s="1">
        <v>140.80000000000001</v>
      </c>
      <c r="U216" s="1">
        <v>146.5</v>
      </c>
      <c r="V216" s="1">
        <v>132.4</v>
      </c>
      <c r="W216" s="1">
        <v>136.19999999999999</v>
      </c>
      <c r="X216" s="1">
        <v>137.30000000000001</v>
      </c>
      <c r="Y216" s="1">
        <v>118.8</v>
      </c>
      <c r="Z216" s="1">
        <v>131.69999999999999</v>
      </c>
      <c r="AA216" s="1">
        <v>146.5</v>
      </c>
      <c r="AB216" s="1">
        <v>130.80000000000001</v>
      </c>
      <c r="AC216" s="1">
        <v>131.69999999999999</v>
      </c>
      <c r="AD216" s="1">
        <v>138</v>
      </c>
    </row>
    <row r="217" spans="1:30" x14ac:dyDescent="0.3">
      <c r="A217" s="1" t="s">
        <v>34</v>
      </c>
      <c r="B217" s="2">
        <v>2018</v>
      </c>
      <c r="C217" s="1" t="s">
        <v>46</v>
      </c>
      <c r="D217" s="1">
        <v>137.5</v>
      </c>
      <c r="E217" s="1">
        <v>150.5</v>
      </c>
      <c r="F217" s="1">
        <v>138.80000000000001</v>
      </c>
      <c r="G217" s="1">
        <v>142.1</v>
      </c>
      <c r="H217" s="1">
        <v>122</v>
      </c>
      <c r="I217" s="1">
        <v>139.4</v>
      </c>
      <c r="J217" s="1">
        <v>135.19999999999999</v>
      </c>
      <c r="K217" s="1">
        <v>119.8</v>
      </c>
      <c r="L217" s="1">
        <v>110.3</v>
      </c>
      <c r="M217" s="1">
        <v>140.6</v>
      </c>
      <c r="N217" s="1">
        <v>133.80000000000001</v>
      </c>
      <c r="O217" s="1">
        <v>154.6</v>
      </c>
      <c r="P217" s="1">
        <v>138.19999999999999</v>
      </c>
      <c r="Q217" s="1">
        <v>163</v>
      </c>
      <c r="R217" s="1">
        <v>148.1</v>
      </c>
      <c r="S217" s="1">
        <v>139.4</v>
      </c>
      <c r="T217" s="1">
        <v>146.80000000000001</v>
      </c>
      <c r="U217" s="1">
        <v>146.5</v>
      </c>
      <c r="V217" s="1">
        <v>142.69999999999999</v>
      </c>
      <c r="W217" s="1">
        <v>143.19999999999999</v>
      </c>
      <c r="X217" s="1">
        <v>144.9</v>
      </c>
      <c r="Y217" s="1">
        <v>123.6</v>
      </c>
      <c r="Z217" s="1">
        <v>136.80000000000001</v>
      </c>
      <c r="AA217" s="1">
        <v>150.1</v>
      </c>
      <c r="AB217" s="1">
        <v>132.19999999999999</v>
      </c>
      <c r="AC217" s="1">
        <v>136.80000000000001</v>
      </c>
      <c r="AD217" s="1">
        <v>140.1</v>
      </c>
    </row>
    <row r="218" spans="1:30" x14ac:dyDescent="0.3">
      <c r="A218" s="1" t="s">
        <v>30</v>
      </c>
      <c r="B218" s="2">
        <v>2019</v>
      </c>
      <c r="C218" s="1" t="s">
        <v>31</v>
      </c>
      <c r="D218" s="1">
        <v>136.6</v>
      </c>
      <c r="E218" s="1">
        <v>152.5</v>
      </c>
      <c r="F218" s="1">
        <v>138.19999999999999</v>
      </c>
      <c r="G218" s="1">
        <v>142.4</v>
      </c>
      <c r="H218" s="1">
        <v>123.9</v>
      </c>
      <c r="I218" s="1">
        <v>135.5</v>
      </c>
      <c r="J218" s="1">
        <v>131.69999999999999</v>
      </c>
      <c r="K218" s="1">
        <v>121.3</v>
      </c>
      <c r="L218" s="1">
        <v>108.4</v>
      </c>
      <c r="M218" s="1">
        <v>138.9</v>
      </c>
      <c r="N218" s="1">
        <v>137</v>
      </c>
      <c r="O218" s="1">
        <v>155.80000000000001</v>
      </c>
      <c r="P218" s="1">
        <v>137.4</v>
      </c>
      <c r="Q218" s="1">
        <v>162.69999999999999</v>
      </c>
      <c r="R218" s="1">
        <v>150.6</v>
      </c>
      <c r="S218" s="1">
        <v>145.1</v>
      </c>
      <c r="T218" s="1">
        <v>149.9</v>
      </c>
      <c r="U218" s="1">
        <f>U219</f>
        <v>147.69999999999999</v>
      </c>
      <c r="V218" s="1">
        <v>146.19999999999999</v>
      </c>
      <c r="W218" s="1">
        <v>150.1</v>
      </c>
      <c r="X218" s="1">
        <v>149.6</v>
      </c>
      <c r="Y218" s="1">
        <v>128.6</v>
      </c>
      <c r="Z218" s="1">
        <v>142.9</v>
      </c>
      <c r="AA218" s="1">
        <v>155.19999999999999</v>
      </c>
      <c r="AB218" s="1">
        <v>133.5</v>
      </c>
      <c r="AC218" s="1">
        <v>141.69999999999999</v>
      </c>
      <c r="AD218" s="1">
        <v>141</v>
      </c>
    </row>
    <row r="219" spans="1:30" x14ac:dyDescent="0.3">
      <c r="A219" s="1" t="s">
        <v>33</v>
      </c>
      <c r="B219" s="2">
        <v>2019</v>
      </c>
      <c r="C219" s="1" t="s">
        <v>31</v>
      </c>
      <c r="D219" s="1">
        <v>138.30000000000001</v>
      </c>
      <c r="E219" s="1">
        <v>149.4</v>
      </c>
      <c r="F219" s="1">
        <v>143.5</v>
      </c>
      <c r="G219" s="1">
        <v>141.69999999999999</v>
      </c>
      <c r="H219" s="1">
        <v>118.1</v>
      </c>
      <c r="I219" s="1">
        <v>135.19999999999999</v>
      </c>
      <c r="J219" s="1">
        <v>130.5</v>
      </c>
      <c r="K219" s="1">
        <v>118.2</v>
      </c>
      <c r="L219" s="1">
        <v>110.4</v>
      </c>
      <c r="M219" s="1">
        <v>140.4</v>
      </c>
      <c r="N219" s="1">
        <v>128.1</v>
      </c>
      <c r="O219" s="1">
        <v>153.19999999999999</v>
      </c>
      <c r="P219" s="1">
        <v>137.30000000000001</v>
      </c>
      <c r="Q219" s="1">
        <v>164.7</v>
      </c>
      <c r="R219" s="1">
        <v>143</v>
      </c>
      <c r="S219" s="1">
        <v>130.4</v>
      </c>
      <c r="T219" s="1">
        <v>141.1</v>
      </c>
      <c r="U219" s="1">
        <v>147.69999999999999</v>
      </c>
      <c r="V219" s="1">
        <v>128.6</v>
      </c>
      <c r="W219" s="1">
        <v>136.30000000000001</v>
      </c>
      <c r="X219" s="1">
        <v>137.80000000000001</v>
      </c>
      <c r="Y219" s="1">
        <v>118.6</v>
      </c>
      <c r="Z219" s="1">
        <v>131.9</v>
      </c>
      <c r="AA219" s="1">
        <v>146.6</v>
      </c>
      <c r="AB219" s="1">
        <v>131.69999999999999</v>
      </c>
      <c r="AC219" s="1">
        <v>131.80000000000001</v>
      </c>
      <c r="AD219" s="1">
        <v>138</v>
      </c>
    </row>
    <row r="220" spans="1:30" x14ac:dyDescent="0.3">
      <c r="A220" s="1" t="s">
        <v>34</v>
      </c>
      <c r="B220" s="2">
        <v>2019</v>
      </c>
      <c r="C220" s="1" t="s">
        <v>31</v>
      </c>
      <c r="D220" s="1">
        <v>137.1</v>
      </c>
      <c r="E220" s="1">
        <v>151.4</v>
      </c>
      <c r="F220" s="1">
        <v>140.19999999999999</v>
      </c>
      <c r="G220" s="1">
        <v>142.1</v>
      </c>
      <c r="H220" s="1">
        <v>121.8</v>
      </c>
      <c r="I220" s="1">
        <v>135.4</v>
      </c>
      <c r="J220" s="1">
        <v>131.30000000000001</v>
      </c>
      <c r="K220" s="1">
        <v>120.3</v>
      </c>
      <c r="L220" s="1">
        <v>109.1</v>
      </c>
      <c r="M220" s="1">
        <v>139.4</v>
      </c>
      <c r="N220" s="1">
        <v>133.30000000000001</v>
      </c>
      <c r="O220" s="1">
        <v>154.6</v>
      </c>
      <c r="P220" s="1">
        <v>137.4</v>
      </c>
      <c r="Q220" s="1">
        <v>163.19999999999999</v>
      </c>
      <c r="R220" s="1">
        <v>147.6</v>
      </c>
      <c r="S220" s="1">
        <v>139</v>
      </c>
      <c r="T220" s="1">
        <v>146.4</v>
      </c>
      <c r="U220" s="1">
        <v>147.69999999999999</v>
      </c>
      <c r="V220" s="1">
        <v>139.5</v>
      </c>
      <c r="W220" s="1">
        <v>143.6</v>
      </c>
      <c r="X220" s="1">
        <v>145.1</v>
      </c>
      <c r="Y220" s="1">
        <v>123.3</v>
      </c>
      <c r="Z220" s="1">
        <v>136.69999999999999</v>
      </c>
      <c r="AA220" s="1">
        <v>150.19999999999999</v>
      </c>
      <c r="AB220" s="1">
        <v>132.80000000000001</v>
      </c>
      <c r="AC220" s="1">
        <v>136.9</v>
      </c>
      <c r="AD220" s="1">
        <v>139.6</v>
      </c>
    </row>
    <row r="221" spans="1:30" x14ac:dyDescent="0.3">
      <c r="A221" s="1" t="s">
        <v>30</v>
      </c>
      <c r="B221" s="2">
        <v>2019</v>
      </c>
      <c r="C221" s="1" t="s">
        <v>35</v>
      </c>
      <c r="D221" s="1">
        <v>136.80000000000001</v>
      </c>
      <c r="E221" s="1">
        <v>153</v>
      </c>
      <c r="F221" s="1">
        <v>139.1</v>
      </c>
      <c r="G221" s="1">
        <v>142.5</v>
      </c>
      <c r="H221" s="1">
        <v>124.1</v>
      </c>
      <c r="I221" s="1">
        <v>135.80000000000001</v>
      </c>
      <c r="J221" s="1">
        <v>128.69999999999999</v>
      </c>
      <c r="K221" s="1">
        <v>121.5</v>
      </c>
      <c r="L221" s="1">
        <v>108.3</v>
      </c>
      <c r="M221" s="1">
        <v>139.19999999999999</v>
      </c>
      <c r="N221" s="1">
        <v>137.4</v>
      </c>
      <c r="O221" s="1">
        <v>156.19999999999999</v>
      </c>
      <c r="P221" s="1">
        <v>137.19999999999999</v>
      </c>
      <c r="Q221" s="1">
        <v>162.80000000000001</v>
      </c>
      <c r="R221" s="1">
        <v>150.5</v>
      </c>
      <c r="S221" s="1">
        <v>146.1</v>
      </c>
      <c r="T221" s="1">
        <v>149.9</v>
      </c>
      <c r="U221" s="1">
        <f>U222</f>
        <v>148.5</v>
      </c>
      <c r="V221" s="1">
        <v>145.30000000000001</v>
      </c>
      <c r="W221" s="1">
        <v>150.1</v>
      </c>
      <c r="X221" s="1">
        <v>149.9</v>
      </c>
      <c r="Y221" s="1">
        <v>129.19999999999999</v>
      </c>
      <c r="Z221" s="1">
        <v>143.4</v>
      </c>
      <c r="AA221" s="1">
        <v>155.5</v>
      </c>
      <c r="AB221" s="1">
        <v>134.9</v>
      </c>
      <c r="AC221" s="1">
        <v>142.19999999999999</v>
      </c>
      <c r="AD221" s="1">
        <v>141</v>
      </c>
    </row>
    <row r="222" spans="1:30" x14ac:dyDescent="0.3">
      <c r="A222" s="1" t="s">
        <v>33</v>
      </c>
      <c r="B222" s="2">
        <v>2019</v>
      </c>
      <c r="C222" s="1" t="s">
        <v>35</v>
      </c>
      <c r="D222" s="1">
        <v>139.4</v>
      </c>
      <c r="E222" s="1">
        <v>150.1</v>
      </c>
      <c r="F222" s="1">
        <v>145.30000000000001</v>
      </c>
      <c r="G222" s="1">
        <v>141.69999999999999</v>
      </c>
      <c r="H222" s="1">
        <v>118.4</v>
      </c>
      <c r="I222" s="1">
        <v>137</v>
      </c>
      <c r="J222" s="1">
        <v>131.6</v>
      </c>
      <c r="K222" s="1">
        <v>119.9</v>
      </c>
      <c r="L222" s="1">
        <v>110.4</v>
      </c>
      <c r="M222" s="1">
        <v>140.80000000000001</v>
      </c>
      <c r="N222" s="1">
        <v>128.30000000000001</v>
      </c>
      <c r="O222" s="1">
        <v>153.5</v>
      </c>
      <c r="P222" s="1">
        <v>138</v>
      </c>
      <c r="Q222" s="1">
        <v>164.9</v>
      </c>
      <c r="R222" s="1">
        <v>143.30000000000001</v>
      </c>
      <c r="S222" s="1">
        <v>130.80000000000001</v>
      </c>
      <c r="T222" s="1">
        <v>141.4</v>
      </c>
      <c r="U222" s="1">
        <v>148.5</v>
      </c>
      <c r="V222" s="1">
        <v>127.1</v>
      </c>
      <c r="W222" s="1">
        <v>136.6</v>
      </c>
      <c r="X222" s="1">
        <v>138.5</v>
      </c>
      <c r="Y222" s="1">
        <v>119.2</v>
      </c>
      <c r="Z222" s="1">
        <v>132.19999999999999</v>
      </c>
      <c r="AA222" s="1">
        <v>146.6</v>
      </c>
      <c r="AB222" s="1">
        <v>133</v>
      </c>
      <c r="AC222" s="1">
        <v>132.4</v>
      </c>
      <c r="AD222" s="1">
        <v>138.6</v>
      </c>
    </row>
    <row r="223" spans="1:30" x14ac:dyDescent="0.3">
      <c r="A223" s="1" t="s">
        <v>34</v>
      </c>
      <c r="B223" s="2">
        <v>2019</v>
      </c>
      <c r="C223" s="1" t="s">
        <v>35</v>
      </c>
      <c r="D223" s="1">
        <v>137.6</v>
      </c>
      <c r="E223" s="1">
        <v>152</v>
      </c>
      <c r="F223" s="1">
        <v>141.5</v>
      </c>
      <c r="G223" s="1">
        <v>142.19999999999999</v>
      </c>
      <c r="H223" s="1">
        <v>122</v>
      </c>
      <c r="I223" s="1">
        <v>136.4</v>
      </c>
      <c r="J223" s="1">
        <v>129.69999999999999</v>
      </c>
      <c r="K223" s="1">
        <v>121</v>
      </c>
      <c r="L223" s="1">
        <v>109</v>
      </c>
      <c r="M223" s="1">
        <v>139.69999999999999</v>
      </c>
      <c r="N223" s="1">
        <v>133.6</v>
      </c>
      <c r="O223" s="1">
        <v>154.9</v>
      </c>
      <c r="P223" s="1">
        <v>137.5</v>
      </c>
      <c r="Q223" s="1">
        <v>163.4</v>
      </c>
      <c r="R223" s="1">
        <v>147.69999999999999</v>
      </c>
      <c r="S223" s="1">
        <v>139.69999999999999</v>
      </c>
      <c r="T223" s="1">
        <v>146.5</v>
      </c>
      <c r="U223" s="1">
        <v>148.5</v>
      </c>
      <c r="V223" s="1">
        <v>138.4</v>
      </c>
      <c r="W223" s="1">
        <v>143.69999999999999</v>
      </c>
      <c r="X223" s="1">
        <v>145.6</v>
      </c>
      <c r="Y223" s="1">
        <v>123.9</v>
      </c>
      <c r="Z223" s="1">
        <v>137.1</v>
      </c>
      <c r="AA223" s="1">
        <v>150.30000000000001</v>
      </c>
      <c r="AB223" s="1">
        <v>134.1</v>
      </c>
      <c r="AC223" s="1">
        <v>137.4</v>
      </c>
      <c r="AD223" s="1">
        <v>139.9</v>
      </c>
    </row>
    <row r="224" spans="1:30" x14ac:dyDescent="0.3">
      <c r="A224" s="1" t="s">
        <v>30</v>
      </c>
      <c r="B224" s="2">
        <v>2019</v>
      </c>
      <c r="C224" s="1" t="s">
        <v>36</v>
      </c>
      <c r="D224" s="1">
        <v>136.9</v>
      </c>
      <c r="E224" s="1">
        <v>154.1</v>
      </c>
      <c r="F224" s="1">
        <v>138.69999999999999</v>
      </c>
      <c r="G224" s="1">
        <v>142.5</v>
      </c>
      <c r="H224" s="1">
        <v>124.1</v>
      </c>
      <c r="I224" s="1">
        <v>136.1</v>
      </c>
      <c r="J224" s="1">
        <v>128.19999999999999</v>
      </c>
      <c r="K224" s="1">
        <v>122.3</v>
      </c>
      <c r="L224" s="1">
        <v>108.3</v>
      </c>
      <c r="M224" s="1">
        <v>138.9</v>
      </c>
      <c r="N224" s="1">
        <v>137.4</v>
      </c>
      <c r="O224" s="1">
        <v>156.4</v>
      </c>
      <c r="P224" s="1">
        <v>137.30000000000001</v>
      </c>
      <c r="Q224" s="1">
        <v>162.9</v>
      </c>
      <c r="R224" s="1">
        <v>150.80000000000001</v>
      </c>
      <c r="S224" s="1">
        <v>146.1</v>
      </c>
      <c r="T224" s="1">
        <v>150.1</v>
      </c>
      <c r="U224" s="1">
        <f>U225</f>
        <v>149</v>
      </c>
      <c r="V224" s="1">
        <v>146.4</v>
      </c>
      <c r="W224" s="1">
        <v>150</v>
      </c>
      <c r="X224" s="1">
        <v>150.4</v>
      </c>
      <c r="Y224" s="1">
        <v>129.9</v>
      </c>
      <c r="Z224" s="1">
        <v>143.80000000000001</v>
      </c>
      <c r="AA224" s="1">
        <v>155.5</v>
      </c>
      <c r="AB224" s="1">
        <v>134</v>
      </c>
      <c r="AC224" s="1">
        <v>142.4</v>
      </c>
      <c r="AD224" s="1">
        <v>141.19999999999999</v>
      </c>
    </row>
    <row r="225" spans="1:30" x14ac:dyDescent="0.3">
      <c r="A225" s="1" t="s">
        <v>33</v>
      </c>
      <c r="B225" s="2">
        <v>2019</v>
      </c>
      <c r="C225" s="1" t="s">
        <v>36</v>
      </c>
      <c r="D225" s="1">
        <v>139.69999999999999</v>
      </c>
      <c r="E225" s="1">
        <v>151.1</v>
      </c>
      <c r="F225" s="1">
        <v>142.9</v>
      </c>
      <c r="G225" s="1">
        <v>141.9</v>
      </c>
      <c r="H225" s="1">
        <v>118.4</v>
      </c>
      <c r="I225" s="1">
        <v>139.4</v>
      </c>
      <c r="J225" s="1">
        <v>141.19999999999999</v>
      </c>
      <c r="K225" s="1">
        <v>120.7</v>
      </c>
      <c r="L225" s="1">
        <v>110.4</v>
      </c>
      <c r="M225" s="1">
        <v>140.69999999999999</v>
      </c>
      <c r="N225" s="1">
        <v>128.5</v>
      </c>
      <c r="O225" s="1">
        <v>153.9</v>
      </c>
      <c r="P225" s="1">
        <v>139.6</v>
      </c>
      <c r="Q225" s="1">
        <v>165.3</v>
      </c>
      <c r="R225" s="1">
        <v>143.5</v>
      </c>
      <c r="S225" s="1">
        <v>131.19999999999999</v>
      </c>
      <c r="T225" s="1">
        <v>141.6</v>
      </c>
      <c r="U225" s="1">
        <v>149</v>
      </c>
      <c r="V225" s="1">
        <v>128.80000000000001</v>
      </c>
      <c r="W225" s="1">
        <v>136.80000000000001</v>
      </c>
      <c r="X225" s="1">
        <v>139.19999999999999</v>
      </c>
      <c r="Y225" s="1">
        <v>119.9</v>
      </c>
      <c r="Z225" s="1">
        <v>133</v>
      </c>
      <c r="AA225" s="1">
        <v>146.69999999999999</v>
      </c>
      <c r="AB225" s="1">
        <v>132.5</v>
      </c>
      <c r="AC225" s="1">
        <v>132.80000000000001</v>
      </c>
      <c r="AD225" s="1">
        <v>139.5</v>
      </c>
    </row>
    <row r="226" spans="1:30" x14ac:dyDescent="0.3">
      <c r="A226" s="1" t="s">
        <v>34</v>
      </c>
      <c r="B226" s="2">
        <v>2019</v>
      </c>
      <c r="C226" s="1" t="s">
        <v>36</v>
      </c>
      <c r="D226" s="1">
        <v>137.80000000000001</v>
      </c>
      <c r="E226" s="1">
        <v>153</v>
      </c>
      <c r="F226" s="1">
        <v>140.30000000000001</v>
      </c>
      <c r="G226" s="1">
        <v>142.30000000000001</v>
      </c>
      <c r="H226" s="1">
        <v>122</v>
      </c>
      <c r="I226" s="1">
        <v>137.6</v>
      </c>
      <c r="J226" s="1">
        <v>132.6</v>
      </c>
      <c r="K226" s="1">
        <v>121.8</v>
      </c>
      <c r="L226" s="1">
        <v>109</v>
      </c>
      <c r="M226" s="1">
        <v>139.5</v>
      </c>
      <c r="N226" s="1">
        <v>133.69999999999999</v>
      </c>
      <c r="O226" s="1">
        <v>155.19999999999999</v>
      </c>
      <c r="P226" s="1">
        <v>138.1</v>
      </c>
      <c r="Q226" s="1">
        <v>163.5</v>
      </c>
      <c r="R226" s="1">
        <v>147.9</v>
      </c>
      <c r="S226" s="1">
        <v>139.9</v>
      </c>
      <c r="T226" s="1">
        <v>146.69999999999999</v>
      </c>
      <c r="U226" s="1">
        <v>149</v>
      </c>
      <c r="V226" s="1">
        <v>139.69999999999999</v>
      </c>
      <c r="W226" s="1">
        <v>143.80000000000001</v>
      </c>
      <c r="X226" s="1">
        <v>146.19999999999999</v>
      </c>
      <c r="Y226" s="1">
        <v>124.6</v>
      </c>
      <c r="Z226" s="1">
        <v>137.69999999999999</v>
      </c>
      <c r="AA226" s="1">
        <v>150.30000000000001</v>
      </c>
      <c r="AB226" s="1">
        <v>133.4</v>
      </c>
      <c r="AC226" s="1">
        <v>137.69999999999999</v>
      </c>
      <c r="AD226" s="1">
        <v>140.4</v>
      </c>
    </row>
    <row r="227" spans="1:30" x14ac:dyDescent="0.3">
      <c r="A227" s="1" t="s">
        <v>30</v>
      </c>
      <c r="B227" s="2">
        <v>2019</v>
      </c>
      <c r="C227" s="1" t="s">
        <v>38</v>
      </c>
      <c r="D227" s="1">
        <v>137.4</v>
      </c>
      <c r="E227" s="1">
        <v>159.5</v>
      </c>
      <c r="F227" s="1">
        <v>134.5</v>
      </c>
      <c r="G227" s="1">
        <v>142.6</v>
      </c>
      <c r="H227" s="1">
        <v>124</v>
      </c>
      <c r="I227" s="1">
        <v>143.69999999999999</v>
      </c>
      <c r="J227" s="1">
        <v>133.4</v>
      </c>
      <c r="K227" s="1">
        <v>125.1</v>
      </c>
      <c r="L227" s="1">
        <v>109.3</v>
      </c>
      <c r="M227" s="1">
        <v>139.30000000000001</v>
      </c>
      <c r="N227" s="1">
        <v>137.69999999999999</v>
      </c>
      <c r="O227" s="1">
        <v>156.4</v>
      </c>
      <c r="P227" s="1">
        <v>139.19999999999999</v>
      </c>
      <c r="Q227" s="1">
        <v>163.30000000000001</v>
      </c>
      <c r="R227" s="1">
        <v>151.30000000000001</v>
      </c>
      <c r="S227" s="1">
        <v>146.6</v>
      </c>
      <c r="T227" s="1">
        <v>150.69999999999999</v>
      </c>
      <c r="U227" s="1">
        <f>U228</f>
        <v>150.1</v>
      </c>
      <c r="V227" s="1">
        <v>146.9</v>
      </c>
      <c r="W227" s="1">
        <v>149.5</v>
      </c>
      <c r="X227" s="1">
        <v>151.30000000000001</v>
      </c>
      <c r="Y227" s="1">
        <v>130.19999999999999</v>
      </c>
      <c r="Z227" s="1">
        <v>145.9</v>
      </c>
      <c r="AA227" s="1">
        <v>156.69999999999999</v>
      </c>
      <c r="AB227" s="1">
        <v>133.9</v>
      </c>
      <c r="AC227" s="1">
        <v>142.9</v>
      </c>
      <c r="AD227" s="1">
        <v>142.4</v>
      </c>
    </row>
    <row r="228" spans="1:30" x14ac:dyDescent="0.3">
      <c r="A228" s="1" t="s">
        <v>33</v>
      </c>
      <c r="B228" s="2">
        <v>2019</v>
      </c>
      <c r="C228" s="1" t="s">
        <v>38</v>
      </c>
      <c r="D228" s="1">
        <v>140.4</v>
      </c>
      <c r="E228" s="1">
        <v>156.69999999999999</v>
      </c>
      <c r="F228" s="1">
        <v>138.30000000000001</v>
      </c>
      <c r="G228" s="1">
        <v>142.4</v>
      </c>
      <c r="H228" s="1">
        <v>118.6</v>
      </c>
      <c r="I228" s="1">
        <v>149.69999999999999</v>
      </c>
      <c r="J228" s="1">
        <v>161.6</v>
      </c>
      <c r="K228" s="1">
        <v>124.4</v>
      </c>
      <c r="L228" s="1">
        <v>111.2</v>
      </c>
      <c r="M228" s="1">
        <v>141</v>
      </c>
      <c r="N228" s="1">
        <v>128.9</v>
      </c>
      <c r="O228" s="1">
        <v>154.5</v>
      </c>
      <c r="P228" s="1">
        <v>143.80000000000001</v>
      </c>
      <c r="Q228" s="1">
        <v>166.2</v>
      </c>
      <c r="R228" s="1">
        <v>144</v>
      </c>
      <c r="S228" s="1">
        <v>131.69999999999999</v>
      </c>
      <c r="T228" s="1">
        <v>142.19999999999999</v>
      </c>
      <c r="U228" s="1">
        <v>150.1</v>
      </c>
      <c r="V228" s="1">
        <v>129.4</v>
      </c>
      <c r="W228" s="1">
        <v>137.19999999999999</v>
      </c>
      <c r="X228" s="1">
        <v>139.80000000000001</v>
      </c>
      <c r="Y228" s="1">
        <v>120.1</v>
      </c>
      <c r="Z228" s="1">
        <v>134</v>
      </c>
      <c r="AA228" s="1">
        <v>148</v>
      </c>
      <c r="AB228" s="1">
        <v>132.6</v>
      </c>
      <c r="AC228" s="1">
        <v>133.30000000000001</v>
      </c>
      <c r="AD228" s="1">
        <v>141.5</v>
      </c>
    </row>
    <row r="229" spans="1:30" x14ac:dyDescent="0.3">
      <c r="A229" s="1" t="s">
        <v>34</v>
      </c>
      <c r="B229" s="2">
        <v>2019</v>
      </c>
      <c r="C229" s="1" t="s">
        <v>38</v>
      </c>
      <c r="D229" s="1">
        <v>138.30000000000001</v>
      </c>
      <c r="E229" s="1">
        <v>158.5</v>
      </c>
      <c r="F229" s="1">
        <v>136</v>
      </c>
      <c r="G229" s="1">
        <v>142.5</v>
      </c>
      <c r="H229" s="1">
        <v>122</v>
      </c>
      <c r="I229" s="1">
        <v>146.5</v>
      </c>
      <c r="J229" s="1">
        <v>143</v>
      </c>
      <c r="K229" s="1">
        <v>124.9</v>
      </c>
      <c r="L229" s="1">
        <v>109.9</v>
      </c>
      <c r="M229" s="1">
        <v>139.9</v>
      </c>
      <c r="N229" s="1">
        <v>134</v>
      </c>
      <c r="O229" s="1">
        <v>155.5</v>
      </c>
      <c r="P229" s="1">
        <v>140.9</v>
      </c>
      <c r="Q229" s="1">
        <v>164.1</v>
      </c>
      <c r="R229" s="1">
        <v>148.4</v>
      </c>
      <c r="S229" s="1">
        <v>140.4</v>
      </c>
      <c r="T229" s="1">
        <v>147.30000000000001</v>
      </c>
      <c r="U229" s="1">
        <v>150.1</v>
      </c>
      <c r="V229" s="1">
        <v>140.30000000000001</v>
      </c>
      <c r="W229" s="1">
        <v>143.69999999999999</v>
      </c>
      <c r="X229" s="1">
        <v>146.9</v>
      </c>
      <c r="Y229" s="1">
        <v>124.9</v>
      </c>
      <c r="Z229" s="1">
        <v>139.19999999999999</v>
      </c>
      <c r="AA229" s="1">
        <v>151.6</v>
      </c>
      <c r="AB229" s="1">
        <v>133.4</v>
      </c>
      <c r="AC229" s="1">
        <v>138.19999999999999</v>
      </c>
      <c r="AD229" s="1">
        <v>142</v>
      </c>
    </row>
    <row r="230" spans="1:30" x14ac:dyDescent="0.3">
      <c r="A230" s="1" t="s">
        <v>30</v>
      </c>
      <c r="B230" s="2">
        <v>2019</v>
      </c>
      <c r="C230" s="1" t="s">
        <v>39</v>
      </c>
      <c r="D230" s="1">
        <v>137.80000000000001</v>
      </c>
      <c r="E230" s="1">
        <v>163.5</v>
      </c>
      <c r="F230" s="1">
        <v>136.19999999999999</v>
      </c>
      <c r="G230" s="1">
        <v>143.19999999999999</v>
      </c>
      <c r="H230" s="1">
        <v>124.3</v>
      </c>
      <c r="I230" s="1">
        <v>143.30000000000001</v>
      </c>
      <c r="J230" s="1">
        <v>140.6</v>
      </c>
      <c r="K230" s="1">
        <v>128.69999999999999</v>
      </c>
      <c r="L230" s="1">
        <v>110.6</v>
      </c>
      <c r="M230" s="1">
        <v>140.4</v>
      </c>
      <c r="N230" s="1">
        <v>138</v>
      </c>
      <c r="O230" s="1">
        <v>156.6</v>
      </c>
      <c r="P230" s="1">
        <v>141</v>
      </c>
      <c r="Q230" s="1">
        <v>164.2</v>
      </c>
      <c r="R230" s="1">
        <v>151.4</v>
      </c>
      <c r="S230" s="1">
        <v>146.5</v>
      </c>
      <c r="T230" s="1">
        <v>150.69999999999999</v>
      </c>
      <c r="U230" s="1">
        <f>U231</f>
        <v>149.4</v>
      </c>
      <c r="V230" s="1">
        <v>147.80000000000001</v>
      </c>
      <c r="W230" s="1">
        <v>149.6</v>
      </c>
      <c r="X230" s="1">
        <v>151.69999999999999</v>
      </c>
      <c r="Y230" s="1">
        <v>130.19999999999999</v>
      </c>
      <c r="Z230" s="1">
        <v>146.4</v>
      </c>
      <c r="AA230" s="1">
        <v>157.69999999999999</v>
      </c>
      <c r="AB230" s="1">
        <v>134.80000000000001</v>
      </c>
      <c r="AC230" s="1">
        <v>143.30000000000001</v>
      </c>
      <c r="AD230" s="1">
        <v>143.6</v>
      </c>
    </row>
    <row r="231" spans="1:30" x14ac:dyDescent="0.3">
      <c r="A231" s="1" t="s">
        <v>33</v>
      </c>
      <c r="B231" s="2">
        <v>2019</v>
      </c>
      <c r="C231" s="1" t="s">
        <v>39</v>
      </c>
      <c r="D231" s="1">
        <v>140.69999999999999</v>
      </c>
      <c r="E231" s="1">
        <v>159.6</v>
      </c>
      <c r="F231" s="1">
        <v>140.4</v>
      </c>
      <c r="G231" s="1">
        <v>143.4</v>
      </c>
      <c r="H231" s="1">
        <v>118.6</v>
      </c>
      <c r="I231" s="1">
        <v>150.9</v>
      </c>
      <c r="J231" s="1">
        <v>169.8</v>
      </c>
      <c r="K231" s="1">
        <v>127.4</v>
      </c>
      <c r="L231" s="1">
        <v>111.8</v>
      </c>
      <c r="M231" s="1">
        <v>141</v>
      </c>
      <c r="N231" s="1">
        <v>129</v>
      </c>
      <c r="O231" s="1">
        <v>155.1</v>
      </c>
      <c r="P231" s="1">
        <v>145.6</v>
      </c>
      <c r="Q231" s="1">
        <v>166.7</v>
      </c>
      <c r="R231" s="1">
        <v>144.30000000000001</v>
      </c>
      <c r="S231" s="1">
        <v>131.69999999999999</v>
      </c>
      <c r="T231" s="1">
        <v>142.4</v>
      </c>
      <c r="U231" s="1">
        <v>149.4</v>
      </c>
      <c r="V231" s="1">
        <v>130.5</v>
      </c>
      <c r="W231" s="1">
        <v>137.4</v>
      </c>
      <c r="X231" s="1">
        <v>140.30000000000001</v>
      </c>
      <c r="Y231" s="1">
        <v>119.6</v>
      </c>
      <c r="Z231" s="1">
        <v>134.30000000000001</v>
      </c>
      <c r="AA231" s="1">
        <v>148.9</v>
      </c>
      <c r="AB231" s="1">
        <v>133.69999999999999</v>
      </c>
      <c r="AC231" s="1">
        <v>133.6</v>
      </c>
      <c r="AD231" s="1">
        <v>142.1</v>
      </c>
    </row>
    <row r="232" spans="1:30" x14ac:dyDescent="0.3">
      <c r="A232" s="1" t="s">
        <v>34</v>
      </c>
      <c r="B232" s="2">
        <v>2019</v>
      </c>
      <c r="C232" s="1" t="s">
        <v>39</v>
      </c>
      <c r="D232" s="1">
        <v>138.69999999999999</v>
      </c>
      <c r="E232" s="1">
        <v>162.1</v>
      </c>
      <c r="F232" s="1">
        <v>137.80000000000001</v>
      </c>
      <c r="G232" s="1">
        <v>143.30000000000001</v>
      </c>
      <c r="H232" s="1">
        <v>122.2</v>
      </c>
      <c r="I232" s="1">
        <v>146.80000000000001</v>
      </c>
      <c r="J232" s="1">
        <v>150.5</v>
      </c>
      <c r="K232" s="1">
        <v>128.30000000000001</v>
      </c>
      <c r="L232" s="1">
        <v>111</v>
      </c>
      <c r="M232" s="1">
        <v>140.6</v>
      </c>
      <c r="N232" s="1">
        <v>134.19999999999999</v>
      </c>
      <c r="O232" s="1">
        <v>155.9</v>
      </c>
      <c r="P232" s="1">
        <v>142.69999999999999</v>
      </c>
      <c r="Q232" s="1">
        <v>164.9</v>
      </c>
      <c r="R232" s="1">
        <v>148.6</v>
      </c>
      <c r="S232" s="1">
        <v>140.4</v>
      </c>
      <c r="T232" s="1">
        <v>147.4</v>
      </c>
      <c r="U232" s="1">
        <v>149.4</v>
      </c>
      <c r="V232" s="1">
        <v>141.19999999999999</v>
      </c>
      <c r="W232" s="1">
        <v>143.80000000000001</v>
      </c>
      <c r="X232" s="1">
        <v>147.4</v>
      </c>
      <c r="Y232" s="1">
        <v>124.6</v>
      </c>
      <c r="Z232" s="1">
        <v>139.6</v>
      </c>
      <c r="AA232" s="1">
        <v>152.5</v>
      </c>
      <c r="AB232" s="1">
        <v>134.30000000000001</v>
      </c>
      <c r="AC232" s="1">
        <v>138.6</v>
      </c>
      <c r="AD232" s="1">
        <v>142.9</v>
      </c>
    </row>
    <row r="233" spans="1:30" x14ac:dyDescent="0.3">
      <c r="A233" s="1" t="s">
        <v>30</v>
      </c>
      <c r="B233" s="2">
        <v>2019</v>
      </c>
      <c r="C233" s="1" t="s">
        <v>40</v>
      </c>
      <c r="D233" s="1">
        <v>138.4</v>
      </c>
      <c r="E233" s="1">
        <v>164</v>
      </c>
      <c r="F233" s="1">
        <v>138.4</v>
      </c>
      <c r="G233" s="1">
        <v>143.9</v>
      </c>
      <c r="H233" s="1">
        <v>124.4</v>
      </c>
      <c r="I233" s="1">
        <v>146.4</v>
      </c>
      <c r="J233" s="1">
        <v>150.1</v>
      </c>
      <c r="K233" s="1">
        <v>130.6</v>
      </c>
      <c r="L233" s="1">
        <v>110.8</v>
      </c>
      <c r="M233" s="1">
        <v>141.69999999999999</v>
      </c>
      <c r="N233" s="1">
        <v>138.5</v>
      </c>
      <c r="O233" s="1">
        <v>156.69999999999999</v>
      </c>
      <c r="P233" s="1">
        <v>143</v>
      </c>
      <c r="Q233" s="1">
        <v>164.5</v>
      </c>
      <c r="R233" s="1">
        <v>151.6</v>
      </c>
      <c r="S233" s="1">
        <v>146.6</v>
      </c>
      <c r="T233" s="1">
        <v>150.9</v>
      </c>
      <c r="U233" s="1">
        <f>U234</f>
        <v>150.6</v>
      </c>
      <c r="V233" s="1">
        <v>146.80000000000001</v>
      </c>
      <c r="W233" s="1">
        <v>150</v>
      </c>
      <c r="X233" s="1">
        <v>152.19999999999999</v>
      </c>
      <c r="Y233" s="1">
        <v>131.19999999999999</v>
      </c>
      <c r="Z233" s="1">
        <v>147.5</v>
      </c>
      <c r="AA233" s="1">
        <v>159.1</v>
      </c>
      <c r="AB233" s="1">
        <v>136.1</v>
      </c>
      <c r="AC233" s="1">
        <v>144.19999999999999</v>
      </c>
      <c r="AD233" s="1">
        <v>144.9</v>
      </c>
    </row>
    <row r="234" spans="1:30" x14ac:dyDescent="0.3">
      <c r="A234" s="1" t="s">
        <v>33</v>
      </c>
      <c r="B234" s="2">
        <v>2019</v>
      </c>
      <c r="C234" s="1" t="s">
        <v>40</v>
      </c>
      <c r="D234" s="1">
        <v>141.4</v>
      </c>
      <c r="E234" s="1">
        <v>160.19999999999999</v>
      </c>
      <c r="F234" s="1">
        <v>142.5</v>
      </c>
      <c r="G234" s="1">
        <v>144.1</v>
      </c>
      <c r="H234" s="1">
        <v>119.3</v>
      </c>
      <c r="I234" s="1">
        <v>154.69999999999999</v>
      </c>
      <c r="J234" s="1">
        <v>180.1</v>
      </c>
      <c r="K234" s="1">
        <v>128.9</v>
      </c>
      <c r="L234" s="1">
        <v>111.8</v>
      </c>
      <c r="M234" s="1">
        <v>141.6</v>
      </c>
      <c r="N234" s="1">
        <v>129.5</v>
      </c>
      <c r="O234" s="1">
        <v>155.6</v>
      </c>
      <c r="P234" s="1">
        <v>147.69999999999999</v>
      </c>
      <c r="Q234" s="1">
        <v>167.2</v>
      </c>
      <c r="R234" s="1">
        <v>144.69999999999999</v>
      </c>
      <c r="S234" s="1">
        <v>131.9</v>
      </c>
      <c r="T234" s="1">
        <v>142.69999999999999</v>
      </c>
      <c r="U234" s="1">
        <v>150.6</v>
      </c>
      <c r="V234" s="1">
        <v>127</v>
      </c>
      <c r="W234" s="1">
        <v>137.69999999999999</v>
      </c>
      <c r="X234" s="1">
        <v>140.80000000000001</v>
      </c>
      <c r="Y234" s="1">
        <v>120.6</v>
      </c>
      <c r="Z234" s="1">
        <v>135</v>
      </c>
      <c r="AA234" s="1">
        <v>150.4</v>
      </c>
      <c r="AB234" s="1">
        <v>135.1</v>
      </c>
      <c r="AC234" s="1">
        <v>134.5</v>
      </c>
      <c r="AD234" s="1">
        <v>143.30000000000001</v>
      </c>
    </row>
    <row r="235" spans="1:30" x14ac:dyDescent="0.3">
      <c r="A235" s="1" t="s">
        <v>34</v>
      </c>
      <c r="B235" s="2">
        <v>2019</v>
      </c>
      <c r="C235" s="1" t="s">
        <v>40</v>
      </c>
      <c r="D235" s="1">
        <v>139.30000000000001</v>
      </c>
      <c r="E235" s="1">
        <v>162.69999999999999</v>
      </c>
      <c r="F235" s="1">
        <v>140</v>
      </c>
      <c r="G235" s="1">
        <v>144</v>
      </c>
      <c r="H235" s="1">
        <v>122.5</v>
      </c>
      <c r="I235" s="1">
        <v>150.30000000000001</v>
      </c>
      <c r="J235" s="1">
        <v>160.30000000000001</v>
      </c>
      <c r="K235" s="1">
        <v>130</v>
      </c>
      <c r="L235" s="1">
        <v>111.1</v>
      </c>
      <c r="M235" s="1">
        <v>141.69999999999999</v>
      </c>
      <c r="N235" s="1">
        <v>134.69999999999999</v>
      </c>
      <c r="O235" s="1">
        <v>156.19999999999999</v>
      </c>
      <c r="P235" s="1">
        <v>144.69999999999999</v>
      </c>
      <c r="Q235" s="1">
        <v>165.2</v>
      </c>
      <c r="R235" s="1">
        <v>148.9</v>
      </c>
      <c r="S235" s="1">
        <v>140.5</v>
      </c>
      <c r="T235" s="1">
        <v>147.6</v>
      </c>
      <c r="U235" s="1">
        <v>150.6</v>
      </c>
      <c r="V235" s="1">
        <v>139.30000000000001</v>
      </c>
      <c r="W235" s="1">
        <v>144.19999999999999</v>
      </c>
      <c r="X235" s="1">
        <v>147.9</v>
      </c>
      <c r="Y235" s="1">
        <v>125.6</v>
      </c>
      <c r="Z235" s="1">
        <v>140.5</v>
      </c>
      <c r="AA235" s="1">
        <v>154</v>
      </c>
      <c r="AB235" s="1">
        <v>135.69999999999999</v>
      </c>
      <c r="AC235" s="1">
        <v>139.5</v>
      </c>
      <c r="AD235" s="1">
        <v>144.19999999999999</v>
      </c>
    </row>
    <row r="236" spans="1:30" x14ac:dyDescent="0.3">
      <c r="A236" s="1" t="s">
        <v>30</v>
      </c>
      <c r="B236" s="2">
        <v>2019</v>
      </c>
      <c r="C236" s="1" t="s">
        <v>41</v>
      </c>
      <c r="D236" s="1">
        <v>139.19999999999999</v>
      </c>
      <c r="E236" s="1">
        <v>161.9</v>
      </c>
      <c r="F236" s="1">
        <v>137.1</v>
      </c>
      <c r="G236" s="1">
        <v>144.6</v>
      </c>
      <c r="H236" s="1">
        <v>124.7</v>
      </c>
      <c r="I236" s="1">
        <v>145.5</v>
      </c>
      <c r="J236" s="1">
        <v>156.19999999999999</v>
      </c>
      <c r="K236" s="1">
        <v>131.5</v>
      </c>
      <c r="L236" s="1">
        <v>111.7</v>
      </c>
      <c r="M236" s="1">
        <v>142.69999999999999</v>
      </c>
      <c r="N236" s="1">
        <v>138.5</v>
      </c>
      <c r="O236" s="1">
        <v>156.9</v>
      </c>
      <c r="P236" s="1">
        <v>144</v>
      </c>
      <c r="Q236" s="1">
        <v>165.1</v>
      </c>
      <c r="R236" s="1">
        <v>151.80000000000001</v>
      </c>
      <c r="S236" s="1">
        <v>146.6</v>
      </c>
      <c r="T236" s="1">
        <v>151.1</v>
      </c>
      <c r="U236" s="1">
        <f>U237</f>
        <v>151.6</v>
      </c>
      <c r="V236" s="1">
        <v>146.4</v>
      </c>
      <c r="W236" s="1">
        <v>150.19999999999999</v>
      </c>
      <c r="X236" s="1">
        <v>152.69999999999999</v>
      </c>
      <c r="Y236" s="1">
        <v>131.4</v>
      </c>
      <c r="Z236" s="1">
        <v>148</v>
      </c>
      <c r="AA236" s="1">
        <v>159.69999999999999</v>
      </c>
      <c r="AB236" s="1">
        <v>138.80000000000001</v>
      </c>
      <c r="AC236" s="1">
        <v>144.9</v>
      </c>
      <c r="AD236" s="1">
        <v>145.69999999999999</v>
      </c>
    </row>
    <row r="237" spans="1:30" x14ac:dyDescent="0.3">
      <c r="A237" s="1" t="s">
        <v>33</v>
      </c>
      <c r="B237" s="2">
        <v>2019</v>
      </c>
      <c r="C237" s="1" t="s">
        <v>41</v>
      </c>
      <c r="D237" s="1">
        <v>142.1</v>
      </c>
      <c r="E237" s="1">
        <v>158.30000000000001</v>
      </c>
      <c r="F237" s="1">
        <v>140.80000000000001</v>
      </c>
      <c r="G237" s="1">
        <v>144.9</v>
      </c>
      <c r="H237" s="1">
        <v>119.9</v>
      </c>
      <c r="I237" s="1">
        <v>153.9</v>
      </c>
      <c r="J237" s="1">
        <v>189.1</v>
      </c>
      <c r="K237" s="1">
        <v>129.80000000000001</v>
      </c>
      <c r="L237" s="1">
        <v>112.7</v>
      </c>
      <c r="M237" s="1">
        <v>142.5</v>
      </c>
      <c r="N237" s="1">
        <v>129.80000000000001</v>
      </c>
      <c r="O237" s="1">
        <v>156.19999999999999</v>
      </c>
      <c r="P237" s="1">
        <v>149.1</v>
      </c>
      <c r="Q237" s="1">
        <v>167.9</v>
      </c>
      <c r="R237" s="1">
        <v>145</v>
      </c>
      <c r="S237" s="1">
        <v>132.19999999999999</v>
      </c>
      <c r="T237" s="1">
        <v>143</v>
      </c>
      <c r="U237" s="1">
        <v>151.6</v>
      </c>
      <c r="V237" s="1">
        <v>125.5</v>
      </c>
      <c r="W237" s="1">
        <v>138.1</v>
      </c>
      <c r="X237" s="1">
        <v>141.5</v>
      </c>
      <c r="Y237" s="1">
        <v>120.8</v>
      </c>
      <c r="Z237" s="1">
        <v>135.4</v>
      </c>
      <c r="AA237" s="1">
        <v>151.5</v>
      </c>
      <c r="AB237" s="1">
        <v>137.80000000000001</v>
      </c>
      <c r="AC237" s="1">
        <v>135.30000000000001</v>
      </c>
      <c r="AD237" s="1">
        <v>144.19999999999999</v>
      </c>
    </row>
    <row r="238" spans="1:30" x14ac:dyDescent="0.3">
      <c r="A238" s="1" t="s">
        <v>34</v>
      </c>
      <c r="B238" s="2">
        <v>2019</v>
      </c>
      <c r="C238" s="1" t="s">
        <v>41</v>
      </c>
      <c r="D238" s="1">
        <v>140.1</v>
      </c>
      <c r="E238" s="1">
        <v>160.6</v>
      </c>
      <c r="F238" s="1">
        <v>138.5</v>
      </c>
      <c r="G238" s="1">
        <v>144.69999999999999</v>
      </c>
      <c r="H238" s="1">
        <v>122.9</v>
      </c>
      <c r="I238" s="1">
        <v>149.4</v>
      </c>
      <c r="J238" s="1">
        <v>167.4</v>
      </c>
      <c r="K238" s="1">
        <v>130.9</v>
      </c>
      <c r="L238" s="1">
        <v>112</v>
      </c>
      <c r="M238" s="1">
        <v>142.6</v>
      </c>
      <c r="N238" s="1">
        <v>134.9</v>
      </c>
      <c r="O238" s="1">
        <v>156.6</v>
      </c>
      <c r="P238" s="1">
        <v>145.9</v>
      </c>
      <c r="Q238" s="1">
        <v>165.8</v>
      </c>
      <c r="R238" s="1">
        <v>149.1</v>
      </c>
      <c r="S238" s="1">
        <v>140.6</v>
      </c>
      <c r="T238" s="1">
        <v>147.9</v>
      </c>
      <c r="U238" s="1">
        <v>151.6</v>
      </c>
      <c r="V238" s="1">
        <v>138.5</v>
      </c>
      <c r="W238" s="1">
        <v>144.5</v>
      </c>
      <c r="X238" s="1">
        <v>148.5</v>
      </c>
      <c r="Y238" s="1">
        <v>125.8</v>
      </c>
      <c r="Z238" s="1">
        <v>140.9</v>
      </c>
      <c r="AA238" s="1">
        <v>154.9</v>
      </c>
      <c r="AB238" s="1">
        <v>138.4</v>
      </c>
      <c r="AC238" s="1">
        <v>140.19999999999999</v>
      </c>
      <c r="AD238" s="1">
        <v>145</v>
      </c>
    </row>
    <row r="239" spans="1:30" x14ac:dyDescent="0.3">
      <c r="A239" s="1" t="s">
        <v>30</v>
      </c>
      <c r="B239" s="2">
        <v>2019</v>
      </c>
      <c r="C239" s="1" t="s">
        <v>42</v>
      </c>
      <c r="D239" s="1">
        <v>140.1</v>
      </c>
      <c r="E239" s="1">
        <v>161.9</v>
      </c>
      <c r="F239" s="1">
        <v>138.30000000000001</v>
      </c>
      <c r="G239" s="1">
        <v>145.69999999999999</v>
      </c>
      <c r="H239" s="1">
        <v>125.1</v>
      </c>
      <c r="I239" s="1">
        <v>143.80000000000001</v>
      </c>
      <c r="J239" s="1">
        <v>163.4</v>
      </c>
      <c r="K239" s="1">
        <v>132.19999999999999</v>
      </c>
      <c r="L239" s="1">
        <v>112.8</v>
      </c>
      <c r="M239" s="1">
        <v>144.19999999999999</v>
      </c>
      <c r="N239" s="1">
        <v>138.5</v>
      </c>
      <c r="O239" s="1">
        <v>157.19999999999999</v>
      </c>
      <c r="P239" s="1">
        <v>145.5</v>
      </c>
      <c r="Q239" s="1">
        <v>165.7</v>
      </c>
      <c r="R239" s="1">
        <v>151.69999999999999</v>
      </c>
      <c r="S239" s="1">
        <v>146.6</v>
      </c>
      <c r="T239" s="1">
        <v>151</v>
      </c>
      <c r="U239" s="1">
        <f>U240</f>
        <v>152.19999999999999</v>
      </c>
      <c r="V239" s="1">
        <v>146.9</v>
      </c>
      <c r="W239" s="1">
        <v>150.30000000000001</v>
      </c>
      <c r="X239" s="1">
        <v>153.4</v>
      </c>
      <c r="Y239" s="1">
        <v>131.6</v>
      </c>
      <c r="Z239" s="1">
        <v>148.30000000000001</v>
      </c>
      <c r="AA239" s="1">
        <v>160.19999999999999</v>
      </c>
      <c r="AB239" s="1">
        <v>140.19999999999999</v>
      </c>
      <c r="AC239" s="1">
        <v>145.4</v>
      </c>
      <c r="AD239" s="1">
        <v>146.69999999999999</v>
      </c>
    </row>
    <row r="240" spans="1:30" x14ac:dyDescent="0.3">
      <c r="A240" s="1" t="s">
        <v>33</v>
      </c>
      <c r="B240" s="2">
        <v>2019</v>
      </c>
      <c r="C240" s="1" t="s">
        <v>42</v>
      </c>
      <c r="D240" s="1">
        <v>142.69999999999999</v>
      </c>
      <c r="E240" s="1">
        <v>158.69999999999999</v>
      </c>
      <c r="F240" s="1">
        <v>141.6</v>
      </c>
      <c r="G240" s="1">
        <v>144.9</v>
      </c>
      <c r="H240" s="1">
        <v>120.8</v>
      </c>
      <c r="I240" s="1">
        <v>149.80000000000001</v>
      </c>
      <c r="J240" s="1">
        <v>192.4</v>
      </c>
      <c r="K240" s="1">
        <v>130.30000000000001</v>
      </c>
      <c r="L240" s="1">
        <v>114</v>
      </c>
      <c r="M240" s="1">
        <v>143.80000000000001</v>
      </c>
      <c r="N240" s="1">
        <v>130</v>
      </c>
      <c r="O240" s="1">
        <v>156.4</v>
      </c>
      <c r="P240" s="1">
        <v>149.5</v>
      </c>
      <c r="Q240" s="1">
        <v>168.6</v>
      </c>
      <c r="R240" s="1">
        <v>145.30000000000001</v>
      </c>
      <c r="S240" s="1">
        <v>132.19999999999999</v>
      </c>
      <c r="T240" s="1">
        <v>143.30000000000001</v>
      </c>
      <c r="U240" s="1">
        <v>152.19999999999999</v>
      </c>
      <c r="V240" s="1">
        <v>126.6</v>
      </c>
      <c r="W240" s="1">
        <v>138.30000000000001</v>
      </c>
      <c r="X240" s="1">
        <v>141.9</v>
      </c>
      <c r="Y240" s="1">
        <v>121.2</v>
      </c>
      <c r="Z240" s="1">
        <v>135.9</v>
      </c>
      <c r="AA240" s="1">
        <v>151.6</v>
      </c>
      <c r="AB240" s="1">
        <v>139</v>
      </c>
      <c r="AC240" s="1">
        <v>135.69999999999999</v>
      </c>
      <c r="AD240" s="1">
        <v>144.69999999999999</v>
      </c>
    </row>
    <row r="241" spans="1:30" x14ac:dyDescent="0.3">
      <c r="A241" s="1" t="s">
        <v>34</v>
      </c>
      <c r="B241" s="2">
        <v>2019</v>
      </c>
      <c r="C241" s="1" t="s">
        <v>42</v>
      </c>
      <c r="D241" s="1">
        <v>140.9</v>
      </c>
      <c r="E241" s="1">
        <v>160.80000000000001</v>
      </c>
      <c r="F241" s="1">
        <v>139.6</v>
      </c>
      <c r="G241" s="1">
        <v>145.4</v>
      </c>
      <c r="H241" s="1">
        <v>123.5</v>
      </c>
      <c r="I241" s="1">
        <v>146.6</v>
      </c>
      <c r="J241" s="1">
        <v>173.2</v>
      </c>
      <c r="K241" s="1">
        <v>131.6</v>
      </c>
      <c r="L241" s="1">
        <v>113.2</v>
      </c>
      <c r="M241" s="1">
        <v>144.1</v>
      </c>
      <c r="N241" s="1">
        <v>135</v>
      </c>
      <c r="O241" s="1">
        <v>156.80000000000001</v>
      </c>
      <c r="P241" s="1">
        <v>147</v>
      </c>
      <c r="Q241" s="1">
        <v>166.5</v>
      </c>
      <c r="R241" s="1">
        <v>149.19999999999999</v>
      </c>
      <c r="S241" s="1">
        <v>140.6</v>
      </c>
      <c r="T241" s="1">
        <v>147.9</v>
      </c>
      <c r="U241" s="1">
        <v>152.19999999999999</v>
      </c>
      <c r="V241" s="1">
        <v>139.19999999999999</v>
      </c>
      <c r="W241" s="1">
        <v>144.6</v>
      </c>
      <c r="X241" s="1">
        <v>149</v>
      </c>
      <c r="Y241" s="1">
        <v>126.1</v>
      </c>
      <c r="Z241" s="1">
        <v>141.30000000000001</v>
      </c>
      <c r="AA241" s="1">
        <v>155.19999999999999</v>
      </c>
      <c r="AB241" s="1">
        <v>139.69999999999999</v>
      </c>
      <c r="AC241" s="1">
        <v>140.69999999999999</v>
      </c>
      <c r="AD241" s="1">
        <v>145.80000000000001</v>
      </c>
    </row>
    <row r="242" spans="1:30" x14ac:dyDescent="0.3">
      <c r="A242" s="1" t="s">
        <v>30</v>
      </c>
      <c r="B242" s="2">
        <v>2019</v>
      </c>
      <c r="C242" s="1" t="s">
        <v>43</v>
      </c>
      <c r="D242" s="1">
        <v>141</v>
      </c>
      <c r="E242" s="1">
        <v>161.6</v>
      </c>
      <c r="F242" s="1">
        <v>141.19999999999999</v>
      </c>
      <c r="G242" s="1">
        <v>146.5</v>
      </c>
      <c r="H242" s="1">
        <v>125.6</v>
      </c>
      <c r="I242" s="1">
        <v>145.69999999999999</v>
      </c>
      <c r="J242" s="1">
        <v>178.8</v>
      </c>
      <c r="K242" s="1">
        <v>133.1</v>
      </c>
      <c r="L242" s="1">
        <v>113.6</v>
      </c>
      <c r="M242" s="1">
        <v>145.5</v>
      </c>
      <c r="N242" s="1">
        <v>138.6</v>
      </c>
      <c r="O242" s="1">
        <v>157.4</v>
      </c>
      <c r="P242" s="1">
        <v>148.30000000000001</v>
      </c>
      <c r="Q242" s="1">
        <v>166.3</v>
      </c>
      <c r="R242" s="1">
        <v>151.69999999999999</v>
      </c>
      <c r="S242" s="1">
        <v>146.69999999999999</v>
      </c>
      <c r="T242" s="1">
        <v>151</v>
      </c>
      <c r="U242" s="1">
        <f>U243</f>
        <v>153</v>
      </c>
      <c r="V242" s="1">
        <v>147.69999999999999</v>
      </c>
      <c r="W242" s="1">
        <v>150.6</v>
      </c>
      <c r="X242" s="1">
        <v>153.69999999999999</v>
      </c>
      <c r="Y242" s="1">
        <v>131.69999999999999</v>
      </c>
      <c r="Z242" s="1">
        <v>148.69999999999999</v>
      </c>
      <c r="AA242" s="1">
        <v>160.69999999999999</v>
      </c>
      <c r="AB242" s="1">
        <v>140.30000000000001</v>
      </c>
      <c r="AC242" s="1">
        <v>145.69999999999999</v>
      </c>
      <c r="AD242" s="1">
        <v>148.30000000000001</v>
      </c>
    </row>
    <row r="243" spans="1:30" x14ac:dyDescent="0.3">
      <c r="A243" s="1" t="s">
        <v>33</v>
      </c>
      <c r="B243" s="2">
        <v>2019</v>
      </c>
      <c r="C243" s="1" t="s">
        <v>43</v>
      </c>
      <c r="D243" s="1">
        <v>143.5</v>
      </c>
      <c r="E243" s="1">
        <v>159.80000000000001</v>
      </c>
      <c r="F243" s="1">
        <v>144.69999999999999</v>
      </c>
      <c r="G243" s="1">
        <v>145.6</v>
      </c>
      <c r="H243" s="1">
        <v>121.1</v>
      </c>
      <c r="I243" s="1">
        <v>150.6</v>
      </c>
      <c r="J243" s="1">
        <v>207.2</v>
      </c>
      <c r="K243" s="1">
        <v>131.19999999999999</v>
      </c>
      <c r="L243" s="1">
        <v>114.8</v>
      </c>
      <c r="M243" s="1">
        <v>145.19999999999999</v>
      </c>
      <c r="N243" s="1">
        <v>130.19999999999999</v>
      </c>
      <c r="O243" s="1">
        <v>156.80000000000001</v>
      </c>
      <c r="P243" s="1">
        <v>151.9</v>
      </c>
      <c r="Q243" s="1">
        <v>169.3</v>
      </c>
      <c r="R243" s="1">
        <v>145.9</v>
      </c>
      <c r="S243" s="1">
        <v>132.4</v>
      </c>
      <c r="T243" s="1">
        <v>143.9</v>
      </c>
      <c r="U243" s="1">
        <v>153</v>
      </c>
      <c r="V243" s="1">
        <v>128.9</v>
      </c>
      <c r="W243" s="1">
        <v>138.69999999999999</v>
      </c>
      <c r="X243" s="1">
        <v>142.4</v>
      </c>
      <c r="Y243" s="1">
        <v>121.5</v>
      </c>
      <c r="Z243" s="1">
        <v>136.19999999999999</v>
      </c>
      <c r="AA243" s="1">
        <v>151.69999999999999</v>
      </c>
      <c r="AB243" s="1">
        <v>139.5</v>
      </c>
      <c r="AC243" s="1">
        <v>136</v>
      </c>
      <c r="AD243" s="1">
        <v>146</v>
      </c>
    </row>
    <row r="244" spans="1:30" x14ac:dyDescent="0.3">
      <c r="A244" s="1" t="s">
        <v>34</v>
      </c>
      <c r="B244" s="2">
        <v>2019</v>
      </c>
      <c r="C244" s="1" t="s">
        <v>43</v>
      </c>
      <c r="D244" s="1">
        <v>141.80000000000001</v>
      </c>
      <c r="E244" s="1">
        <v>161</v>
      </c>
      <c r="F244" s="1">
        <v>142.6</v>
      </c>
      <c r="G244" s="1">
        <v>146.19999999999999</v>
      </c>
      <c r="H244" s="1">
        <v>123.9</v>
      </c>
      <c r="I244" s="1">
        <v>148</v>
      </c>
      <c r="J244" s="1">
        <v>188.4</v>
      </c>
      <c r="K244" s="1">
        <v>132.5</v>
      </c>
      <c r="L244" s="1">
        <v>114</v>
      </c>
      <c r="M244" s="1">
        <v>145.4</v>
      </c>
      <c r="N244" s="1">
        <v>135.1</v>
      </c>
      <c r="O244" s="1">
        <v>157.1</v>
      </c>
      <c r="P244" s="1">
        <v>149.6</v>
      </c>
      <c r="Q244" s="1">
        <v>167.1</v>
      </c>
      <c r="R244" s="1">
        <v>149.4</v>
      </c>
      <c r="S244" s="1">
        <v>140.80000000000001</v>
      </c>
      <c r="T244" s="1">
        <v>148.19999999999999</v>
      </c>
      <c r="U244" s="1">
        <v>153</v>
      </c>
      <c r="V244" s="1">
        <v>140.6</v>
      </c>
      <c r="W244" s="1">
        <v>145</v>
      </c>
      <c r="X244" s="1">
        <v>149.4</v>
      </c>
      <c r="Y244" s="1">
        <v>126.3</v>
      </c>
      <c r="Z244" s="1">
        <v>141.69999999999999</v>
      </c>
      <c r="AA244" s="1">
        <v>155.4</v>
      </c>
      <c r="AB244" s="1">
        <v>140</v>
      </c>
      <c r="AC244" s="1">
        <v>141</v>
      </c>
      <c r="AD244" s="1">
        <v>147.19999999999999</v>
      </c>
    </row>
    <row r="245" spans="1:30" x14ac:dyDescent="0.3">
      <c r="A245" s="1" t="s">
        <v>30</v>
      </c>
      <c r="B245" s="2">
        <v>2019</v>
      </c>
      <c r="C245" s="1" t="s">
        <v>45</v>
      </c>
      <c r="D245" s="1">
        <v>141.80000000000001</v>
      </c>
      <c r="E245" s="1">
        <v>163.69999999999999</v>
      </c>
      <c r="F245" s="1">
        <v>143.80000000000001</v>
      </c>
      <c r="G245" s="1">
        <v>147.1</v>
      </c>
      <c r="H245" s="1">
        <v>126</v>
      </c>
      <c r="I245" s="1">
        <v>146.19999999999999</v>
      </c>
      <c r="J245" s="1">
        <v>191.4</v>
      </c>
      <c r="K245" s="1">
        <v>136.19999999999999</v>
      </c>
      <c r="L245" s="1">
        <v>113.8</v>
      </c>
      <c r="M245" s="1">
        <v>147.30000000000001</v>
      </c>
      <c r="N245" s="1">
        <v>138.69999999999999</v>
      </c>
      <c r="O245" s="1">
        <v>157.69999999999999</v>
      </c>
      <c r="P245" s="1">
        <v>150.9</v>
      </c>
      <c r="Q245" s="1">
        <v>167.2</v>
      </c>
      <c r="R245" s="1">
        <v>152.30000000000001</v>
      </c>
      <c r="S245" s="1">
        <v>147</v>
      </c>
      <c r="T245" s="1">
        <v>151.5</v>
      </c>
      <c r="U245" s="1">
        <f>U246</f>
        <v>153.5</v>
      </c>
      <c r="V245" s="1">
        <v>148.4</v>
      </c>
      <c r="W245" s="1">
        <v>150.9</v>
      </c>
      <c r="X245" s="1">
        <v>154.30000000000001</v>
      </c>
      <c r="Y245" s="1">
        <v>132.1</v>
      </c>
      <c r="Z245" s="1">
        <v>149.1</v>
      </c>
      <c r="AA245" s="1">
        <v>160.80000000000001</v>
      </c>
      <c r="AB245" s="1">
        <v>140.6</v>
      </c>
      <c r="AC245" s="1">
        <v>146.1</v>
      </c>
      <c r="AD245" s="1">
        <v>149.9</v>
      </c>
    </row>
    <row r="246" spans="1:30" x14ac:dyDescent="0.3">
      <c r="A246" s="1" t="s">
        <v>33</v>
      </c>
      <c r="B246" s="2">
        <v>2019</v>
      </c>
      <c r="C246" s="1" t="s">
        <v>45</v>
      </c>
      <c r="D246" s="1">
        <v>144.1</v>
      </c>
      <c r="E246" s="1">
        <v>162.4</v>
      </c>
      <c r="F246" s="1">
        <v>148.4</v>
      </c>
      <c r="G246" s="1">
        <v>145.9</v>
      </c>
      <c r="H246" s="1">
        <v>121.5</v>
      </c>
      <c r="I246" s="1">
        <v>148.80000000000001</v>
      </c>
      <c r="J246" s="1">
        <v>215.7</v>
      </c>
      <c r="K246" s="1">
        <v>134.6</v>
      </c>
      <c r="L246" s="1">
        <v>115</v>
      </c>
      <c r="M246" s="1">
        <v>146.30000000000001</v>
      </c>
      <c r="N246" s="1">
        <v>130.5</v>
      </c>
      <c r="O246" s="1">
        <v>157.19999999999999</v>
      </c>
      <c r="P246" s="1">
        <v>153.6</v>
      </c>
      <c r="Q246" s="1">
        <v>169.9</v>
      </c>
      <c r="R246" s="1">
        <v>146.30000000000001</v>
      </c>
      <c r="S246" s="1">
        <v>132.6</v>
      </c>
      <c r="T246" s="1">
        <v>144.19999999999999</v>
      </c>
      <c r="U246" s="1">
        <v>153.5</v>
      </c>
      <c r="V246" s="1">
        <v>132.19999999999999</v>
      </c>
      <c r="W246" s="1">
        <v>139.1</v>
      </c>
      <c r="X246" s="1">
        <v>142.80000000000001</v>
      </c>
      <c r="Y246" s="1">
        <v>121.7</v>
      </c>
      <c r="Z246" s="1">
        <v>136.69999999999999</v>
      </c>
      <c r="AA246" s="1">
        <v>151.80000000000001</v>
      </c>
      <c r="AB246" s="1">
        <v>139.80000000000001</v>
      </c>
      <c r="AC246" s="1">
        <v>136.30000000000001</v>
      </c>
      <c r="AD246" s="1">
        <v>147</v>
      </c>
    </row>
    <row r="247" spans="1:30" x14ac:dyDescent="0.3">
      <c r="A247" s="1" t="s">
        <v>34</v>
      </c>
      <c r="B247" s="2">
        <v>2019</v>
      </c>
      <c r="C247" s="1" t="s">
        <v>45</v>
      </c>
      <c r="D247" s="1">
        <v>142.5</v>
      </c>
      <c r="E247" s="1">
        <v>163.19999999999999</v>
      </c>
      <c r="F247" s="1">
        <v>145.6</v>
      </c>
      <c r="G247" s="1">
        <v>146.69999999999999</v>
      </c>
      <c r="H247" s="1">
        <v>124.3</v>
      </c>
      <c r="I247" s="1">
        <v>147.4</v>
      </c>
      <c r="J247" s="1">
        <v>199.6</v>
      </c>
      <c r="K247" s="1">
        <v>135.69999999999999</v>
      </c>
      <c r="L247" s="1">
        <v>114.2</v>
      </c>
      <c r="M247" s="1">
        <v>147</v>
      </c>
      <c r="N247" s="1">
        <v>135.30000000000001</v>
      </c>
      <c r="O247" s="1">
        <v>157.5</v>
      </c>
      <c r="P247" s="1">
        <v>151.9</v>
      </c>
      <c r="Q247" s="1">
        <v>167.9</v>
      </c>
      <c r="R247" s="1">
        <v>149.9</v>
      </c>
      <c r="S247" s="1">
        <v>141</v>
      </c>
      <c r="T247" s="1">
        <v>148.6</v>
      </c>
      <c r="U247" s="1">
        <v>153.5</v>
      </c>
      <c r="V247" s="1">
        <v>142.30000000000001</v>
      </c>
      <c r="W247" s="1">
        <v>145.30000000000001</v>
      </c>
      <c r="X247" s="1">
        <v>149.9</v>
      </c>
      <c r="Y247" s="1">
        <v>126.6</v>
      </c>
      <c r="Z247" s="1">
        <v>142.1</v>
      </c>
      <c r="AA247" s="1">
        <v>155.5</v>
      </c>
      <c r="AB247" s="1">
        <v>140.30000000000001</v>
      </c>
      <c r="AC247" s="1">
        <v>141.30000000000001</v>
      </c>
      <c r="AD247" s="1">
        <v>148.6</v>
      </c>
    </row>
    <row r="248" spans="1:30" x14ac:dyDescent="0.3">
      <c r="A248" s="1" t="s">
        <v>30</v>
      </c>
      <c r="B248" s="2">
        <v>2019</v>
      </c>
      <c r="C248" s="1" t="s">
        <v>46</v>
      </c>
      <c r="D248" s="1">
        <v>142.80000000000001</v>
      </c>
      <c r="E248" s="1">
        <v>165.3</v>
      </c>
      <c r="F248" s="1">
        <v>149.5</v>
      </c>
      <c r="G248" s="1">
        <v>148.69999999999999</v>
      </c>
      <c r="H248" s="1">
        <v>127.5</v>
      </c>
      <c r="I248" s="1">
        <v>144.30000000000001</v>
      </c>
      <c r="J248" s="1">
        <v>209.5</v>
      </c>
      <c r="K248" s="1">
        <v>138.80000000000001</v>
      </c>
      <c r="L248" s="1">
        <v>113.6</v>
      </c>
      <c r="M248" s="1">
        <v>149.1</v>
      </c>
      <c r="N248" s="1">
        <v>139.30000000000001</v>
      </c>
      <c r="O248" s="1">
        <v>158.30000000000001</v>
      </c>
      <c r="P248" s="1">
        <v>154.30000000000001</v>
      </c>
      <c r="Q248" s="1">
        <v>167.8</v>
      </c>
      <c r="R248" s="1">
        <v>152.6</v>
      </c>
      <c r="S248" s="1">
        <v>147.30000000000001</v>
      </c>
      <c r="T248" s="1">
        <v>151.9</v>
      </c>
      <c r="U248" s="1">
        <f>U249</f>
        <v>152.80000000000001</v>
      </c>
      <c r="V248" s="1">
        <v>149.9</v>
      </c>
      <c r="W248" s="1">
        <v>151.19999999999999</v>
      </c>
      <c r="X248" s="1">
        <v>154.80000000000001</v>
      </c>
      <c r="Y248" s="1">
        <v>135</v>
      </c>
      <c r="Z248" s="1">
        <v>149.5</v>
      </c>
      <c r="AA248" s="1">
        <v>161.1</v>
      </c>
      <c r="AB248" s="1">
        <v>140.6</v>
      </c>
      <c r="AC248" s="1">
        <v>147.1</v>
      </c>
      <c r="AD248" s="1">
        <v>152.30000000000001</v>
      </c>
    </row>
    <row r="249" spans="1:30" x14ac:dyDescent="0.3">
      <c r="A249" s="1" t="s">
        <v>33</v>
      </c>
      <c r="B249" s="2">
        <v>2019</v>
      </c>
      <c r="C249" s="1" t="s">
        <v>46</v>
      </c>
      <c r="D249" s="1">
        <v>144.9</v>
      </c>
      <c r="E249" s="1">
        <v>164.5</v>
      </c>
      <c r="F249" s="1">
        <v>153.69999999999999</v>
      </c>
      <c r="G249" s="1">
        <v>147.5</v>
      </c>
      <c r="H249" s="1">
        <v>122.7</v>
      </c>
      <c r="I249" s="1">
        <v>147.19999999999999</v>
      </c>
      <c r="J249" s="1">
        <v>231.5</v>
      </c>
      <c r="K249" s="1">
        <v>137.19999999999999</v>
      </c>
      <c r="L249" s="1">
        <v>114.7</v>
      </c>
      <c r="M249" s="1">
        <v>148</v>
      </c>
      <c r="N249" s="1">
        <v>130.80000000000001</v>
      </c>
      <c r="O249" s="1">
        <v>157.69999999999999</v>
      </c>
      <c r="P249" s="1">
        <v>156.30000000000001</v>
      </c>
      <c r="Q249" s="1">
        <v>170.4</v>
      </c>
      <c r="R249" s="1">
        <v>146.80000000000001</v>
      </c>
      <c r="S249" s="1">
        <v>132.80000000000001</v>
      </c>
      <c r="T249" s="1">
        <v>144.6</v>
      </c>
      <c r="U249" s="1">
        <v>152.80000000000001</v>
      </c>
      <c r="V249" s="1">
        <v>133.6</v>
      </c>
      <c r="W249" s="1">
        <v>139.80000000000001</v>
      </c>
      <c r="X249" s="1">
        <v>143.19999999999999</v>
      </c>
      <c r="Y249" s="1">
        <v>125.2</v>
      </c>
      <c r="Z249" s="1">
        <v>136.80000000000001</v>
      </c>
      <c r="AA249" s="1">
        <v>151.9</v>
      </c>
      <c r="AB249" s="1">
        <v>140.19999999999999</v>
      </c>
      <c r="AC249" s="1">
        <v>137.69999999999999</v>
      </c>
      <c r="AD249" s="1">
        <v>148.30000000000001</v>
      </c>
    </row>
    <row r="250" spans="1:30" x14ac:dyDescent="0.3">
      <c r="A250" s="1" t="s">
        <v>34</v>
      </c>
      <c r="B250" s="2">
        <v>2019</v>
      </c>
      <c r="C250" s="1" t="s">
        <v>46</v>
      </c>
      <c r="D250" s="1">
        <v>143.5</v>
      </c>
      <c r="E250" s="1">
        <v>165</v>
      </c>
      <c r="F250" s="1">
        <v>151.1</v>
      </c>
      <c r="G250" s="1">
        <v>148.30000000000001</v>
      </c>
      <c r="H250" s="1">
        <v>125.7</v>
      </c>
      <c r="I250" s="1">
        <v>145.69999999999999</v>
      </c>
      <c r="J250" s="1">
        <v>217</v>
      </c>
      <c r="K250" s="1">
        <v>138.30000000000001</v>
      </c>
      <c r="L250" s="1">
        <v>114</v>
      </c>
      <c r="M250" s="1">
        <v>148.69999999999999</v>
      </c>
      <c r="N250" s="1">
        <v>135.80000000000001</v>
      </c>
      <c r="O250" s="1">
        <v>158</v>
      </c>
      <c r="P250" s="1">
        <v>155</v>
      </c>
      <c r="Q250" s="1">
        <v>168.5</v>
      </c>
      <c r="R250" s="1">
        <v>150.30000000000001</v>
      </c>
      <c r="S250" s="1">
        <v>141.30000000000001</v>
      </c>
      <c r="T250" s="1">
        <v>149</v>
      </c>
      <c r="U250" s="1">
        <v>152.80000000000001</v>
      </c>
      <c r="V250" s="1">
        <v>143.69999999999999</v>
      </c>
      <c r="W250" s="1">
        <v>145.80000000000001</v>
      </c>
      <c r="X250" s="1">
        <v>150.4</v>
      </c>
      <c r="Y250" s="1">
        <v>129.80000000000001</v>
      </c>
      <c r="Z250" s="1">
        <v>142.30000000000001</v>
      </c>
      <c r="AA250" s="1">
        <v>155.69999999999999</v>
      </c>
      <c r="AB250" s="1">
        <v>140.4</v>
      </c>
      <c r="AC250" s="1">
        <v>142.5</v>
      </c>
      <c r="AD250" s="1">
        <v>150.4</v>
      </c>
    </row>
    <row r="251" spans="1:30" x14ac:dyDescent="0.3">
      <c r="A251" s="1" t="s">
        <v>30</v>
      </c>
      <c r="B251" s="2">
        <v>2020</v>
      </c>
      <c r="C251" s="1" t="s">
        <v>31</v>
      </c>
      <c r="D251" s="1">
        <v>143.69999999999999</v>
      </c>
      <c r="E251" s="1">
        <v>167.3</v>
      </c>
      <c r="F251" s="1">
        <v>153.5</v>
      </c>
      <c r="G251" s="1">
        <v>150.5</v>
      </c>
      <c r="H251" s="1">
        <v>132</v>
      </c>
      <c r="I251" s="1">
        <v>142.19999999999999</v>
      </c>
      <c r="J251" s="1">
        <v>191.5</v>
      </c>
      <c r="K251" s="1">
        <v>141.1</v>
      </c>
      <c r="L251" s="1">
        <v>113.8</v>
      </c>
      <c r="M251" s="1">
        <v>151.6</v>
      </c>
      <c r="N251" s="1">
        <v>139.69999999999999</v>
      </c>
      <c r="O251" s="1">
        <v>158.69999999999999</v>
      </c>
      <c r="P251" s="1">
        <v>153</v>
      </c>
      <c r="Q251" s="1">
        <v>168.6</v>
      </c>
      <c r="R251" s="1">
        <v>152.80000000000001</v>
      </c>
      <c r="S251" s="1">
        <v>147.4</v>
      </c>
      <c r="T251" s="1">
        <v>152.1</v>
      </c>
      <c r="U251" s="1">
        <f>U252</f>
        <v>153.9</v>
      </c>
      <c r="V251" s="1">
        <v>150.4</v>
      </c>
      <c r="W251" s="1">
        <v>151.69999999999999</v>
      </c>
      <c r="X251" s="1">
        <v>155.69999999999999</v>
      </c>
      <c r="Y251" s="1">
        <v>136.30000000000001</v>
      </c>
      <c r="Z251" s="1">
        <v>150.1</v>
      </c>
      <c r="AA251" s="1">
        <v>161.69999999999999</v>
      </c>
      <c r="AB251" s="1">
        <v>142.5</v>
      </c>
      <c r="AC251" s="1">
        <v>148.1</v>
      </c>
      <c r="AD251" s="1">
        <v>151.9</v>
      </c>
    </row>
    <row r="252" spans="1:30" x14ac:dyDescent="0.3">
      <c r="A252" s="1" t="s">
        <v>33</v>
      </c>
      <c r="B252" s="2">
        <v>2020</v>
      </c>
      <c r="C252" s="1" t="s">
        <v>31</v>
      </c>
      <c r="D252" s="1">
        <v>145.6</v>
      </c>
      <c r="E252" s="1">
        <v>167.6</v>
      </c>
      <c r="F252" s="1">
        <v>157</v>
      </c>
      <c r="G252" s="1">
        <v>149.30000000000001</v>
      </c>
      <c r="H252" s="1">
        <v>126.3</v>
      </c>
      <c r="I252" s="1">
        <v>144.4</v>
      </c>
      <c r="J252" s="1">
        <v>207.8</v>
      </c>
      <c r="K252" s="1">
        <v>139.1</v>
      </c>
      <c r="L252" s="1">
        <v>114.8</v>
      </c>
      <c r="M252" s="1">
        <v>149.5</v>
      </c>
      <c r="N252" s="1">
        <v>131.1</v>
      </c>
      <c r="O252" s="1">
        <v>158.5</v>
      </c>
      <c r="P252" s="1">
        <v>154.4</v>
      </c>
      <c r="Q252" s="1">
        <v>170.8</v>
      </c>
      <c r="R252" s="1">
        <v>147</v>
      </c>
      <c r="S252" s="1">
        <v>133.19999999999999</v>
      </c>
      <c r="T252" s="1">
        <v>144.9</v>
      </c>
      <c r="U252" s="1">
        <v>153.9</v>
      </c>
      <c r="V252" s="1">
        <v>135.1</v>
      </c>
      <c r="W252" s="1">
        <v>140.1</v>
      </c>
      <c r="X252" s="1">
        <v>143.80000000000001</v>
      </c>
      <c r="Y252" s="1">
        <v>126.1</v>
      </c>
      <c r="Z252" s="1">
        <v>137.19999999999999</v>
      </c>
      <c r="AA252" s="1">
        <v>152.1</v>
      </c>
      <c r="AB252" s="1">
        <v>142.1</v>
      </c>
      <c r="AC252" s="1">
        <v>138.4</v>
      </c>
      <c r="AD252" s="1">
        <v>148.19999999999999</v>
      </c>
    </row>
    <row r="253" spans="1:30" x14ac:dyDescent="0.3">
      <c r="A253" s="1" t="s">
        <v>34</v>
      </c>
      <c r="B253" s="2">
        <v>2020</v>
      </c>
      <c r="C253" s="1" t="s">
        <v>31</v>
      </c>
      <c r="D253" s="1">
        <v>144.30000000000001</v>
      </c>
      <c r="E253" s="1">
        <v>167.4</v>
      </c>
      <c r="F253" s="1">
        <v>154.9</v>
      </c>
      <c r="G253" s="1">
        <v>150.1</v>
      </c>
      <c r="H253" s="1">
        <v>129.9</v>
      </c>
      <c r="I253" s="1">
        <v>143.19999999999999</v>
      </c>
      <c r="J253" s="1">
        <v>197</v>
      </c>
      <c r="K253" s="1">
        <v>140.4</v>
      </c>
      <c r="L253" s="1">
        <v>114.1</v>
      </c>
      <c r="M253" s="1">
        <v>150.9</v>
      </c>
      <c r="N253" s="1">
        <v>136.1</v>
      </c>
      <c r="O253" s="1">
        <v>158.6</v>
      </c>
      <c r="P253" s="1">
        <v>153.5</v>
      </c>
      <c r="Q253" s="1">
        <v>169.2</v>
      </c>
      <c r="R253" s="1">
        <v>150.5</v>
      </c>
      <c r="S253" s="1">
        <v>141.5</v>
      </c>
      <c r="T253" s="1">
        <v>149.19999999999999</v>
      </c>
      <c r="U253" s="1">
        <v>153.9</v>
      </c>
      <c r="V253" s="1">
        <v>144.6</v>
      </c>
      <c r="W253" s="1">
        <v>146.19999999999999</v>
      </c>
      <c r="X253" s="1">
        <v>151.19999999999999</v>
      </c>
      <c r="Y253" s="1">
        <v>130.9</v>
      </c>
      <c r="Z253" s="1">
        <v>142.80000000000001</v>
      </c>
      <c r="AA253" s="1">
        <v>156.1</v>
      </c>
      <c r="AB253" s="1">
        <v>142.30000000000001</v>
      </c>
      <c r="AC253" s="1">
        <v>143.4</v>
      </c>
      <c r="AD253" s="1">
        <v>150.19999999999999</v>
      </c>
    </row>
    <row r="254" spans="1:30" x14ac:dyDescent="0.3">
      <c r="A254" s="1" t="s">
        <v>30</v>
      </c>
      <c r="B254" s="2">
        <v>2020</v>
      </c>
      <c r="C254" s="1" t="s">
        <v>35</v>
      </c>
      <c r="D254" s="1">
        <v>144.19999999999999</v>
      </c>
      <c r="E254" s="1">
        <v>167.5</v>
      </c>
      <c r="F254" s="1">
        <v>150.9</v>
      </c>
      <c r="G254" s="1">
        <v>150.9</v>
      </c>
      <c r="H254" s="1">
        <v>133.69999999999999</v>
      </c>
      <c r="I254" s="1">
        <v>140.69999999999999</v>
      </c>
      <c r="J254" s="1">
        <v>165.1</v>
      </c>
      <c r="K254" s="1">
        <v>141.80000000000001</v>
      </c>
      <c r="L254" s="1">
        <v>113.1</v>
      </c>
      <c r="M254" s="1">
        <v>152.80000000000001</v>
      </c>
      <c r="N254" s="1">
        <v>140.1</v>
      </c>
      <c r="O254" s="1">
        <v>159.19999999999999</v>
      </c>
      <c r="P254" s="1">
        <v>149.80000000000001</v>
      </c>
      <c r="Q254" s="1">
        <v>169.4</v>
      </c>
      <c r="R254" s="1">
        <v>153</v>
      </c>
      <c r="S254" s="1">
        <v>147.5</v>
      </c>
      <c r="T254" s="1">
        <v>152.30000000000001</v>
      </c>
      <c r="U254" s="1">
        <f>U255</f>
        <v>154.80000000000001</v>
      </c>
      <c r="V254" s="1">
        <v>152.30000000000001</v>
      </c>
      <c r="W254" s="1">
        <v>151.80000000000001</v>
      </c>
      <c r="X254" s="1">
        <v>156.19999999999999</v>
      </c>
      <c r="Y254" s="1">
        <v>136</v>
      </c>
      <c r="Z254" s="1">
        <v>150.4</v>
      </c>
      <c r="AA254" s="1">
        <v>161.9</v>
      </c>
      <c r="AB254" s="1">
        <v>143.4</v>
      </c>
      <c r="AC254" s="1">
        <v>148.4</v>
      </c>
      <c r="AD254" s="1">
        <v>150.4</v>
      </c>
    </row>
    <row r="255" spans="1:30" x14ac:dyDescent="0.3">
      <c r="A255" s="1" t="s">
        <v>33</v>
      </c>
      <c r="B255" s="2">
        <v>2020</v>
      </c>
      <c r="C255" s="1" t="s">
        <v>35</v>
      </c>
      <c r="D255" s="1">
        <v>146.19999999999999</v>
      </c>
      <c r="E255" s="1">
        <v>167.6</v>
      </c>
      <c r="F255" s="1">
        <v>153.1</v>
      </c>
      <c r="G255" s="1">
        <v>150.69999999999999</v>
      </c>
      <c r="H255" s="1">
        <v>127.4</v>
      </c>
      <c r="I255" s="1">
        <v>143.1</v>
      </c>
      <c r="J255" s="1">
        <v>181.7</v>
      </c>
      <c r="K255" s="1">
        <v>139.6</v>
      </c>
      <c r="L255" s="1">
        <v>114.6</v>
      </c>
      <c r="M255" s="1">
        <v>150.4</v>
      </c>
      <c r="N255" s="1">
        <v>131.5</v>
      </c>
      <c r="O255" s="1">
        <v>159</v>
      </c>
      <c r="P255" s="1">
        <v>151.69999999999999</v>
      </c>
      <c r="Q255" s="1">
        <v>172</v>
      </c>
      <c r="R255" s="1">
        <v>147.30000000000001</v>
      </c>
      <c r="S255" s="1">
        <v>133.5</v>
      </c>
      <c r="T255" s="1">
        <v>145.19999999999999</v>
      </c>
      <c r="U255" s="1">
        <v>154.80000000000001</v>
      </c>
      <c r="V255" s="1">
        <v>138.9</v>
      </c>
      <c r="W255" s="1">
        <v>140.4</v>
      </c>
      <c r="X255" s="1">
        <v>144.4</v>
      </c>
      <c r="Y255" s="1">
        <v>125.2</v>
      </c>
      <c r="Z255" s="1">
        <v>137.69999999999999</v>
      </c>
      <c r="AA255" s="1">
        <v>152.19999999999999</v>
      </c>
      <c r="AB255" s="1">
        <v>143.5</v>
      </c>
      <c r="AC255" s="1">
        <v>138.4</v>
      </c>
      <c r="AD255" s="1">
        <v>147.69999999999999</v>
      </c>
    </row>
    <row r="256" spans="1:30" x14ac:dyDescent="0.3">
      <c r="A256" s="1" t="s">
        <v>34</v>
      </c>
      <c r="B256" s="2">
        <v>2020</v>
      </c>
      <c r="C256" s="1" t="s">
        <v>35</v>
      </c>
      <c r="D256" s="1">
        <v>144.80000000000001</v>
      </c>
      <c r="E256" s="1">
        <v>167.5</v>
      </c>
      <c r="F256" s="1">
        <v>151.80000000000001</v>
      </c>
      <c r="G256" s="1">
        <v>150.80000000000001</v>
      </c>
      <c r="H256" s="1">
        <v>131.4</v>
      </c>
      <c r="I256" s="1">
        <v>141.80000000000001</v>
      </c>
      <c r="J256" s="1">
        <v>170.7</v>
      </c>
      <c r="K256" s="1">
        <v>141.1</v>
      </c>
      <c r="L256" s="1">
        <v>113.6</v>
      </c>
      <c r="M256" s="1">
        <v>152</v>
      </c>
      <c r="N256" s="1">
        <v>136.5</v>
      </c>
      <c r="O256" s="1">
        <v>159.1</v>
      </c>
      <c r="P256" s="1">
        <v>150.5</v>
      </c>
      <c r="Q256" s="1">
        <v>170.1</v>
      </c>
      <c r="R256" s="1">
        <v>150.80000000000001</v>
      </c>
      <c r="S256" s="1">
        <v>141.69999999999999</v>
      </c>
      <c r="T256" s="1">
        <v>149.5</v>
      </c>
      <c r="U256" s="1">
        <v>154.80000000000001</v>
      </c>
      <c r="V256" s="1">
        <v>147.19999999999999</v>
      </c>
      <c r="W256" s="1">
        <v>146.4</v>
      </c>
      <c r="X256" s="1">
        <v>151.69999999999999</v>
      </c>
      <c r="Y256" s="1">
        <v>130.30000000000001</v>
      </c>
      <c r="Z256" s="1">
        <v>143.19999999999999</v>
      </c>
      <c r="AA256" s="1">
        <v>156.19999999999999</v>
      </c>
      <c r="AB256" s="1">
        <v>143.4</v>
      </c>
      <c r="AC256" s="1">
        <v>143.6</v>
      </c>
      <c r="AD256" s="1">
        <v>149.1</v>
      </c>
    </row>
    <row r="257" spans="1:30" x14ac:dyDescent="0.3">
      <c r="A257" s="1" t="s">
        <v>30</v>
      </c>
      <c r="B257" s="2">
        <v>2020</v>
      </c>
      <c r="C257" s="1" t="s">
        <v>36</v>
      </c>
      <c r="D257" s="1">
        <v>144.4</v>
      </c>
      <c r="E257" s="1">
        <v>166.8</v>
      </c>
      <c r="F257" s="1">
        <v>147.6</v>
      </c>
      <c r="G257" s="1">
        <v>151.69999999999999</v>
      </c>
      <c r="H257" s="1">
        <v>133.30000000000001</v>
      </c>
      <c r="I257" s="1">
        <v>141.80000000000001</v>
      </c>
      <c r="J257" s="1">
        <v>152.30000000000001</v>
      </c>
      <c r="K257" s="1">
        <v>141.80000000000001</v>
      </c>
      <c r="L257" s="1">
        <v>112.6</v>
      </c>
      <c r="M257" s="1">
        <v>154</v>
      </c>
      <c r="N257" s="1">
        <v>140.1</v>
      </c>
      <c r="O257" s="1">
        <v>160</v>
      </c>
      <c r="P257" s="1">
        <v>148.19999999999999</v>
      </c>
      <c r="Q257" s="1">
        <v>170.5</v>
      </c>
      <c r="R257" s="1">
        <v>153.4</v>
      </c>
      <c r="S257" s="1">
        <v>147.6</v>
      </c>
      <c r="T257" s="1">
        <v>152.5</v>
      </c>
      <c r="U257" s="1">
        <f>U258</f>
        <v>154.5</v>
      </c>
      <c r="V257" s="1">
        <v>153.4</v>
      </c>
      <c r="W257" s="1">
        <v>151.5</v>
      </c>
      <c r="X257" s="1">
        <v>156.69999999999999</v>
      </c>
      <c r="Y257" s="1">
        <v>135.80000000000001</v>
      </c>
      <c r="Z257" s="1">
        <v>151.19999999999999</v>
      </c>
      <c r="AA257" s="1">
        <v>161.19999999999999</v>
      </c>
      <c r="AB257" s="1">
        <v>145.1</v>
      </c>
      <c r="AC257" s="1">
        <v>148.6</v>
      </c>
      <c r="AD257" s="1">
        <v>149.80000000000001</v>
      </c>
    </row>
    <row r="258" spans="1:30" x14ac:dyDescent="0.3">
      <c r="A258" s="1" t="s">
        <v>33</v>
      </c>
      <c r="B258" s="2">
        <v>2020</v>
      </c>
      <c r="C258" s="1" t="s">
        <v>36</v>
      </c>
      <c r="D258" s="1">
        <v>146.5</v>
      </c>
      <c r="E258" s="1">
        <v>167.5</v>
      </c>
      <c r="F258" s="1">
        <v>148.9</v>
      </c>
      <c r="G258" s="1">
        <v>151.1</v>
      </c>
      <c r="H258" s="1">
        <v>127.5</v>
      </c>
      <c r="I258" s="1">
        <v>143.30000000000001</v>
      </c>
      <c r="J258" s="1">
        <v>167</v>
      </c>
      <c r="K258" s="1">
        <v>139.69999999999999</v>
      </c>
      <c r="L258" s="1">
        <v>114.4</v>
      </c>
      <c r="M258" s="1">
        <v>151.5</v>
      </c>
      <c r="N258" s="1">
        <v>131.9</v>
      </c>
      <c r="O258" s="1">
        <v>159.1</v>
      </c>
      <c r="P258" s="1">
        <v>150.1</v>
      </c>
      <c r="Q258" s="1">
        <v>173.3</v>
      </c>
      <c r="R258" s="1">
        <v>147.69999999999999</v>
      </c>
      <c r="S258" s="1">
        <v>133.80000000000001</v>
      </c>
      <c r="T258" s="1">
        <v>145.6</v>
      </c>
      <c r="U258" s="1">
        <v>154.5</v>
      </c>
      <c r="V258" s="1">
        <v>141.4</v>
      </c>
      <c r="W258" s="1">
        <v>140.80000000000001</v>
      </c>
      <c r="X258" s="1">
        <v>145</v>
      </c>
      <c r="Y258" s="1">
        <v>124.6</v>
      </c>
      <c r="Z258" s="1">
        <v>137.9</v>
      </c>
      <c r="AA258" s="1">
        <v>152.5</v>
      </c>
      <c r="AB258" s="1">
        <v>145.30000000000001</v>
      </c>
      <c r="AC258" s="1">
        <v>138.69999999999999</v>
      </c>
      <c r="AD258" s="1">
        <v>147.30000000000001</v>
      </c>
    </row>
    <row r="259" spans="1:30" x14ac:dyDescent="0.3">
      <c r="A259" s="1" t="s">
        <v>34</v>
      </c>
      <c r="B259" s="2">
        <v>2020</v>
      </c>
      <c r="C259" s="1" t="s">
        <v>36</v>
      </c>
      <c r="D259" s="1">
        <v>145.1</v>
      </c>
      <c r="E259" s="1">
        <v>167</v>
      </c>
      <c r="F259" s="1">
        <v>148.1</v>
      </c>
      <c r="G259" s="1">
        <v>151.5</v>
      </c>
      <c r="H259" s="1">
        <v>131.19999999999999</v>
      </c>
      <c r="I259" s="1">
        <v>142.5</v>
      </c>
      <c r="J259" s="1">
        <v>157.30000000000001</v>
      </c>
      <c r="K259" s="1">
        <v>141.1</v>
      </c>
      <c r="L259" s="1">
        <v>113.2</v>
      </c>
      <c r="M259" s="1">
        <v>153.19999999999999</v>
      </c>
      <c r="N259" s="1">
        <v>136.69999999999999</v>
      </c>
      <c r="O259" s="1">
        <v>159.6</v>
      </c>
      <c r="P259" s="1">
        <v>148.9</v>
      </c>
      <c r="Q259" s="1">
        <v>171.2</v>
      </c>
      <c r="R259" s="1">
        <v>151.19999999999999</v>
      </c>
      <c r="S259" s="1">
        <v>141.9</v>
      </c>
      <c r="T259" s="1">
        <v>149.80000000000001</v>
      </c>
      <c r="U259" s="1">
        <v>154.5</v>
      </c>
      <c r="V259" s="1">
        <v>148.9</v>
      </c>
      <c r="W259" s="1">
        <v>146.4</v>
      </c>
      <c r="X259" s="1">
        <v>152.30000000000001</v>
      </c>
      <c r="Y259" s="1">
        <v>129.9</v>
      </c>
      <c r="Z259" s="1">
        <v>143.69999999999999</v>
      </c>
      <c r="AA259" s="1">
        <v>156.1</v>
      </c>
      <c r="AB259" s="1">
        <v>145.19999999999999</v>
      </c>
      <c r="AC259" s="1">
        <v>143.80000000000001</v>
      </c>
      <c r="AD259" s="1">
        <v>148.6</v>
      </c>
    </row>
    <row r="260" spans="1:30" x14ac:dyDescent="0.3">
      <c r="A260" s="1" t="s">
        <v>30</v>
      </c>
      <c r="B260" s="2">
        <v>2020</v>
      </c>
      <c r="C260" s="1" t="s">
        <v>37</v>
      </c>
      <c r="D260" s="1">
        <v>147.19999999999999</v>
      </c>
      <c r="E260" s="1">
        <v>176.3857142857143</v>
      </c>
      <c r="F260" s="1">
        <v>146.9</v>
      </c>
      <c r="G260" s="1">
        <v>155.6</v>
      </c>
      <c r="H260" s="1">
        <v>137.1</v>
      </c>
      <c r="I260" s="1">
        <v>147.30000000000001</v>
      </c>
      <c r="J260" s="1">
        <v>162.69999999999999</v>
      </c>
      <c r="K260" s="1">
        <v>150.19999999999999</v>
      </c>
      <c r="L260" s="1">
        <v>119.8</v>
      </c>
      <c r="M260" s="1">
        <v>158.69999999999999</v>
      </c>
      <c r="N260" s="1">
        <v>139.19999999999999</v>
      </c>
      <c r="O260" s="1">
        <v>160.18571428571428</v>
      </c>
      <c r="P260" s="1">
        <v>150.1</v>
      </c>
      <c r="Q260" s="1">
        <v>174.57142857142858</v>
      </c>
      <c r="R260" s="1">
        <v>153.75714285714284</v>
      </c>
      <c r="S260" s="1">
        <v>148.44285714285715</v>
      </c>
      <c r="T260" s="1">
        <v>153.04285714285714</v>
      </c>
      <c r="U260" s="1">
        <f>U261</f>
        <v>155.6</v>
      </c>
      <c r="V260" s="1">
        <v>148.4</v>
      </c>
      <c r="W260" s="1">
        <v>151.64285714285717</v>
      </c>
      <c r="X260" s="1">
        <v>154.30000000000001</v>
      </c>
      <c r="Y260" s="1">
        <v>138.5</v>
      </c>
      <c r="Z260" s="1">
        <v>151.40000000000003</v>
      </c>
      <c r="AA260" s="1">
        <v>161.7428571428571</v>
      </c>
      <c r="AB260" s="1">
        <v>146.79999999999998</v>
      </c>
      <c r="AC260" s="1">
        <v>149.80000000000001</v>
      </c>
      <c r="AD260" s="1">
        <v>152.07142857142861</v>
      </c>
    </row>
    <row r="261" spans="1:30" x14ac:dyDescent="0.3">
      <c r="A261" s="1" t="s">
        <v>33</v>
      </c>
      <c r="B261" s="2">
        <v>2020</v>
      </c>
      <c r="C261" s="1" t="s">
        <v>37</v>
      </c>
      <c r="D261" s="1">
        <v>151.80000000000001</v>
      </c>
      <c r="E261" s="1">
        <v>179.85714285714286</v>
      </c>
      <c r="F261" s="1">
        <v>151.9</v>
      </c>
      <c r="G261" s="1">
        <v>155.5</v>
      </c>
      <c r="H261" s="1">
        <v>131.6</v>
      </c>
      <c r="I261" s="1">
        <v>152.9</v>
      </c>
      <c r="J261" s="1">
        <v>180</v>
      </c>
      <c r="K261" s="1">
        <v>150.80000000000001</v>
      </c>
      <c r="L261" s="1">
        <v>121.2</v>
      </c>
      <c r="M261" s="1">
        <v>154</v>
      </c>
      <c r="N261" s="1">
        <v>133.5</v>
      </c>
      <c r="O261" s="1">
        <v>160.14285714285714</v>
      </c>
      <c r="P261" s="1">
        <v>153.5</v>
      </c>
      <c r="Q261" s="1">
        <v>178.15714285714287</v>
      </c>
      <c r="R261" s="1">
        <v>148.14285714285714</v>
      </c>
      <c r="S261" s="1">
        <v>134.52857142857144</v>
      </c>
      <c r="T261" s="1">
        <v>146.07142857142858</v>
      </c>
      <c r="U261" s="1">
        <v>155.6</v>
      </c>
      <c r="V261" s="1">
        <v>137.1</v>
      </c>
      <c r="W261" s="1">
        <v>140.91428571428568</v>
      </c>
      <c r="X261" s="1">
        <v>144.80000000000001</v>
      </c>
      <c r="Y261" s="1">
        <v>127.65714285714286</v>
      </c>
      <c r="Z261" s="1">
        <v>139.97142857142856</v>
      </c>
      <c r="AA261" s="1">
        <v>152.74285714285716</v>
      </c>
      <c r="AB261" s="1">
        <v>147.24285714285716</v>
      </c>
      <c r="AC261" s="1">
        <v>140.28571428571428</v>
      </c>
      <c r="AD261" s="1">
        <v>149.42857142857142</v>
      </c>
    </row>
    <row r="262" spans="1:30" x14ac:dyDescent="0.3">
      <c r="A262" s="1" t="s">
        <v>34</v>
      </c>
      <c r="B262" s="2">
        <v>2020</v>
      </c>
      <c r="C262" s="1" t="s">
        <v>37</v>
      </c>
      <c r="D262" s="1">
        <v>148.69999999999999</v>
      </c>
      <c r="E262" s="1">
        <v>177.6</v>
      </c>
      <c r="F262" s="1">
        <v>148.80000000000001</v>
      </c>
      <c r="G262" s="1">
        <v>155.6</v>
      </c>
      <c r="H262" s="1">
        <v>135.1</v>
      </c>
      <c r="I262" s="1">
        <v>149.9</v>
      </c>
      <c r="J262" s="1">
        <v>168.6</v>
      </c>
      <c r="K262" s="1">
        <v>150.4</v>
      </c>
      <c r="L262" s="1">
        <v>120.3</v>
      </c>
      <c r="M262" s="1">
        <v>157.1</v>
      </c>
      <c r="N262" s="1">
        <v>136.80000000000001</v>
      </c>
      <c r="O262" s="1">
        <v>160.17142857142858</v>
      </c>
      <c r="P262" s="1">
        <v>151.4</v>
      </c>
      <c r="Q262" s="1">
        <v>175.51428571428571</v>
      </c>
      <c r="R262" s="1">
        <v>151.55714285714285</v>
      </c>
      <c r="S262" s="1">
        <v>142.65714285714284</v>
      </c>
      <c r="T262" s="1">
        <v>150.28571428571428</v>
      </c>
      <c r="U262" s="1">
        <v>155.6</v>
      </c>
      <c r="V262" s="1">
        <v>144.1</v>
      </c>
      <c r="W262" s="1">
        <v>146.57142857142858</v>
      </c>
      <c r="X262" s="1">
        <v>150.69999999999999</v>
      </c>
      <c r="Y262" s="1">
        <v>132.77142857142857</v>
      </c>
      <c r="Z262" s="1">
        <v>144.94285714285712</v>
      </c>
      <c r="AA262" s="1">
        <v>156.48571428571427</v>
      </c>
      <c r="AB262" s="1">
        <v>146.97142857142856</v>
      </c>
      <c r="AC262" s="1">
        <v>145.18571428571428</v>
      </c>
      <c r="AD262" s="1">
        <v>150.82857142857145</v>
      </c>
    </row>
    <row r="263" spans="1:30" x14ac:dyDescent="0.3">
      <c r="A263" s="1" t="s">
        <v>30</v>
      </c>
      <c r="B263" s="2">
        <v>2020</v>
      </c>
      <c r="C263" s="1" t="s">
        <v>38</v>
      </c>
      <c r="D263" s="1">
        <v>146.63333333333335</v>
      </c>
      <c r="E263" s="1">
        <v>179.74761904761905</v>
      </c>
      <c r="F263" s="1">
        <v>148.76666666666699</v>
      </c>
      <c r="G263" s="1">
        <f>AVERAGE(G260,G257,G254,G266,G269,G272)</f>
        <v>153.01666666666665</v>
      </c>
      <c r="H263" s="1">
        <f t="shared" ref="H263:AD263" si="0">AVERAGE(H260,H257,H254,H266,H269,H272)</f>
        <v>136.71666666666667</v>
      </c>
      <c r="I263" s="1">
        <f t="shared" si="0"/>
        <v>143.85</v>
      </c>
      <c r="J263" s="1">
        <f t="shared" si="0"/>
        <v>158.15</v>
      </c>
      <c r="K263" s="1">
        <f t="shared" si="0"/>
        <v>147.38333333333335</v>
      </c>
      <c r="L263" s="1">
        <f t="shared" si="0"/>
        <v>114.35000000000001</v>
      </c>
      <c r="M263" s="1">
        <f t="shared" si="0"/>
        <v>157.51666666666665</v>
      </c>
      <c r="N263" s="1">
        <f t="shared" si="0"/>
        <v>141.18333333333334</v>
      </c>
      <c r="O263" s="1">
        <f t="shared" si="0"/>
        <v>160.74761904761905</v>
      </c>
      <c r="P263" s="1">
        <f t="shared" si="0"/>
        <v>151.33333333333334</v>
      </c>
      <c r="Q263" s="1">
        <f t="shared" si="0"/>
        <v>176.6952380952381</v>
      </c>
      <c r="R263" s="1">
        <f t="shared" si="0"/>
        <v>154.10952380952384</v>
      </c>
      <c r="S263" s="1">
        <f t="shared" si="0"/>
        <v>148.80714285714285</v>
      </c>
      <c r="T263" s="1">
        <f t="shared" si="0"/>
        <v>153.39047619047619</v>
      </c>
      <c r="U263" s="1">
        <f t="shared" si="0"/>
        <v>154.96666666666667</v>
      </c>
      <c r="V263" s="1">
        <f t="shared" si="0"/>
        <v>148.28333333333333</v>
      </c>
      <c r="W263" s="1">
        <f t="shared" si="0"/>
        <v>151.70714285714286</v>
      </c>
      <c r="X263" s="1">
        <f t="shared" si="0"/>
        <v>157.06666666666663</v>
      </c>
      <c r="Y263" s="1">
        <f t="shared" si="0"/>
        <v>139.45000000000002</v>
      </c>
      <c r="Z263" s="1">
        <f t="shared" si="0"/>
        <v>151.93333333333337</v>
      </c>
      <c r="AA263" s="1">
        <f t="shared" si="0"/>
        <v>161.85714285714286</v>
      </c>
      <c r="AB263" s="1">
        <f t="shared" si="0"/>
        <v>148.55000000000001</v>
      </c>
      <c r="AC263" s="1">
        <f t="shared" si="0"/>
        <v>150.53333333333333</v>
      </c>
      <c r="AD263" s="1">
        <f t="shared" si="0"/>
        <v>152.06190476190477</v>
      </c>
    </row>
    <row r="264" spans="1:30" x14ac:dyDescent="0.3">
      <c r="A264" s="1" t="s">
        <v>33</v>
      </c>
      <c r="B264" s="2">
        <v>2020</v>
      </c>
      <c r="C264" s="1" t="s">
        <v>38</v>
      </c>
      <c r="D264" s="1">
        <v>150.25000000000003</v>
      </c>
      <c r="E264" s="1">
        <v>184.45952380952383</v>
      </c>
      <c r="F264" s="1">
        <v>152.93333333333334</v>
      </c>
      <c r="G264" s="1">
        <f>AVERAGE(G261,G258,G255,G267,G270,G273)</f>
        <v>152.91666666666666</v>
      </c>
      <c r="H264" s="1">
        <f t="shared" ref="H264:AD264" si="1">AVERAGE(H261,H258,H255,H267,H270,H273)</f>
        <v>130.94999999999999</v>
      </c>
      <c r="I264" s="1">
        <f t="shared" si="1"/>
        <v>149.56666666666669</v>
      </c>
      <c r="J264" s="1">
        <f t="shared" si="1"/>
        <v>177.16666666666671</v>
      </c>
      <c r="K264" s="1">
        <f t="shared" si="1"/>
        <v>147.56666666666669</v>
      </c>
      <c r="L264" s="1">
        <f t="shared" si="1"/>
        <v>116.60000000000001</v>
      </c>
      <c r="M264" s="1">
        <f t="shared" si="1"/>
        <v>155.58333333333334</v>
      </c>
      <c r="N264" s="1">
        <f t="shared" si="1"/>
        <v>134.1</v>
      </c>
      <c r="O264" s="1">
        <f t="shared" si="1"/>
        <v>160.8238095238095</v>
      </c>
      <c r="P264" s="1">
        <f t="shared" si="1"/>
        <v>154.86666666666665</v>
      </c>
      <c r="Q264" s="1">
        <f t="shared" si="1"/>
        <v>180.6761904761905</v>
      </c>
      <c r="R264" s="1">
        <f t="shared" si="1"/>
        <v>148.55714285714285</v>
      </c>
      <c r="S264" s="1">
        <f t="shared" si="1"/>
        <v>135.03809523809525</v>
      </c>
      <c r="T264" s="1">
        <f t="shared" si="1"/>
        <v>146.51190476190473</v>
      </c>
      <c r="U264" s="1">
        <f t="shared" si="1"/>
        <v>154.96666666666667</v>
      </c>
      <c r="V264" s="1">
        <f t="shared" si="1"/>
        <v>138.31666666666669</v>
      </c>
      <c r="W264" s="1">
        <f t="shared" si="1"/>
        <v>141.23571428571427</v>
      </c>
      <c r="X264" s="1">
        <f t="shared" si="1"/>
        <v>146.51666666666668</v>
      </c>
      <c r="Y264" s="1">
        <f t="shared" si="1"/>
        <v>128.32619047619048</v>
      </c>
      <c r="Z264" s="1">
        <f t="shared" si="1"/>
        <v>140.96190476190475</v>
      </c>
      <c r="AA264" s="1">
        <f t="shared" si="1"/>
        <v>152.99047619047619</v>
      </c>
      <c r="AB264" s="1">
        <f t="shared" si="1"/>
        <v>149.27380952380955</v>
      </c>
      <c r="AC264" s="1">
        <f t="shared" si="1"/>
        <v>141.03095238095239</v>
      </c>
      <c r="AD264" s="1">
        <f t="shared" si="1"/>
        <v>149.82142857142858</v>
      </c>
    </row>
    <row r="265" spans="1:30" x14ac:dyDescent="0.3">
      <c r="A265" s="1" t="s">
        <v>34</v>
      </c>
      <c r="B265" s="2">
        <v>2020</v>
      </c>
      <c r="C265" s="1" t="s">
        <v>38</v>
      </c>
      <c r="D265" s="1">
        <v>147.78333333333333</v>
      </c>
      <c r="E265" s="1">
        <v>181.4</v>
      </c>
      <c r="F265" s="1">
        <v>150.38333333333333</v>
      </c>
      <c r="G265" s="1">
        <f>AVERAGE(G262,G259,G256,G268,G271,G274)</f>
        <v>152.96666666666667</v>
      </c>
      <c r="H265" s="1">
        <f t="shared" ref="H265:AD265" si="2">AVERAGE(H262,H259,H256,H268,H271,H274)</f>
        <v>134.61666666666665</v>
      </c>
      <c r="I265" s="1">
        <f t="shared" si="2"/>
        <v>146.49999999999997</v>
      </c>
      <c r="J265" s="1">
        <f t="shared" si="2"/>
        <v>164.61666666666665</v>
      </c>
      <c r="K265" s="1">
        <f t="shared" si="2"/>
        <v>147.46666666666667</v>
      </c>
      <c r="L265" s="1">
        <f t="shared" si="2"/>
        <v>115.10000000000001</v>
      </c>
      <c r="M265" s="1">
        <f t="shared" si="2"/>
        <v>156.88333333333333</v>
      </c>
      <c r="N265" s="1">
        <f t="shared" si="2"/>
        <v>138.23333333333332</v>
      </c>
      <c r="O265" s="1">
        <f t="shared" si="2"/>
        <v>160.79523809523809</v>
      </c>
      <c r="P265" s="1">
        <f t="shared" si="2"/>
        <v>152.63333333333333</v>
      </c>
      <c r="Q265" s="1">
        <f t="shared" si="2"/>
        <v>177.73571428571427</v>
      </c>
      <c r="R265" s="1">
        <f t="shared" si="2"/>
        <v>151.94285714285715</v>
      </c>
      <c r="S265" s="1">
        <f t="shared" si="2"/>
        <v>143.07619047619048</v>
      </c>
      <c r="T265" s="1">
        <f t="shared" si="2"/>
        <v>150.68095238095236</v>
      </c>
      <c r="U265" s="1">
        <f t="shared" si="2"/>
        <v>154.96666666666667</v>
      </c>
      <c r="V265" s="1">
        <f t="shared" si="2"/>
        <v>144.5</v>
      </c>
      <c r="W265" s="1">
        <f t="shared" si="2"/>
        <v>146.76190476190476</v>
      </c>
      <c r="X265" s="1">
        <f t="shared" si="2"/>
        <v>153.08333333333334</v>
      </c>
      <c r="Y265" s="1">
        <f t="shared" si="2"/>
        <v>133.57857142857142</v>
      </c>
      <c r="Z265" s="1">
        <f t="shared" si="2"/>
        <v>145.74047619047619</v>
      </c>
      <c r="AA265" s="1">
        <f t="shared" si="2"/>
        <v>156.68095238095239</v>
      </c>
      <c r="AB265" s="1">
        <f t="shared" si="2"/>
        <v>148.8452380952381</v>
      </c>
      <c r="AC265" s="1">
        <f t="shared" si="2"/>
        <v>145.93095238095239</v>
      </c>
      <c r="AD265" s="1">
        <f t="shared" si="2"/>
        <v>151.00476190476189</v>
      </c>
    </row>
    <row r="266" spans="1:30" x14ac:dyDescent="0.3">
      <c r="A266" s="1" t="s">
        <v>30</v>
      </c>
      <c r="B266" s="2">
        <v>2020</v>
      </c>
      <c r="C266" s="1" t="s">
        <v>39</v>
      </c>
      <c r="D266" s="1">
        <v>148.19999999999999</v>
      </c>
      <c r="E266" s="1">
        <v>190.3</v>
      </c>
      <c r="F266" s="1">
        <v>149.4</v>
      </c>
      <c r="G266" s="1">
        <v>153.30000000000001</v>
      </c>
      <c r="H266" s="1">
        <v>138.19999999999999</v>
      </c>
      <c r="I266" s="1">
        <v>143.19999999999999</v>
      </c>
      <c r="J266" s="1">
        <v>148.9</v>
      </c>
      <c r="K266" s="1">
        <v>150.30000000000001</v>
      </c>
      <c r="L266" s="1">
        <v>113.2</v>
      </c>
      <c r="M266" s="1">
        <v>159.80000000000001</v>
      </c>
      <c r="N266" s="1">
        <v>142.1</v>
      </c>
      <c r="O266" s="1">
        <v>161.80000000000001</v>
      </c>
      <c r="P266" s="1">
        <v>152.30000000000001</v>
      </c>
      <c r="Q266" s="1">
        <v>182.4</v>
      </c>
      <c r="R266" s="1">
        <v>154.69999999999999</v>
      </c>
      <c r="S266" s="1">
        <v>150</v>
      </c>
      <c r="T266" s="1">
        <v>154.1</v>
      </c>
      <c r="U266" s="1">
        <f t="shared" ref="U266" si="3">U267</f>
        <v>154.69999999999999</v>
      </c>
      <c r="V266" s="1">
        <v>144.9</v>
      </c>
      <c r="W266" s="1">
        <v>151.69999999999999</v>
      </c>
      <c r="X266" s="1">
        <v>158.19999999999999</v>
      </c>
      <c r="Y266" s="1">
        <v>141.4</v>
      </c>
      <c r="Z266" s="1">
        <v>153.19999999999999</v>
      </c>
      <c r="AA266" s="1">
        <v>161.80000000000001</v>
      </c>
      <c r="AB266" s="1">
        <v>151.19999999999999</v>
      </c>
      <c r="AC266" s="1">
        <v>151.69999999999999</v>
      </c>
      <c r="AD266" s="1">
        <v>152.69999999999999</v>
      </c>
    </row>
    <row r="267" spans="1:30" x14ac:dyDescent="0.3">
      <c r="A267" s="1" t="s">
        <v>33</v>
      </c>
      <c r="B267" s="2">
        <v>2020</v>
      </c>
      <c r="C267" s="1" t="s">
        <v>39</v>
      </c>
      <c r="D267" s="1">
        <v>152.69999999999999</v>
      </c>
      <c r="E267" s="1">
        <v>197</v>
      </c>
      <c r="F267" s="1">
        <v>154.6</v>
      </c>
      <c r="G267" s="1">
        <v>153.4</v>
      </c>
      <c r="H267" s="1">
        <v>132.9</v>
      </c>
      <c r="I267" s="1">
        <v>151.80000000000001</v>
      </c>
      <c r="J267" s="1">
        <v>171.2</v>
      </c>
      <c r="K267" s="1">
        <v>152</v>
      </c>
      <c r="L267" s="1">
        <v>116.3</v>
      </c>
      <c r="M267" s="1">
        <v>158.80000000000001</v>
      </c>
      <c r="N267" s="1">
        <v>135.6</v>
      </c>
      <c r="O267" s="1">
        <v>161.69999999999999</v>
      </c>
      <c r="P267" s="1">
        <v>157</v>
      </c>
      <c r="Q267" s="1">
        <v>186.7</v>
      </c>
      <c r="R267" s="1">
        <v>149.1</v>
      </c>
      <c r="S267" s="1">
        <v>136.6</v>
      </c>
      <c r="T267" s="1">
        <v>147.19999999999999</v>
      </c>
      <c r="U267" s="1">
        <v>154.69999999999999</v>
      </c>
      <c r="V267" s="1">
        <v>137.1</v>
      </c>
      <c r="W267" s="1">
        <v>140.4</v>
      </c>
      <c r="X267" s="1">
        <v>148.1</v>
      </c>
      <c r="Y267" s="1">
        <v>129.30000000000001</v>
      </c>
      <c r="Z267" s="1">
        <v>144.5</v>
      </c>
      <c r="AA267" s="1">
        <v>152.5</v>
      </c>
      <c r="AB267" s="1">
        <v>152.19999999999999</v>
      </c>
      <c r="AC267" s="1">
        <v>142</v>
      </c>
      <c r="AD267" s="1">
        <v>150.80000000000001</v>
      </c>
    </row>
    <row r="268" spans="1:30" x14ac:dyDescent="0.3">
      <c r="A268" s="1" t="s">
        <v>34</v>
      </c>
      <c r="B268" s="2">
        <v>2020</v>
      </c>
      <c r="C268" s="1" t="s">
        <v>39</v>
      </c>
      <c r="D268" s="1">
        <v>149.6</v>
      </c>
      <c r="E268" s="1">
        <v>192.7</v>
      </c>
      <c r="F268" s="1">
        <v>151.4</v>
      </c>
      <c r="G268" s="1">
        <v>153.30000000000001</v>
      </c>
      <c r="H268" s="1">
        <v>136.30000000000001</v>
      </c>
      <c r="I268" s="1">
        <v>147.19999999999999</v>
      </c>
      <c r="J268" s="1">
        <v>156.5</v>
      </c>
      <c r="K268" s="1">
        <v>150.9</v>
      </c>
      <c r="L268" s="1">
        <v>114.2</v>
      </c>
      <c r="M268" s="1">
        <v>159.5</v>
      </c>
      <c r="N268" s="1">
        <v>139.4</v>
      </c>
      <c r="O268" s="1">
        <v>161.80000000000001</v>
      </c>
      <c r="P268" s="1">
        <v>154</v>
      </c>
      <c r="Q268" s="1">
        <v>183.5</v>
      </c>
      <c r="R268" s="1">
        <v>152.5</v>
      </c>
      <c r="S268" s="1">
        <v>144.4</v>
      </c>
      <c r="T268" s="1">
        <v>151.4</v>
      </c>
      <c r="U268" s="1">
        <v>154.69999999999999</v>
      </c>
      <c r="V268" s="1">
        <v>141.9</v>
      </c>
      <c r="W268" s="1">
        <v>146.4</v>
      </c>
      <c r="X268" s="1">
        <v>154.4</v>
      </c>
      <c r="Y268" s="1">
        <v>135</v>
      </c>
      <c r="Z268" s="1">
        <v>148.30000000000001</v>
      </c>
      <c r="AA268" s="1">
        <v>156.4</v>
      </c>
      <c r="AB268" s="1">
        <v>151.6</v>
      </c>
      <c r="AC268" s="1">
        <v>147</v>
      </c>
      <c r="AD268" s="1">
        <v>151.80000000000001</v>
      </c>
    </row>
    <row r="269" spans="1:30" x14ac:dyDescent="0.3">
      <c r="A269" s="1" t="s">
        <v>30</v>
      </c>
      <c r="B269" s="2">
        <v>2020</v>
      </c>
      <c r="C269" s="1" t="s">
        <v>40</v>
      </c>
      <c r="D269" s="1">
        <v>148.19999999999999</v>
      </c>
      <c r="E269" s="1">
        <v>190.3</v>
      </c>
      <c r="F269" s="1">
        <v>149.4</v>
      </c>
      <c r="G269" s="1">
        <v>153.30000000000001</v>
      </c>
      <c r="H269" s="1">
        <v>138.19999999999999</v>
      </c>
      <c r="I269" s="1">
        <v>143.19999999999999</v>
      </c>
      <c r="J269" s="1">
        <v>148.9</v>
      </c>
      <c r="K269" s="1">
        <v>150.30000000000001</v>
      </c>
      <c r="L269" s="1">
        <v>113.2</v>
      </c>
      <c r="M269" s="1">
        <v>159.80000000000001</v>
      </c>
      <c r="N269" s="1">
        <v>142.1</v>
      </c>
      <c r="O269" s="1">
        <v>161.80000000000001</v>
      </c>
      <c r="P269" s="1">
        <v>152.30000000000001</v>
      </c>
      <c r="Q269" s="1">
        <v>182.4</v>
      </c>
      <c r="R269" s="1">
        <v>154.69999999999999</v>
      </c>
      <c r="S269" s="1">
        <v>150</v>
      </c>
      <c r="T269" s="1">
        <v>154.1</v>
      </c>
      <c r="U269" s="1">
        <f>U270</f>
        <v>154.69999999999999</v>
      </c>
      <c r="V269" s="1">
        <v>144.9</v>
      </c>
      <c r="W269" s="1">
        <v>151.69999999999999</v>
      </c>
      <c r="X269" s="1">
        <v>158.19999999999999</v>
      </c>
      <c r="Y269" s="1">
        <v>141.4</v>
      </c>
      <c r="Z269" s="1">
        <v>153.19999999999999</v>
      </c>
      <c r="AA269" s="1">
        <v>161.80000000000001</v>
      </c>
      <c r="AB269" s="1">
        <v>151.19999999999999</v>
      </c>
      <c r="AC269" s="1">
        <v>151.69999999999999</v>
      </c>
      <c r="AD269" s="1">
        <v>152.69999999999999</v>
      </c>
    </row>
    <row r="270" spans="1:30" x14ac:dyDescent="0.3">
      <c r="A270" s="1" t="s">
        <v>33</v>
      </c>
      <c r="B270" s="2">
        <v>2020</v>
      </c>
      <c r="C270" s="1" t="s">
        <v>40</v>
      </c>
      <c r="D270" s="1">
        <v>152.69999999999999</v>
      </c>
      <c r="E270" s="1">
        <v>197</v>
      </c>
      <c r="F270" s="1">
        <v>154.6</v>
      </c>
      <c r="G270" s="1">
        <v>153.4</v>
      </c>
      <c r="H270" s="1">
        <v>132.9</v>
      </c>
      <c r="I270" s="1">
        <v>151.80000000000001</v>
      </c>
      <c r="J270" s="1">
        <v>171.2</v>
      </c>
      <c r="K270" s="1">
        <v>152</v>
      </c>
      <c r="L270" s="1">
        <v>116.3</v>
      </c>
      <c r="M270" s="1">
        <v>158.80000000000001</v>
      </c>
      <c r="N270" s="1">
        <v>135.6</v>
      </c>
      <c r="O270" s="1">
        <v>161.69999999999999</v>
      </c>
      <c r="P270" s="1">
        <v>157</v>
      </c>
      <c r="Q270" s="1">
        <v>186.7</v>
      </c>
      <c r="R270" s="1">
        <v>149.1</v>
      </c>
      <c r="S270" s="1">
        <v>136.6</v>
      </c>
      <c r="T270" s="1">
        <v>147.19999999999999</v>
      </c>
      <c r="U270" s="1">
        <v>154.69999999999999</v>
      </c>
      <c r="V270" s="1">
        <v>137.1</v>
      </c>
      <c r="W270" s="1">
        <v>140.4</v>
      </c>
      <c r="X270" s="1">
        <v>148.1</v>
      </c>
      <c r="Y270" s="1">
        <v>129.30000000000001</v>
      </c>
      <c r="Z270" s="1">
        <v>144.5</v>
      </c>
      <c r="AA270" s="1">
        <v>152.5</v>
      </c>
      <c r="AB270" s="1">
        <v>152.19999999999999</v>
      </c>
      <c r="AC270" s="1">
        <v>142</v>
      </c>
      <c r="AD270" s="1">
        <v>150.80000000000001</v>
      </c>
    </row>
    <row r="271" spans="1:30" x14ac:dyDescent="0.3">
      <c r="A271" s="1" t="s">
        <v>34</v>
      </c>
      <c r="B271" s="2">
        <v>2020</v>
      </c>
      <c r="C271" s="1" t="s">
        <v>40</v>
      </c>
      <c r="D271" s="1">
        <v>149.6</v>
      </c>
      <c r="E271" s="1">
        <v>192.7</v>
      </c>
      <c r="F271" s="1">
        <v>151.4</v>
      </c>
      <c r="G271" s="1">
        <v>153.30000000000001</v>
      </c>
      <c r="H271" s="1">
        <v>136.30000000000001</v>
      </c>
      <c r="I271" s="1">
        <v>147.19999999999999</v>
      </c>
      <c r="J271" s="1">
        <v>156.5</v>
      </c>
      <c r="K271" s="1">
        <v>150.9</v>
      </c>
      <c r="L271" s="1">
        <v>114.2</v>
      </c>
      <c r="M271" s="1">
        <v>159.5</v>
      </c>
      <c r="N271" s="1">
        <v>139.4</v>
      </c>
      <c r="O271" s="1">
        <v>161.80000000000001</v>
      </c>
      <c r="P271" s="1">
        <v>154</v>
      </c>
      <c r="Q271" s="1">
        <v>183.5</v>
      </c>
      <c r="R271" s="1">
        <v>152.5</v>
      </c>
      <c r="S271" s="1">
        <v>144.4</v>
      </c>
      <c r="T271" s="1">
        <v>151.4</v>
      </c>
      <c r="U271" s="1">
        <v>154.69999999999999</v>
      </c>
      <c r="V271" s="1">
        <v>141.9</v>
      </c>
      <c r="W271" s="1">
        <v>146.4</v>
      </c>
      <c r="X271" s="1">
        <v>154.4</v>
      </c>
      <c r="Y271" s="1">
        <v>135</v>
      </c>
      <c r="Z271" s="1">
        <v>148.30000000000001</v>
      </c>
      <c r="AA271" s="1">
        <v>156.4</v>
      </c>
      <c r="AB271" s="1">
        <v>151.6</v>
      </c>
      <c r="AC271" s="1">
        <v>147</v>
      </c>
      <c r="AD271" s="1">
        <v>151.80000000000001</v>
      </c>
    </row>
    <row r="272" spans="1:30" x14ac:dyDescent="0.3">
      <c r="A272" s="1" t="s">
        <v>30</v>
      </c>
      <c r="B272" s="2">
        <v>2020</v>
      </c>
      <c r="C272" s="1" t="s">
        <v>41</v>
      </c>
      <c r="D272" s="1">
        <v>147.6</v>
      </c>
      <c r="E272" s="1">
        <v>187.2</v>
      </c>
      <c r="F272" s="1">
        <v>148.4</v>
      </c>
      <c r="G272" s="1">
        <v>153.30000000000001</v>
      </c>
      <c r="H272" s="1">
        <v>139.80000000000001</v>
      </c>
      <c r="I272" s="1">
        <v>146.9</v>
      </c>
      <c r="J272" s="1">
        <v>171</v>
      </c>
      <c r="K272" s="1">
        <v>149.9</v>
      </c>
      <c r="L272" s="1">
        <v>114.2</v>
      </c>
      <c r="M272" s="1">
        <v>160</v>
      </c>
      <c r="N272" s="1">
        <v>143.5</v>
      </c>
      <c r="O272" s="1">
        <v>161.5</v>
      </c>
      <c r="P272" s="1">
        <v>155.30000000000001</v>
      </c>
      <c r="Q272" s="1">
        <v>180.9</v>
      </c>
      <c r="R272" s="1">
        <v>155.1</v>
      </c>
      <c r="S272" s="1">
        <v>149.30000000000001</v>
      </c>
      <c r="T272" s="1">
        <v>154.30000000000001</v>
      </c>
      <c r="U272" s="1">
        <f>U273</f>
        <v>155.5</v>
      </c>
      <c r="V272" s="1">
        <v>145.80000000000001</v>
      </c>
      <c r="W272" s="1">
        <v>151.9</v>
      </c>
      <c r="X272" s="1">
        <v>158.80000000000001</v>
      </c>
      <c r="Y272" s="1">
        <v>143.6</v>
      </c>
      <c r="Z272" s="1">
        <v>152.19999999999999</v>
      </c>
      <c r="AA272" s="1">
        <v>162.69999999999999</v>
      </c>
      <c r="AB272" s="1">
        <v>153.6</v>
      </c>
      <c r="AC272" s="1">
        <v>153</v>
      </c>
      <c r="AD272" s="1">
        <v>154.69999999999999</v>
      </c>
    </row>
    <row r="273" spans="1:30" x14ac:dyDescent="0.3">
      <c r="A273" s="1" t="s">
        <v>33</v>
      </c>
      <c r="B273" s="2">
        <v>2020</v>
      </c>
      <c r="C273" s="1" t="s">
        <v>41</v>
      </c>
      <c r="D273" s="1">
        <v>151.6</v>
      </c>
      <c r="E273" s="1">
        <v>197.8</v>
      </c>
      <c r="F273" s="1">
        <v>154.5</v>
      </c>
      <c r="G273" s="1">
        <v>153.4</v>
      </c>
      <c r="H273" s="1">
        <v>133.4</v>
      </c>
      <c r="I273" s="1">
        <v>154.5</v>
      </c>
      <c r="J273" s="1">
        <v>191.9</v>
      </c>
      <c r="K273" s="1">
        <v>151.30000000000001</v>
      </c>
      <c r="L273" s="1">
        <v>116.8</v>
      </c>
      <c r="M273" s="1">
        <v>160</v>
      </c>
      <c r="N273" s="1">
        <v>136.5</v>
      </c>
      <c r="O273" s="1">
        <v>163.30000000000001</v>
      </c>
      <c r="P273" s="1">
        <v>159.9</v>
      </c>
      <c r="Q273" s="1">
        <v>187.2</v>
      </c>
      <c r="R273" s="1">
        <v>150</v>
      </c>
      <c r="S273" s="1">
        <v>135.19999999999999</v>
      </c>
      <c r="T273" s="1">
        <v>147.80000000000001</v>
      </c>
      <c r="U273" s="1">
        <v>155.5</v>
      </c>
      <c r="V273" s="1">
        <v>138.30000000000001</v>
      </c>
      <c r="W273" s="1">
        <v>144.5</v>
      </c>
      <c r="X273" s="1">
        <v>148.69999999999999</v>
      </c>
      <c r="Y273" s="1">
        <v>133.9</v>
      </c>
      <c r="Z273" s="1">
        <v>141.19999999999999</v>
      </c>
      <c r="AA273" s="1">
        <v>155.5</v>
      </c>
      <c r="AB273" s="1">
        <v>155.19999999999999</v>
      </c>
      <c r="AC273" s="1">
        <v>144.80000000000001</v>
      </c>
      <c r="AD273" s="1">
        <v>152.9</v>
      </c>
    </row>
    <row r="274" spans="1:30" x14ac:dyDescent="0.3">
      <c r="A274" s="1" t="s">
        <v>34</v>
      </c>
      <c r="B274" s="2">
        <v>2020</v>
      </c>
      <c r="C274" s="1" t="s">
        <v>41</v>
      </c>
      <c r="D274" s="1">
        <v>148.9</v>
      </c>
      <c r="E274" s="1">
        <v>190.9</v>
      </c>
      <c r="F274" s="1">
        <v>150.80000000000001</v>
      </c>
      <c r="G274" s="1">
        <v>153.30000000000001</v>
      </c>
      <c r="H274" s="1">
        <v>137.4</v>
      </c>
      <c r="I274" s="1">
        <v>150.4</v>
      </c>
      <c r="J274" s="1">
        <v>178.1</v>
      </c>
      <c r="K274" s="1">
        <v>150.4</v>
      </c>
      <c r="L274" s="1">
        <v>115.1</v>
      </c>
      <c r="M274" s="1">
        <v>160</v>
      </c>
      <c r="N274" s="1">
        <v>140.6</v>
      </c>
      <c r="O274" s="1">
        <v>162.30000000000001</v>
      </c>
      <c r="P274" s="1">
        <v>157</v>
      </c>
      <c r="Q274" s="1">
        <v>182.6</v>
      </c>
      <c r="R274" s="1">
        <v>153.1</v>
      </c>
      <c r="S274" s="1">
        <v>143.4</v>
      </c>
      <c r="T274" s="1">
        <v>151.69999999999999</v>
      </c>
      <c r="U274" s="1">
        <v>155.5</v>
      </c>
      <c r="V274" s="1">
        <v>143</v>
      </c>
      <c r="W274" s="1">
        <v>148.4</v>
      </c>
      <c r="X274" s="1">
        <v>155</v>
      </c>
      <c r="Y274" s="1">
        <v>138.5</v>
      </c>
      <c r="Z274" s="1">
        <v>146</v>
      </c>
      <c r="AA274" s="1">
        <v>158.5</v>
      </c>
      <c r="AB274" s="1">
        <v>154.30000000000001</v>
      </c>
      <c r="AC274" s="1">
        <v>149</v>
      </c>
      <c r="AD274" s="1">
        <v>153.9</v>
      </c>
    </row>
    <row r="275" spans="1:30" x14ac:dyDescent="0.3">
      <c r="A275" s="1" t="s">
        <v>30</v>
      </c>
      <c r="B275" s="2">
        <v>2020</v>
      </c>
      <c r="C275" s="1" t="s">
        <v>42</v>
      </c>
      <c r="D275" s="1">
        <v>146.9</v>
      </c>
      <c r="E275" s="1">
        <v>183.9</v>
      </c>
      <c r="F275" s="1">
        <v>149.5</v>
      </c>
      <c r="G275" s="1">
        <v>153.4</v>
      </c>
      <c r="H275" s="1">
        <v>140.4</v>
      </c>
      <c r="I275" s="1">
        <v>147</v>
      </c>
      <c r="J275" s="1">
        <v>178.8</v>
      </c>
      <c r="K275" s="1">
        <v>149.30000000000001</v>
      </c>
      <c r="L275" s="1">
        <v>115.1</v>
      </c>
      <c r="M275" s="1">
        <v>160</v>
      </c>
      <c r="N275" s="1">
        <v>145.4</v>
      </c>
      <c r="O275" s="1">
        <v>161.6</v>
      </c>
      <c r="P275" s="1">
        <v>156.1</v>
      </c>
      <c r="Q275" s="1">
        <v>182.9</v>
      </c>
      <c r="R275" s="1">
        <v>155.4</v>
      </c>
      <c r="S275" s="1">
        <v>149.9</v>
      </c>
      <c r="T275" s="1">
        <v>154.6</v>
      </c>
      <c r="U275" s="1">
        <f>U276</f>
        <v>156.30000000000001</v>
      </c>
      <c r="V275" s="1">
        <v>146.4</v>
      </c>
      <c r="W275" s="1">
        <v>151.6</v>
      </c>
      <c r="X275" s="1">
        <v>159.1</v>
      </c>
      <c r="Y275" s="1">
        <v>144.6</v>
      </c>
      <c r="Z275" s="1">
        <v>152.80000000000001</v>
      </c>
      <c r="AA275" s="1">
        <v>161.1</v>
      </c>
      <c r="AB275" s="1">
        <v>157.4</v>
      </c>
      <c r="AC275" s="1">
        <v>153.69999999999999</v>
      </c>
      <c r="AD275" s="1">
        <v>155.4</v>
      </c>
    </row>
    <row r="276" spans="1:30" x14ac:dyDescent="0.3">
      <c r="A276" s="1" t="s">
        <v>33</v>
      </c>
      <c r="B276" s="2">
        <v>2020</v>
      </c>
      <c r="C276" s="1" t="s">
        <v>42</v>
      </c>
      <c r="D276" s="1">
        <v>151.5</v>
      </c>
      <c r="E276" s="1">
        <v>193.1</v>
      </c>
      <c r="F276" s="1">
        <v>157.30000000000001</v>
      </c>
      <c r="G276" s="1">
        <v>153.9</v>
      </c>
      <c r="H276" s="1">
        <v>134.4</v>
      </c>
      <c r="I276" s="1">
        <v>155.4</v>
      </c>
      <c r="J276" s="1">
        <v>202</v>
      </c>
      <c r="K276" s="1">
        <v>150.80000000000001</v>
      </c>
      <c r="L276" s="1">
        <v>118.9</v>
      </c>
      <c r="M276" s="1">
        <v>160.9</v>
      </c>
      <c r="N276" s="1">
        <v>137.69999999999999</v>
      </c>
      <c r="O276" s="1">
        <v>164.4</v>
      </c>
      <c r="P276" s="1">
        <v>161.30000000000001</v>
      </c>
      <c r="Q276" s="1">
        <v>188.7</v>
      </c>
      <c r="R276" s="1">
        <v>150.19999999999999</v>
      </c>
      <c r="S276" s="1">
        <v>136.30000000000001</v>
      </c>
      <c r="T276" s="1">
        <v>148.1</v>
      </c>
      <c r="U276" s="1">
        <v>156.30000000000001</v>
      </c>
      <c r="V276" s="1">
        <v>137.19999999999999</v>
      </c>
      <c r="W276" s="1">
        <v>145.4</v>
      </c>
      <c r="X276" s="1">
        <v>150</v>
      </c>
      <c r="Y276" s="1">
        <v>135.1</v>
      </c>
      <c r="Z276" s="1">
        <v>141.80000000000001</v>
      </c>
      <c r="AA276" s="1">
        <v>154.9</v>
      </c>
      <c r="AB276" s="1">
        <v>159.80000000000001</v>
      </c>
      <c r="AC276" s="1">
        <v>146</v>
      </c>
      <c r="AD276" s="1">
        <v>154</v>
      </c>
    </row>
    <row r="277" spans="1:30" x14ac:dyDescent="0.3">
      <c r="A277" s="1" t="s">
        <v>34</v>
      </c>
      <c r="B277" s="2">
        <v>2020</v>
      </c>
      <c r="C277" s="1" t="s">
        <v>42</v>
      </c>
      <c r="D277" s="1">
        <v>148.4</v>
      </c>
      <c r="E277" s="1">
        <v>187.1</v>
      </c>
      <c r="F277" s="1">
        <v>152.5</v>
      </c>
      <c r="G277" s="1">
        <v>153.6</v>
      </c>
      <c r="H277" s="1">
        <v>138.19999999999999</v>
      </c>
      <c r="I277" s="1">
        <v>150.9</v>
      </c>
      <c r="J277" s="1">
        <v>186.7</v>
      </c>
      <c r="K277" s="1">
        <v>149.80000000000001</v>
      </c>
      <c r="L277" s="1">
        <v>116.4</v>
      </c>
      <c r="M277" s="1">
        <v>160.30000000000001</v>
      </c>
      <c r="N277" s="1">
        <v>142.19999999999999</v>
      </c>
      <c r="O277" s="1">
        <v>162.9</v>
      </c>
      <c r="P277" s="1">
        <v>158</v>
      </c>
      <c r="Q277" s="1">
        <v>184.4</v>
      </c>
      <c r="R277" s="1">
        <v>153.4</v>
      </c>
      <c r="S277" s="1">
        <v>144.30000000000001</v>
      </c>
      <c r="T277" s="1">
        <v>152</v>
      </c>
      <c r="U277" s="1">
        <v>156.30000000000001</v>
      </c>
      <c r="V277" s="1">
        <v>142.9</v>
      </c>
      <c r="W277" s="1">
        <v>148.69999999999999</v>
      </c>
      <c r="X277" s="1">
        <v>155.6</v>
      </c>
      <c r="Y277" s="1">
        <v>139.6</v>
      </c>
      <c r="Z277" s="1">
        <v>146.6</v>
      </c>
      <c r="AA277" s="1">
        <v>157.5</v>
      </c>
      <c r="AB277" s="1">
        <v>158.4</v>
      </c>
      <c r="AC277" s="1">
        <v>150</v>
      </c>
      <c r="AD277" s="1">
        <v>154.69999999999999</v>
      </c>
    </row>
    <row r="278" spans="1:30" x14ac:dyDescent="0.3">
      <c r="A278" s="1" t="s">
        <v>30</v>
      </c>
      <c r="B278" s="2">
        <v>2020</v>
      </c>
      <c r="C278" s="1" t="s">
        <v>43</v>
      </c>
      <c r="D278" s="1">
        <v>146</v>
      </c>
      <c r="E278" s="1">
        <v>186.3</v>
      </c>
      <c r="F278" s="1">
        <v>159.19999999999999</v>
      </c>
      <c r="G278" s="1">
        <v>153.6</v>
      </c>
      <c r="H278" s="1">
        <v>142.6</v>
      </c>
      <c r="I278" s="1">
        <v>147.19999999999999</v>
      </c>
      <c r="J278" s="1">
        <v>200.6</v>
      </c>
      <c r="K278" s="1">
        <v>150.30000000000001</v>
      </c>
      <c r="L278" s="1">
        <v>115.3</v>
      </c>
      <c r="M278" s="1">
        <v>160.9</v>
      </c>
      <c r="N278" s="1">
        <v>147.4</v>
      </c>
      <c r="O278" s="1">
        <v>161.9</v>
      </c>
      <c r="P278" s="1">
        <v>159.6</v>
      </c>
      <c r="Q278" s="1">
        <v>182.7</v>
      </c>
      <c r="R278" s="1">
        <v>155.69999999999999</v>
      </c>
      <c r="S278" s="1">
        <v>150.6</v>
      </c>
      <c r="T278" s="1">
        <v>155</v>
      </c>
      <c r="U278" s="1">
        <f>U279</f>
        <v>156.5</v>
      </c>
      <c r="V278" s="1">
        <v>146.80000000000001</v>
      </c>
      <c r="W278" s="1">
        <v>152</v>
      </c>
      <c r="X278" s="1">
        <v>159.5</v>
      </c>
      <c r="Y278" s="1">
        <v>146.4</v>
      </c>
      <c r="Z278" s="1">
        <v>152.4</v>
      </c>
      <c r="AA278" s="1">
        <v>162.5</v>
      </c>
      <c r="AB278" s="1">
        <v>156.19999999999999</v>
      </c>
      <c r="AC278" s="1">
        <v>154.30000000000001</v>
      </c>
      <c r="AD278" s="1">
        <v>157.5</v>
      </c>
    </row>
    <row r="279" spans="1:30" x14ac:dyDescent="0.3">
      <c r="A279" s="1" t="s">
        <v>33</v>
      </c>
      <c r="B279" s="2">
        <v>2020</v>
      </c>
      <c r="C279" s="1" t="s">
        <v>43</v>
      </c>
      <c r="D279" s="1">
        <v>150.6</v>
      </c>
      <c r="E279" s="1">
        <v>193.7</v>
      </c>
      <c r="F279" s="1">
        <v>164.8</v>
      </c>
      <c r="G279" s="1">
        <v>153.69999999999999</v>
      </c>
      <c r="H279" s="1">
        <v>135.69999999999999</v>
      </c>
      <c r="I279" s="1">
        <v>155.69999999999999</v>
      </c>
      <c r="J279" s="1">
        <v>226</v>
      </c>
      <c r="K279" s="1">
        <v>152.19999999999999</v>
      </c>
      <c r="L279" s="1">
        <v>118.1</v>
      </c>
      <c r="M279" s="1">
        <v>161.30000000000001</v>
      </c>
      <c r="N279" s="1">
        <v>139.19999999999999</v>
      </c>
      <c r="O279" s="1">
        <v>164.8</v>
      </c>
      <c r="P279" s="1">
        <v>164.4</v>
      </c>
      <c r="Q279" s="1">
        <v>188.7</v>
      </c>
      <c r="R279" s="1">
        <v>150.5</v>
      </c>
      <c r="S279" s="1">
        <v>136.1</v>
      </c>
      <c r="T279" s="1">
        <v>148.30000000000001</v>
      </c>
      <c r="U279" s="1">
        <v>156.5</v>
      </c>
      <c r="V279" s="1">
        <v>137.1</v>
      </c>
      <c r="W279" s="1">
        <v>145.1</v>
      </c>
      <c r="X279" s="1">
        <v>151</v>
      </c>
      <c r="Y279" s="1">
        <v>135.4</v>
      </c>
      <c r="Z279" s="1">
        <v>142</v>
      </c>
      <c r="AA279" s="1">
        <v>155.69999999999999</v>
      </c>
      <c r="AB279" s="1">
        <v>158.1</v>
      </c>
      <c r="AC279" s="1">
        <v>146.19999999999999</v>
      </c>
      <c r="AD279" s="1">
        <v>155.19999999999999</v>
      </c>
    </row>
    <row r="280" spans="1:30" x14ac:dyDescent="0.3">
      <c r="A280" s="1" t="s">
        <v>34</v>
      </c>
      <c r="B280" s="2">
        <v>2020</v>
      </c>
      <c r="C280" s="1" t="s">
        <v>43</v>
      </c>
      <c r="D280" s="1">
        <v>147.5</v>
      </c>
      <c r="E280" s="1">
        <v>188.9</v>
      </c>
      <c r="F280" s="1">
        <v>161.4</v>
      </c>
      <c r="G280" s="1">
        <v>153.6</v>
      </c>
      <c r="H280" s="1">
        <v>140.1</v>
      </c>
      <c r="I280" s="1">
        <v>151.19999999999999</v>
      </c>
      <c r="J280" s="1">
        <v>209.2</v>
      </c>
      <c r="K280" s="1">
        <v>150.9</v>
      </c>
      <c r="L280" s="1">
        <v>116.2</v>
      </c>
      <c r="M280" s="1">
        <v>161</v>
      </c>
      <c r="N280" s="1">
        <v>144</v>
      </c>
      <c r="O280" s="1">
        <v>163.19999999999999</v>
      </c>
      <c r="P280" s="1">
        <v>161.4</v>
      </c>
      <c r="Q280" s="1">
        <v>184.3</v>
      </c>
      <c r="R280" s="1">
        <v>153.69999999999999</v>
      </c>
      <c r="S280" s="1">
        <v>144.6</v>
      </c>
      <c r="T280" s="1">
        <v>152.30000000000001</v>
      </c>
      <c r="U280" s="1">
        <v>156.5</v>
      </c>
      <c r="V280" s="1">
        <v>143.1</v>
      </c>
      <c r="W280" s="1">
        <v>148.69999999999999</v>
      </c>
      <c r="X280" s="1">
        <v>156.30000000000001</v>
      </c>
      <c r="Y280" s="1">
        <v>140.6</v>
      </c>
      <c r="Z280" s="1">
        <v>146.5</v>
      </c>
      <c r="AA280" s="1">
        <v>158.5</v>
      </c>
      <c r="AB280" s="1">
        <v>157</v>
      </c>
      <c r="AC280" s="1">
        <v>150.4</v>
      </c>
      <c r="AD280" s="1">
        <v>156.4</v>
      </c>
    </row>
    <row r="281" spans="1:30" x14ac:dyDescent="0.3">
      <c r="A281" s="1" t="s">
        <v>30</v>
      </c>
      <c r="B281" s="2">
        <v>2020</v>
      </c>
      <c r="C281" s="1" t="s">
        <v>45</v>
      </c>
      <c r="D281" s="1">
        <v>145.4</v>
      </c>
      <c r="E281" s="1">
        <v>188.6</v>
      </c>
      <c r="F281" s="1">
        <v>171.6</v>
      </c>
      <c r="G281" s="1">
        <v>153.80000000000001</v>
      </c>
      <c r="H281" s="1">
        <v>145.4</v>
      </c>
      <c r="I281" s="1">
        <v>146.5</v>
      </c>
      <c r="J281" s="1">
        <v>222.2</v>
      </c>
      <c r="K281" s="1">
        <v>155.9</v>
      </c>
      <c r="L281" s="1">
        <v>114.9</v>
      </c>
      <c r="M281" s="1">
        <v>162</v>
      </c>
      <c r="N281" s="1">
        <v>150</v>
      </c>
      <c r="O281" s="1">
        <v>162.69999999999999</v>
      </c>
      <c r="P281" s="1">
        <v>163.4</v>
      </c>
      <c r="Q281" s="1">
        <v>183.4</v>
      </c>
      <c r="R281" s="1">
        <v>156.30000000000001</v>
      </c>
      <c r="S281" s="1">
        <v>151</v>
      </c>
      <c r="T281" s="1">
        <v>155.5</v>
      </c>
      <c r="U281" s="1">
        <f>U282</f>
        <v>158</v>
      </c>
      <c r="V281" s="1">
        <v>147.5</v>
      </c>
      <c r="W281" s="1">
        <v>152.80000000000001</v>
      </c>
      <c r="X281" s="1">
        <v>160.4</v>
      </c>
      <c r="Y281" s="1">
        <v>146.1</v>
      </c>
      <c r="Z281" s="1">
        <v>153.6</v>
      </c>
      <c r="AA281" s="1">
        <v>161.6</v>
      </c>
      <c r="AB281" s="1">
        <v>156.19999999999999</v>
      </c>
      <c r="AC281" s="1">
        <v>154.5</v>
      </c>
      <c r="AD281" s="1">
        <v>159.80000000000001</v>
      </c>
    </row>
    <row r="282" spans="1:30" x14ac:dyDescent="0.3">
      <c r="A282" s="1" t="s">
        <v>33</v>
      </c>
      <c r="B282" s="2">
        <v>2020</v>
      </c>
      <c r="C282" s="1" t="s">
        <v>45</v>
      </c>
      <c r="D282" s="1">
        <v>149.69999999999999</v>
      </c>
      <c r="E282" s="1">
        <v>195.5</v>
      </c>
      <c r="F282" s="1">
        <v>176.9</v>
      </c>
      <c r="G282" s="1">
        <v>153.9</v>
      </c>
      <c r="H282" s="1">
        <v>138</v>
      </c>
      <c r="I282" s="1">
        <v>150.5</v>
      </c>
      <c r="J282" s="1">
        <v>245.3</v>
      </c>
      <c r="K282" s="1">
        <v>158.69999999999999</v>
      </c>
      <c r="L282" s="1">
        <v>117.2</v>
      </c>
      <c r="M282" s="1">
        <v>161.4</v>
      </c>
      <c r="N282" s="1">
        <v>141.5</v>
      </c>
      <c r="O282" s="1">
        <v>165.1</v>
      </c>
      <c r="P282" s="1">
        <v>167</v>
      </c>
      <c r="Q282" s="1">
        <v>188.8</v>
      </c>
      <c r="R282" s="1">
        <v>151.1</v>
      </c>
      <c r="S282" s="1">
        <v>136.4</v>
      </c>
      <c r="T282" s="1">
        <v>148.80000000000001</v>
      </c>
      <c r="U282" s="1">
        <v>158</v>
      </c>
      <c r="V282" s="1">
        <v>137.30000000000001</v>
      </c>
      <c r="W282" s="1">
        <v>145.1</v>
      </c>
      <c r="X282" s="1">
        <v>152</v>
      </c>
      <c r="Y282" s="1">
        <v>135.19999999999999</v>
      </c>
      <c r="Z282" s="1">
        <v>144.4</v>
      </c>
      <c r="AA282" s="1">
        <v>156.4</v>
      </c>
      <c r="AB282" s="1">
        <v>157.9</v>
      </c>
      <c r="AC282" s="1">
        <v>146.6</v>
      </c>
      <c r="AD282" s="1">
        <v>156.69999999999999</v>
      </c>
    </row>
    <row r="283" spans="1:30" x14ac:dyDescent="0.3">
      <c r="A283" s="1" t="s">
        <v>34</v>
      </c>
      <c r="B283" s="2">
        <v>2020</v>
      </c>
      <c r="C283" s="1" t="s">
        <v>45</v>
      </c>
      <c r="D283" s="1">
        <v>146.80000000000001</v>
      </c>
      <c r="E283" s="1">
        <v>191</v>
      </c>
      <c r="F283" s="1">
        <v>173.6</v>
      </c>
      <c r="G283" s="1">
        <v>153.80000000000001</v>
      </c>
      <c r="H283" s="1">
        <v>142.69999999999999</v>
      </c>
      <c r="I283" s="1">
        <v>148.4</v>
      </c>
      <c r="J283" s="1">
        <v>230</v>
      </c>
      <c r="K283" s="1">
        <v>156.80000000000001</v>
      </c>
      <c r="L283" s="1">
        <v>115.7</v>
      </c>
      <c r="M283" s="1">
        <v>161.80000000000001</v>
      </c>
      <c r="N283" s="1">
        <v>146.5</v>
      </c>
      <c r="O283" s="1">
        <v>163.80000000000001</v>
      </c>
      <c r="P283" s="1">
        <v>164.7</v>
      </c>
      <c r="Q283" s="1">
        <v>184.8</v>
      </c>
      <c r="R283" s="1">
        <v>154.30000000000001</v>
      </c>
      <c r="S283" s="1">
        <v>144.9</v>
      </c>
      <c r="T283" s="1">
        <v>152.80000000000001</v>
      </c>
      <c r="U283" s="1">
        <v>158</v>
      </c>
      <c r="V283" s="1">
        <v>143.6</v>
      </c>
      <c r="W283" s="1">
        <v>149.19999999999999</v>
      </c>
      <c r="X283" s="1">
        <v>157.19999999999999</v>
      </c>
      <c r="Y283" s="1">
        <v>140.4</v>
      </c>
      <c r="Z283" s="1">
        <v>148.4</v>
      </c>
      <c r="AA283" s="1">
        <v>158.6</v>
      </c>
      <c r="AB283" s="1">
        <v>156.9</v>
      </c>
      <c r="AC283" s="1">
        <v>150.69999999999999</v>
      </c>
      <c r="AD283" s="1">
        <v>158.4</v>
      </c>
    </row>
    <row r="284" spans="1:30" x14ac:dyDescent="0.3">
      <c r="A284" s="1" t="s">
        <v>30</v>
      </c>
      <c r="B284" s="2">
        <v>2020</v>
      </c>
      <c r="C284" s="1" t="s">
        <v>46</v>
      </c>
      <c r="D284" s="1">
        <v>144.6</v>
      </c>
      <c r="E284" s="1">
        <v>188.5</v>
      </c>
      <c r="F284" s="1">
        <v>173.4</v>
      </c>
      <c r="G284" s="1">
        <v>154</v>
      </c>
      <c r="H284" s="1">
        <v>150</v>
      </c>
      <c r="I284" s="1">
        <v>145.9</v>
      </c>
      <c r="J284" s="1">
        <v>225.2</v>
      </c>
      <c r="K284" s="1">
        <v>159.5</v>
      </c>
      <c r="L284" s="1">
        <v>114.4</v>
      </c>
      <c r="M284" s="1">
        <v>163.5</v>
      </c>
      <c r="N284" s="1">
        <v>153.4</v>
      </c>
      <c r="O284" s="1">
        <v>163.6</v>
      </c>
      <c r="P284" s="1">
        <v>164.5</v>
      </c>
      <c r="Q284" s="1">
        <v>183.6</v>
      </c>
      <c r="R284" s="1">
        <v>157</v>
      </c>
      <c r="S284" s="1">
        <v>151.6</v>
      </c>
      <c r="T284" s="1">
        <v>156.30000000000001</v>
      </c>
      <c r="U284" s="1">
        <f>U285</f>
        <v>158.4</v>
      </c>
      <c r="V284" s="1">
        <v>148.69999999999999</v>
      </c>
      <c r="W284" s="1">
        <v>153.4</v>
      </c>
      <c r="X284" s="1">
        <v>161.6</v>
      </c>
      <c r="Y284" s="1">
        <v>146.4</v>
      </c>
      <c r="Z284" s="1">
        <v>153.9</v>
      </c>
      <c r="AA284" s="1">
        <v>162.9</v>
      </c>
      <c r="AB284" s="1">
        <v>156.6</v>
      </c>
      <c r="AC284" s="1">
        <v>155.19999999999999</v>
      </c>
      <c r="AD284" s="1">
        <v>160.69999999999999</v>
      </c>
    </row>
    <row r="285" spans="1:30" x14ac:dyDescent="0.3">
      <c r="A285" s="1" t="s">
        <v>33</v>
      </c>
      <c r="B285" s="2">
        <v>2020</v>
      </c>
      <c r="C285" s="1" t="s">
        <v>46</v>
      </c>
      <c r="D285" s="1">
        <v>149</v>
      </c>
      <c r="E285" s="1">
        <v>195.7</v>
      </c>
      <c r="F285" s="1">
        <v>178.3</v>
      </c>
      <c r="G285" s="1">
        <v>154.19999999999999</v>
      </c>
      <c r="H285" s="1">
        <v>140.69999999999999</v>
      </c>
      <c r="I285" s="1">
        <v>149.69999999999999</v>
      </c>
      <c r="J285" s="1">
        <v>240.9</v>
      </c>
      <c r="K285" s="1">
        <v>161.5</v>
      </c>
      <c r="L285" s="1">
        <v>117.1</v>
      </c>
      <c r="M285" s="1">
        <v>161.9</v>
      </c>
      <c r="N285" s="1">
        <v>143.30000000000001</v>
      </c>
      <c r="O285" s="1">
        <v>166.1</v>
      </c>
      <c r="P285" s="1">
        <v>167</v>
      </c>
      <c r="Q285" s="1">
        <v>190.2</v>
      </c>
      <c r="R285" s="1">
        <v>151.9</v>
      </c>
      <c r="S285" s="1">
        <v>136.69999999999999</v>
      </c>
      <c r="T285" s="1">
        <v>149.6</v>
      </c>
      <c r="U285" s="1">
        <v>158.4</v>
      </c>
      <c r="V285" s="1">
        <v>137.9</v>
      </c>
      <c r="W285" s="1">
        <v>145.5</v>
      </c>
      <c r="X285" s="1">
        <v>152.9</v>
      </c>
      <c r="Y285" s="1">
        <v>135.5</v>
      </c>
      <c r="Z285" s="1">
        <v>144.30000000000001</v>
      </c>
      <c r="AA285" s="1">
        <v>156.9</v>
      </c>
      <c r="AB285" s="1">
        <v>157.9</v>
      </c>
      <c r="AC285" s="1">
        <v>146.9</v>
      </c>
      <c r="AD285" s="1">
        <v>156.9</v>
      </c>
    </row>
    <row r="286" spans="1:30" x14ac:dyDescent="0.3">
      <c r="A286" s="1" t="s">
        <v>34</v>
      </c>
      <c r="B286" s="2">
        <v>2020</v>
      </c>
      <c r="C286" s="1" t="s">
        <v>46</v>
      </c>
      <c r="D286" s="1">
        <v>146</v>
      </c>
      <c r="E286" s="1">
        <v>191</v>
      </c>
      <c r="F286" s="1">
        <v>175.3</v>
      </c>
      <c r="G286" s="1">
        <v>154.1</v>
      </c>
      <c r="H286" s="1">
        <v>146.6</v>
      </c>
      <c r="I286" s="1">
        <v>147.69999999999999</v>
      </c>
      <c r="J286" s="1">
        <v>230.5</v>
      </c>
      <c r="K286" s="1">
        <v>160.19999999999999</v>
      </c>
      <c r="L286" s="1">
        <v>115.3</v>
      </c>
      <c r="M286" s="1">
        <v>163</v>
      </c>
      <c r="N286" s="1">
        <v>149.19999999999999</v>
      </c>
      <c r="O286" s="1">
        <v>164.8</v>
      </c>
      <c r="P286" s="1">
        <v>165.4</v>
      </c>
      <c r="Q286" s="1">
        <v>185.4</v>
      </c>
      <c r="R286" s="1">
        <v>155</v>
      </c>
      <c r="S286" s="1">
        <v>145.4</v>
      </c>
      <c r="T286" s="1">
        <v>153.6</v>
      </c>
      <c r="U286" s="1">
        <v>158.4</v>
      </c>
      <c r="V286" s="1">
        <v>144.6</v>
      </c>
      <c r="W286" s="1">
        <v>149.69999999999999</v>
      </c>
      <c r="X286" s="1">
        <v>158.30000000000001</v>
      </c>
      <c r="Y286" s="1">
        <v>140.69999999999999</v>
      </c>
      <c r="Z286" s="1">
        <v>148.5</v>
      </c>
      <c r="AA286" s="1">
        <v>159.4</v>
      </c>
      <c r="AB286" s="1">
        <v>157.1</v>
      </c>
      <c r="AC286" s="1">
        <v>151.19999999999999</v>
      </c>
      <c r="AD286" s="1">
        <v>158.9</v>
      </c>
    </row>
    <row r="287" spans="1:30" x14ac:dyDescent="0.3">
      <c r="A287" s="1" t="s">
        <v>30</v>
      </c>
      <c r="B287" s="2">
        <v>2021</v>
      </c>
      <c r="C287" s="1" t="s">
        <v>31</v>
      </c>
      <c r="D287" s="1">
        <v>143.4</v>
      </c>
      <c r="E287" s="1">
        <v>187.5</v>
      </c>
      <c r="F287" s="1">
        <v>173.4</v>
      </c>
      <c r="G287" s="1">
        <v>154</v>
      </c>
      <c r="H287" s="1">
        <v>154.80000000000001</v>
      </c>
      <c r="I287" s="1">
        <v>147</v>
      </c>
      <c r="J287" s="1">
        <v>187.8</v>
      </c>
      <c r="K287" s="1">
        <v>159.5</v>
      </c>
      <c r="L287" s="1">
        <v>113.8</v>
      </c>
      <c r="M287" s="1">
        <v>164.5</v>
      </c>
      <c r="N287" s="1">
        <v>156.1</v>
      </c>
      <c r="O287" s="1">
        <v>164.3</v>
      </c>
      <c r="P287" s="1">
        <v>159.6</v>
      </c>
      <c r="Q287" s="1">
        <v>184.6</v>
      </c>
      <c r="R287" s="1">
        <v>157.5</v>
      </c>
      <c r="S287" s="1">
        <v>152.4</v>
      </c>
      <c r="T287" s="1">
        <v>156.80000000000001</v>
      </c>
      <c r="U287" s="1">
        <f>U288</f>
        <v>157.69999999999999</v>
      </c>
      <c r="V287" s="1">
        <v>150.9</v>
      </c>
      <c r="W287" s="1">
        <v>153.9</v>
      </c>
      <c r="X287" s="1">
        <v>162.5</v>
      </c>
      <c r="Y287" s="1">
        <v>147.5</v>
      </c>
      <c r="Z287" s="1">
        <v>155.1</v>
      </c>
      <c r="AA287" s="1">
        <v>163.5</v>
      </c>
      <c r="AB287" s="1">
        <v>156.19999999999999</v>
      </c>
      <c r="AC287" s="1">
        <v>155.9</v>
      </c>
      <c r="AD287" s="1">
        <v>158.5</v>
      </c>
    </row>
    <row r="288" spans="1:30" x14ac:dyDescent="0.3">
      <c r="A288" s="1" t="s">
        <v>33</v>
      </c>
      <c r="B288" s="2">
        <v>2021</v>
      </c>
      <c r="C288" s="1" t="s">
        <v>31</v>
      </c>
      <c r="D288" s="1">
        <v>148</v>
      </c>
      <c r="E288" s="1">
        <v>194.8</v>
      </c>
      <c r="F288" s="1">
        <v>178.4</v>
      </c>
      <c r="G288" s="1">
        <v>154.4</v>
      </c>
      <c r="H288" s="1">
        <v>144.1</v>
      </c>
      <c r="I288" s="1">
        <v>152.6</v>
      </c>
      <c r="J288" s="1">
        <v>206.8</v>
      </c>
      <c r="K288" s="1">
        <v>162.1</v>
      </c>
      <c r="L288" s="1">
        <v>116.3</v>
      </c>
      <c r="M288" s="1">
        <v>163</v>
      </c>
      <c r="N288" s="1">
        <v>145.9</v>
      </c>
      <c r="O288" s="1">
        <v>167.2</v>
      </c>
      <c r="P288" s="1">
        <v>163.4</v>
      </c>
      <c r="Q288" s="1">
        <v>191.8</v>
      </c>
      <c r="R288" s="1">
        <v>152.5</v>
      </c>
      <c r="S288" s="1">
        <v>137.30000000000001</v>
      </c>
      <c r="T288" s="1">
        <v>150.19999999999999</v>
      </c>
      <c r="U288" s="1">
        <v>157.69999999999999</v>
      </c>
      <c r="V288" s="1">
        <v>142.9</v>
      </c>
      <c r="W288" s="1">
        <v>145.69999999999999</v>
      </c>
      <c r="X288" s="1">
        <v>154.1</v>
      </c>
      <c r="Y288" s="1">
        <v>136.9</v>
      </c>
      <c r="Z288" s="1">
        <v>145.4</v>
      </c>
      <c r="AA288" s="1">
        <v>156.1</v>
      </c>
      <c r="AB288" s="1">
        <v>157.69999999999999</v>
      </c>
      <c r="AC288" s="1">
        <v>147.6</v>
      </c>
      <c r="AD288" s="1">
        <v>156</v>
      </c>
    </row>
    <row r="289" spans="1:30" x14ac:dyDescent="0.3">
      <c r="A289" s="1" t="s">
        <v>34</v>
      </c>
      <c r="B289" s="2">
        <v>2021</v>
      </c>
      <c r="C289" s="1" t="s">
        <v>31</v>
      </c>
      <c r="D289" s="1">
        <v>144.9</v>
      </c>
      <c r="E289" s="1">
        <v>190.1</v>
      </c>
      <c r="F289" s="1">
        <v>175.3</v>
      </c>
      <c r="G289" s="1">
        <v>154.1</v>
      </c>
      <c r="H289" s="1">
        <v>150.9</v>
      </c>
      <c r="I289" s="1">
        <v>149.6</v>
      </c>
      <c r="J289" s="1">
        <v>194.2</v>
      </c>
      <c r="K289" s="1">
        <v>160.4</v>
      </c>
      <c r="L289" s="1">
        <v>114.6</v>
      </c>
      <c r="M289" s="1">
        <v>164</v>
      </c>
      <c r="N289" s="1">
        <v>151.80000000000001</v>
      </c>
      <c r="O289" s="1">
        <v>165.6</v>
      </c>
      <c r="P289" s="1">
        <v>161</v>
      </c>
      <c r="Q289" s="1">
        <v>186.5</v>
      </c>
      <c r="R289" s="1">
        <v>155.5</v>
      </c>
      <c r="S289" s="1">
        <v>146.1</v>
      </c>
      <c r="T289" s="1">
        <v>154.19999999999999</v>
      </c>
      <c r="U289" s="1">
        <v>157.69999999999999</v>
      </c>
      <c r="V289" s="1">
        <v>147.9</v>
      </c>
      <c r="W289" s="1">
        <v>150</v>
      </c>
      <c r="X289" s="1">
        <v>159.30000000000001</v>
      </c>
      <c r="Y289" s="1">
        <v>141.9</v>
      </c>
      <c r="Z289" s="1">
        <v>149.6</v>
      </c>
      <c r="AA289" s="1">
        <v>159.19999999999999</v>
      </c>
      <c r="AB289" s="1">
        <v>156.80000000000001</v>
      </c>
      <c r="AC289" s="1">
        <v>151.9</v>
      </c>
      <c r="AD289" s="1">
        <v>157.30000000000001</v>
      </c>
    </row>
    <row r="290" spans="1:30" x14ac:dyDescent="0.3">
      <c r="A290" s="1" t="s">
        <v>30</v>
      </c>
      <c r="B290" s="2">
        <v>2021</v>
      </c>
      <c r="C290" s="1" t="s">
        <v>35</v>
      </c>
      <c r="D290" s="1">
        <v>142.80000000000001</v>
      </c>
      <c r="E290" s="1">
        <v>184</v>
      </c>
      <c r="F290" s="1">
        <v>168</v>
      </c>
      <c r="G290" s="1">
        <v>154.4</v>
      </c>
      <c r="H290" s="1">
        <v>163</v>
      </c>
      <c r="I290" s="1">
        <v>147.80000000000001</v>
      </c>
      <c r="J290" s="1">
        <v>149.69999999999999</v>
      </c>
      <c r="K290" s="1">
        <v>158.30000000000001</v>
      </c>
      <c r="L290" s="1">
        <v>111.8</v>
      </c>
      <c r="M290" s="1">
        <v>165</v>
      </c>
      <c r="N290" s="1">
        <v>160</v>
      </c>
      <c r="O290" s="1">
        <v>165.8</v>
      </c>
      <c r="P290" s="1">
        <v>154.69999999999999</v>
      </c>
      <c r="Q290" s="1">
        <v>186.5</v>
      </c>
      <c r="R290" s="1">
        <v>159.1</v>
      </c>
      <c r="S290" s="1">
        <v>153.9</v>
      </c>
      <c r="T290" s="1">
        <v>158.4</v>
      </c>
      <c r="U290" s="1">
        <f>U291</f>
        <v>159.80000000000001</v>
      </c>
      <c r="V290" s="1">
        <v>154.4</v>
      </c>
      <c r="W290" s="1">
        <v>154.80000000000001</v>
      </c>
      <c r="X290" s="1">
        <v>164.3</v>
      </c>
      <c r="Y290" s="1">
        <v>150.19999999999999</v>
      </c>
      <c r="Z290" s="1">
        <v>157</v>
      </c>
      <c r="AA290" s="1">
        <v>163.6</v>
      </c>
      <c r="AB290" s="1">
        <v>155.19999999999999</v>
      </c>
      <c r="AC290" s="1">
        <v>157.19999999999999</v>
      </c>
      <c r="AD290" s="1">
        <v>156.69999999999999</v>
      </c>
    </row>
    <row r="291" spans="1:30" x14ac:dyDescent="0.3">
      <c r="A291" s="1" t="s">
        <v>33</v>
      </c>
      <c r="B291" s="2">
        <v>2021</v>
      </c>
      <c r="C291" s="1" t="s">
        <v>35</v>
      </c>
      <c r="D291" s="1">
        <v>147.6</v>
      </c>
      <c r="E291" s="1">
        <v>191.2</v>
      </c>
      <c r="F291" s="1">
        <v>169.9</v>
      </c>
      <c r="G291" s="1">
        <v>155.1</v>
      </c>
      <c r="H291" s="1">
        <v>151.4</v>
      </c>
      <c r="I291" s="1">
        <v>154</v>
      </c>
      <c r="J291" s="1">
        <v>180.2</v>
      </c>
      <c r="K291" s="1">
        <v>159.80000000000001</v>
      </c>
      <c r="L291" s="1">
        <v>114.9</v>
      </c>
      <c r="M291" s="1">
        <v>162.5</v>
      </c>
      <c r="N291" s="1">
        <v>149.19999999999999</v>
      </c>
      <c r="O291" s="1">
        <v>169.4</v>
      </c>
      <c r="P291" s="1">
        <v>160.80000000000001</v>
      </c>
      <c r="Q291" s="1">
        <v>193.3</v>
      </c>
      <c r="R291" s="1">
        <v>154.19999999999999</v>
      </c>
      <c r="S291" s="1">
        <v>138.19999999999999</v>
      </c>
      <c r="T291" s="1">
        <v>151.80000000000001</v>
      </c>
      <c r="U291" s="1">
        <v>159.80000000000001</v>
      </c>
      <c r="V291" s="1">
        <v>149.1</v>
      </c>
      <c r="W291" s="1">
        <v>146.5</v>
      </c>
      <c r="X291" s="1">
        <v>156.30000000000001</v>
      </c>
      <c r="Y291" s="1">
        <v>140.5</v>
      </c>
      <c r="Z291" s="1">
        <v>147.30000000000001</v>
      </c>
      <c r="AA291" s="1">
        <v>156.6</v>
      </c>
      <c r="AB291" s="1">
        <v>156.69999999999999</v>
      </c>
      <c r="AC291" s="1">
        <v>149.30000000000001</v>
      </c>
      <c r="AD291" s="1">
        <v>156.5</v>
      </c>
    </row>
    <row r="292" spans="1:30" x14ac:dyDescent="0.3">
      <c r="A292" s="1" t="s">
        <v>34</v>
      </c>
      <c r="B292" s="2">
        <v>2021</v>
      </c>
      <c r="C292" s="1" t="s">
        <v>35</v>
      </c>
      <c r="D292" s="1">
        <v>144.30000000000001</v>
      </c>
      <c r="E292" s="1">
        <v>186.5</v>
      </c>
      <c r="F292" s="1">
        <v>168.7</v>
      </c>
      <c r="G292" s="1">
        <v>154.69999999999999</v>
      </c>
      <c r="H292" s="1">
        <v>158.69999999999999</v>
      </c>
      <c r="I292" s="1">
        <v>150.69999999999999</v>
      </c>
      <c r="J292" s="1">
        <v>160</v>
      </c>
      <c r="K292" s="1">
        <v>158.80000000000001</v>
      </c>
      <c r="L292" s="1">
        <v>112.8</v>
      </c>
      <c r="M292" s="1">
        <v>164.2</v>
      </c>
      <c r="N292" s="1">
        <v>155.5</v>
      </c>
      <c r="O292" s="1">
        <v>167.5</v>
      </c>
      <c r="P292" s="1">
        <v>156.9</v>
      </c>
      <c r="Q292" s="1">
        <v>188.3</v>
      </c>
      <c r="R292" s="1">
        <v>157.19999999999999</v>
      </c>
      <c r="S292" s="1">
        <v>147.4</v>
      </c>
      <c r="T292" s="1">
        <v>155.80000000000001</v>
      </c>
      <c r="U292" s="1">
        <v>159.80000000000001</v>
      </c>
      <c r="V292" s="1">
        <v>152.4</v>
      </c>
      <c r="W292" s="1">
        <v>150.9</v>
      </c>
      <c r="X292" s="1">
        <v>161.30000000000001</v>
      </c>
      <c r="Y292" s="1">
        <v>145.1</v>
      </c>
      <c r="Z292" s="1">
        <v>151.5</v>
      </c>
      <c r="AA292" s="1">
        <v>159.5</v>
      </c>
      <c r="AB292" s="1">
        <v>155.80000000000001</v>
      </c>
      <c r="AC292" s="1">
        <v>153.4</v>
      </c>
      <c r="AD292" s="1">
        <v>156.6</v>
      </c>
    </row>
    <row r="293" spans="1:30" x14ac:dyDescent="0.3">
      <c r="A293" s="1" t="s">
        <v>30</v>
      </c>
      <c r="B293" s="2">
        <v>2021</v>
      </c>
      <c r="C293" s="1" t="s">
        <v>36</v>
      </c>
      <c r="D293" s="1">
        <v>142.5</v>
      </c>
      <c r="E293" s="1">
        <v>189.4</v>
      </c>
      <c r="F293" s="1">
        <v>163.19999999999999</v>
      </c>
      <c r="G293" s="1">
        <v>154.5</v>
      </c>
      <c r="H293" s="1">
        <v>168.2</v>
      </c>
      <c r="I293" s="1">
        <v>150.5</v>
      </c>
      <c r="J293" s="1">
        <v>141</v>
      </c>
      <c r="K293" s="1">
        <v>159.19999999999999</v>
      </c>
      <c r="L293" s="1">
        <v>111.7</v>
      </c>
      <c r="M293" s="1">
        <v>164</v>
      </c>
      <c r="N293" s="1">
        <v>160.6</v>
      </c>
      <c r="O293" s="1">
        <v>166.4</v>
      </c>
      <c r="P293" s="1">
        <v>154.5</v>
      </c>
      <c r="Q293" s="1">
        <v>186.1</v>
      </c>
      <c r="R293" s="1">
        <v>159.6</v>
      </c>
      <c r="S293" s="1">
        <v>154.4</v>
      </c>
      <c r="T293" s="1">
        <v>158.9</v>
      </c>
      <c r="U293" s="1">
        <f>U294</f>
        <v>159.9</v>
      </c>
      <c r="V293" s="1">
        <v>156</v>
      </c>
      <c r="W293" s="1">
        <v>154.80000000000001</v>
      </c>
      <c r="X293" s="1">
        <v>164.6</v>
      </c>
      <c r="Y293" s="1">
        <v>151.30000000000001</v>
      </c>
      <c r="Z293" s="1">
        <v>157.80000000000001</v>
      </c>
      <c r="AA293" s="1">
        <v>163.80000000000001</v>
      </c>
      <c r="AB293" s="1">
        <v>153.1</v>
      </c>
      <c r="AC293" s="1">
        <v>157.30000000000001</v>
      </c>
      <c r="AD293" s="1">
        <v>156.69999999999999</v>
      </c>
    </row>
    <row r="294" spans="1:30" x14ac:dyDescent="0.3">
      <c r="A294" s="1" t="s">
        <v>33</v>
      </c>
      <c r="B294" s="2">
        <v>2021</v>
      </c>
      <c r="C294" s="1" t="s">
        <v>36</v>
      </c>
      <c r="D294" s="1">
        <v>147.5</v>
      </c>
      <c r="E294" s="1">
        <v>197.5</v>
      </c>
      <c r="F294" s="1">
        <v>164.7</v>
      </c>
      <c r="G294" s="1">
        <v>155.6</v>
      </c>
      <c r="H294" s="1">
        <v>156.4</v>
      </c>
      <c r="I294" s="1">
        <v>157.30000000000001</v>
      </c>
      <c r="J294" s="1">
        <v>166.1</v>
      </c>
      <c r="K294" s="1">
        <v>161.1</v>
      </c>
      <c r="L294" s="1">
        <v>114.3</v>
      </c>
      <c r="M294" s="1">
        <v>162.6</v>
      </c>
      <c r="N294" s="1">
        <v>150.69999999999999</v>
      </c>
      <c r="O294" s="1">
        <v>170.3</v>
      </c>
      <c r="P294" s="1">
        <v>160.4</v>
      </c>
      <c r="Q294" s="1">
        <v>193.5</v>
      </c>
      <c r="R294" s="1">
        <v>155.1</v>
      </c>
      <c r="S294" s="1">
        <v>138.69999999999999</v>
      </c>
      <c r="T294" s="1">
        <v>152.6</v>
      </c>
      <c r="U294" s="1">
        <v>159.9</v>
      </c>
      <c r="V294" s="1">
        <v>154.80000000000001</v>
      </c>
      <c r="W294" s="1">
        <v>147.19999999999999</v>
      </c>
      <c r="X294" s="1">
        <v>156.9</v>
      </c>
      <c r="Y294" s="1">
        <v>141.69999999999999</v>
      </c>
      <c r="Z294" s="1">
        <v>148.6</v>
      </c>
      <c r="AA294" s="1">
        <v>157.6</v>
      </c>
      <c r="AB294" s="1">
        <v>154.9</v>
      </c>
      <c r="AC294" s="1">
        <v>150</v>
      </c>
      <c r="AD294" s="1">
        <v>156.9</v>
      </c>
    </row>
    <row r="295" spans="1:30" x14ac:dyDescent="0.3">
      <c r="A295" s="1" t="s">
        <v>34</v>
      </c>
      <c r="B295" s="2">
        <v>2021</v>
      </c>
      <c r="C295" s="1" t="s">
        <v>36</v>
      </c>
      <c r="D295" s="1">
        <v>144.1</v>
      </c>
      <c r="E295" s="1">
        <v>192.2</v>
      </c>
      <c r="F295" s="1">
        <v>163.80000000000001</v>
      </c>
      <c r="G295" s="1">
        <v>154.9</v>
      </c>
      <c r="H295" s="1">
        <v>163.9</v>
      </c>
      <c r="I295" s="1">
        <v>153.69999999999999</v>
      </c>
      <c r="J295" s="1">
        <v>149.5</v>
      </c>
      <c r="K295" s="1">
        <v>159.80000000000001</v>
      </c>
      <c r="L295" s="1">
        <v>112.6</v>
      </c>
      <c r="M295" s="1">
        <v>163.5</v>
      </c>
      <c r="N295" s="1">
        <v>156.5</v>
      </c>
      <c r="O295" s="1">
        <v>168.2</v>
      </c>
      <c r="P295" s="1">
        <v>156.69999999999999</v>
      </c>
      <c r="Q295" s="1">
        <v>188.1</v>
      </c>
      <c r="R295" s="1">
        <v>157.80000000000001</v>
      </c>
      <c r="S295" s="1">
        <v>147.9</v>
      </c>
      <c r="T295" s="1">
        <v>156.4</v>
      </c>
      <c r="U295" s="1">
        <v>159.9</v>
      </c>
      <c r="V295" s="1">
        <v>155.5</v>
      </c>
      <c r="W295" s="1">
        <v>151.19999999999999</v>
      </c>
      <c r="X295" s="1">
        <v>161.69999999999999</v>
      </c>
      <c r="Y295" s="1">
        <v>146.19999999999999</v>
      </c>
      <c r="Z295" s="1">
        <v>152.6</v>
      </c>
      <c r="AA295" s="1">
        <v>160.19999999999999</v>
      </c>
      <c r="AB295" s="1">
        <v>153.80000000000001</v>
      </c>
      <c r="AC295" s="1">
        <v>153.80000000000001</v>
      </c>
      <c r="AD295" s="1">
        <v>156.80000000000001</v>
      </c>
    </row>
    <row r="296" spans="1:30" x14ac:dyDescent="0.3">
      <c r="A296" s="1" t="s">
        <v>30</v>
      </c>
      <c r="B296" s="2">
        <v>2021</v>
      </c>
      <c r="C296" s="1" t="s">
        <v>37</v>
      </c>
      <c r="D296" s="1">
        <v>142.69999999999999</v>
      </c>
      <c r="E296" s="1">
        <v>195.5</v>
      </c>
      <c r="F296" s="1">
        <v>163.4</v>
      </c>
      <c r="G296" s="1">
        <v>155</v>
      </c>
      <c r="H296" s="1">
        <v>175.2</v>
      </c>
      <c r="I296" s="1">
        <v>160.6</v>
      </c>
      <c r="J296" s="1">
        <v>135.1</v>
      </c>
      <c r="K296" s="1">
        <v>161.1</v>
      </c>
      <c r="L296" s="1">
        <v>112.2</v>
      </c>
      <c r="M296" s="1">
        <v>164.4</v>
      </c>
      <c r="N296" s="1">
        <v>161.9</v>
      </c>
      <c r="O296" s="1">
        <v>166.8</v>
      </c>
      <c r="P296" s="1">
        <v>155.6</v>
      </c>
      <c r="Q296" s="1">
        <v>186.8</v>
      </c>
      <c r="R296" s="1">
        <v>160.69999999999999</v>
      </c>
      <c r="S296" s="1">
        <v>155.1</v>
      </c>
      <c r="T296" s="1">
        <v>159.9</v>
      </c>
      <c r="U296" s="1">
        <f>U297</f>
        <v>161.4</v>
      </c>
      <c r="V296" s="1">
        <v>156</v>
      </c>
      <c r="W296" s="1">
        <v>155.5</v>
      </c>
      <c r="X296" s="1">
        <v>165.3</v>
      </c>
      <c r="Y296" s="1">
        <v>151.69999999999999</v>
      </c>
      <c r="Z296" s="1">
        <v>158.6</v>
      </c>
      <c r="AA296" s="1">
        <v>164.1</v>
      </c>
      <c r="AB296" s="1">
        <v>154.6</v>
      </c>
      <c r="AC296" s="1">
        <v>158</v>
      </c>
      <c r="AD296" s="1">
        <v>157.6</v>
      </c>
    </row>
    <row r="297" spans="1:30" x14ac:dyDescent="0.3">
      <c r="A297" s="1" t="s">
        <v>33</v>
      </c>
      <c r="B297" s="2">
        <v>2021</v>
      </c>
      <c r="C297" s="1" t="s">
        <v>37</v>
      </c>
      <c r="D297" s="1">
        <v>147.6</v>
      </c>
      <c r="E297" s="1">
        <v>202.5</v>
      </c>
      <c r="F297" s="1">
        <v>166.4</v>
      </c>
      <c r="G297" s="1">
        <v>156</v>
      </c>
      <c r="H297" s="1">
        <v>161.4</v>
      </c>
      <c r="I297" s="1">
        <v>168.8</v>
      </c>
      <c r="J297" s="1">
        <v>161.6</v>
      </c>
      <c r="K297" s="1">
        <v>162.80000000000001</v>
      </c>
      <c r="L297" s="1">
        <v>114.8</v>
      </c>
      <c r="M297" s="1">
        <v>162.80000000000001</v>
      </c>
      <c r="N297" s="1">
        <v>151.5</v>
      </c>
      <c r="O297" s="1">
        <v>171.4</v>
      </c>
      <c r="P297" s="1">
        <v>162</v>
      </c>
      <c r="Q297" s="1">
        <v>194.4</v>
      </c>
      <c r="R297" s="1">
        <v>155.9</v>
      </c>
      <c r="S297" s="1">
        <v>139.30000000000001</v>
      </c>
      <c r="T297" s="1">
        <v>153.4</v>
      </c>
      <c r="U297" s="1">
        <v>161.4</v>
      </c>
      <c r="V297" s="1">
        <v>154.9</v>
      </c>
      <c r="W297" s="1">
        <v>147.6</v>
      </c>
      <c r="X297" s="1">
        <v>157.5</v>
      </c>
      <c r="Y297" s="1">
        <v>142.1</v>
      </c>
      <c r="Z297" s="1">
        <v>149.1</v>
      </c>
      <c r="AA297" s="1">
        <v>157.6</v>
      </c>
      <c r="AB297" s="1">
        <v>156.6</v>
      </c>
      <c r="AC297" s="1">
        <v>150.5</v>
      </c>
      <c r="AD297" s="1">
        <v>158</v>
      </c>
    </row>
    <row r="298" spans="1:30" x14ac:dyDescent="0.3">
      <c r="A298" s="1" t="s">
        <v>34</v>
      </c>
      <c r="B298" s="2">
        <v>2021</v>
      </c>
      <c r="C298" s="1" t="s">
        <v>37</v>
      </c>
      <c r="D298" s="1">
        <v>144.30000000000001</v>
      </c>
      <c r="E298" s="1">
        <v>198</v>
      </c>
      <c r="F298" s="1">
        <v>164.6</v>
      </c>
      <c r="G298" s="1">
        <v>155.4</v>
      </c>
      <c r="H298" s="1">
        <v>170.1</v>
      </c>
      <c r="I298" s="1">
        <v>164.4</v>
      </c>
      <c r="J298" s="1">
        <v>144.1</v>
      </c>
      <c r="K298" s="1">
        <v>161.69999999999999</v>
      </c>
      <c r="L298" s="1">
        <v>113.1</v>
      </c>
      <c r="M298" s="1">
        <v>163.9</v>
      </c>
      <c r="N298" s="1">
        <v>157.6</v>
      </c>
      <c r="O298" s="1">
        <v>168.9</v>
      </c>
      <c r="P298" s="1">
        <v>158</v>
      </c>
      <c r="Q298" s="1">
        <v>188.8</v>
      </c>
      <c r="R298" s="1">
        <v>158.80000000000001</v>
      </c>
      <c r="S298" s="1">
        <v>148.5</v>
      </c>
      <c r="T298" s="1">
        <v>157.30000000000001</v>
      </c>
      <c r="U298" s="1">
        <v>161.4</v>
      </c>
      <c r="V298" s="1">
        <v>155.6</v>
      </c>
      <c r="W298" s="1">
        <v>151.80000000000001</v>
      </c>
      <c r="X298" s="1">
        <v>162.30000000000001</v>
      </c>
      <c r="Y298" s="1">
        <v>146.6</v>
      </c>
      <c r="Z298" s="1">
        <v>153.19999999999999</v>
      </c>
      <c r="AA298" s="1">
        <v>160.30000000000001</v>
      </c>
      <c r="AB298" s="1">
        <v>155.4</v>
      </c>
      <c r="AC298" s="1">
        <v>154.4</v>
      </c>
      <c r="AD298" s="1">
        <v>157.80000000000001</v>
      </c>
    </row>
    <row r="299" spans="1:30" x14ac:dyDescent="0.3">
      <c r="A299" s="1" t="s">
        <v>30</v>
      </c>
      <c r="B299" s="2">
        <v>2021</v>
      </c>
      <c r="C299" s="1" t="s">
        <v>38</v>
      </c>
      <c r="D299" s="1">
        <v>145.1</v>
      </c>
      <c r="E299" s="1">
        <v>198.5</v>
      </c>
      <c r="F299" s="1">
        <v>168.6</v>
      </c>
      <c r="G299" s="1">
        <v>155.80000000000001</v>
      </c>
      <c r="H299" s="1">
        <v>184.4</v>
      </c>
      <c r="I299" s="1">
        <v>162.30000000000001</v>
      </c>
      <c r="J299" s="1">
        <v>138.4</v>
      </c>
      <c r="K299" s="1">
        <v>165.1</v>
      </c>
      <c r="L299" s="1">
        <v>114.3</v>
      </c>
      <c r="M299" s="1">
        <v>169.7</v>
      </c>
      <c r="N299" s="1">
        <v>164.6</v>
      </c>
      <c r="O299" s="1">
        <v>169.8</v>
      </c>
      <c r="P299" s="1">
        <v>158.69999999999999</v>
      </c>
      <c r="Q299" s="1">
        <v>189.6</v>
      </c>
      <c r="R299" s="1">
        <v>165.3</v>
      </c>
      <c r="S299" s="1">
        <v>160.6</v>
      </c>
      <c r="T299" s="1">
        <v>164.5</v>
      </c>
      <c r="U299" s="1">
        <f>U300</f>
        <v>161.6</v>
      </c>
      <c r="V299" s="1">
        <v>161.69999999999999</v>
      </c>
      <c r="W299" s="1">
        <v>158.80000000000001</v>
      </c>
      <c r="X299" s="1">
        <v>169.1</v>
      </c>
      <c r="Y299" s="1">
        <v>153.19999999999999</v>
      </c>
      <c r="Z299" s="1">
        <v>160</v>
      </c>
      <c r="AA299" s="1">
        <v>167.6</v>
      </c>
      <c r="AB299" s="1">
        <v>159.30000000000001</v>
      </c>
      <c r="AC299" s="1">
        <v>161.1</v>
      </c>
      <c r="AD299" s="1">
        <v>161.1</v>
      </c>
    </row>
    <row r="300" spans="1:30" x14ac:dyDescent="0.3">
      <c r="A300" s="1" t="s">
        <v>33</v>
      </c>
      <c r="B300" s="2">
        <v>2021</v>
      </c>
      <c r="C300" s="1" t="s">
        <v>38</v>
      </c>
      <c r="D300" s="1">
        <v>148.80000000000001</v>
      </c>
      <c r="E300" s="1">
        <v>204.3</v>
      </c>
      <c r="F300" s="1">
        <v>173</v>
      </c>
      <c r="G300" s="1">
        <v>156.5</v>
      </c>
      <c r="H300" s="1">
        <v>168.8</v>
      </c>
      <c r="I300" s="1">
        <v>172.5</v>
      </c>
      <c r="J300" s="1">
        <v>166.5</v>
      </c>
      <c r="K300" s="1">
        <v>165.9</v>
      </c>
      <c r="L300" s="1">
        <v>115.9</v>
      </c>
      <c r="M300" s="1">
        <v>165.2</v>
      </c>
      <c r="N300" s="1">
        <v>152</v>
      </c>
      <c r="O300" s="1">
        <v>171.1</v>
      </c>
      <c r="P300" s="1">
        <v>164.2</v>
      </c>
      <c r="Q300" s="1">
        <v>198.2</v>
      </c>
      <c r="R300" s="1">
        <v>156.5</v>
      </c>
      <c r="S300" s="1">
        <v>140.19999999999999</v>
      </c>
      <c r="T300" s="1">
        <v>154.1</v>
      </c>
      <c r="U300" s="1">
        <v>161.6</v>
      </c>
      <c r="V300" s="1">
        <v>155.5</v>
      </c>
      <c r="W300" s="1">
        <v>150.1</v>
      </c>
      <c r="X300" s="1">
        <v>160.4</v>
      </c>
      <c r="Y300" s="1">
        <v>145</v>
      </c>
      <c r="Z300" s="1">
        <v>152.6</v>
      </c>
      <c r="AA300" s="1">
        <v>156.6</v>
      </c>
      <c r="AB300" s="1">
        <v>157.5</v>
      </c>
      <c r="AC300" s="1">
        <v>152.30000000000001</v>
      </c>
      <c r="AD300" s="1">
        <v>159.5</v>
      </c>
    </row>
    <row r="301" spans="1:30" x14ac:dyDescent="0.3">
      <c r="A301" s="1" t="s">
        <v>34</v>
      </c>
      <c r="B301" s="2">
        <v>2021</v>
      </c>
      <c r="C301" s="1" t="s">
        <v>38</v>
      </c>
      <c r="D301" s="1">
        <v>146.30000000000001</v>
      </c>
      <c r="E301" s="1">
        <v>200.5</v>
      </c>
      <c r="F301" s="1">
        <v>170.3</v>
      </c>
      <c r="G301" s="1">
        <v>156.1</v>
      </c>
      <c r="H301" s="1">
        <v>178.7</v>
      </c>
      <c r="I301" s="1">
        <v>167.1</v>
      </c>
      <c r="J301" s="1">
        <v>147.9</v>
      </c>
      <c r="K301" s="1">
        <v>165.4</v>
      </c>
      <c r="L301" s="1">
        <v>114.8</v>
      </c>
      <c r="M301" s="1">
        <v>168.2</v>
      </c>
      <c r="N301" s="1">
        <v>159.30000000000001</v>
      </c>
      <c r="O301" s="1">
        <v>170.4</v>
      </c>
      <c r="P301" s="1">
        <v>160.69999999999999</v>
      </c>
      <c r="Q301" s="1">
        <v>191.9</v>
      </c>
      <c r="R301" s="1">
        <v>161.80000000000001</v>
      </c>
      <c r="S301" s="1">
        <v>152.1</v>
      </c>
      <c r="T301" s="1">
        <v>160.4</v>
      </c>
      <c r="U301" s="1">
        <v>161.6</v>
      </c>
      <c r="V301" s="1">
        <v>159.4</v>
      </c>
      <c r="W301" s="1">
        <v>154.69999999999999</v>
      </c>
      <c r="X301" s="1">
        <v>165.8</v>
      </c>
      <c r="Y301" s="1">
        <v>148.9</v>
      </c>
      <c r="Z301" s="1">
        <v>155.80000000000001</v>
      </c>
      <c r="AA301" s="1">
        <v>161.19999999999999</v>
      </c>
      <c r="AB301" s="1">
        <v>158.6</v>
      </c>
      <c r="AC301" s="1">
        <v>156.80000000000001</v>
      </c>
      <c r="AD301" s="1">
        <v>160.4</v>
      </c>
    </row>
    <row r="302" spans="1:30" x14ac:dyDescent="0.3">
      <c r="A302" s="1" t="s">
        <v>30</v>
      </c>
      <c r="B302" s="2">
        <v>2021</v>
      </c>
      <c r="C302" s="1" t="s">
        <v>39</v>
      </c>
      <c r="D302" s="1">
        <v>145.6</v>
      </c>
      <c r="E302" s="1">
        <v>200.1</v>
      </c>
      <c r="F302" s="1">
        <v>179.3</v>
      </c>
      <c r="G302" s="1">
        <v>156.1</v>
      </c>
      <c r="H302" s="1">
        <v>190.4</v>
      </c>
      <c r="I302" s="1">
        <v>158.6</v>
      </c>
      <c r="J302" s="1">
        <v>144.69999999999999</v>
      </c>
      <c r="K302" s="1">
        <v>165.5</v>
      </c>
      <c r="L302" s="1">
        <v>114.6</v>
      </c>
      <c r="M302" s="1">
        <v>170</v>
      </c>
      <c r="N302" s="1">
        <v>165.5</v>
      </c>
      <c r="O302" s="1">
        <v>171.7</v>
      </c>
      <c r="P302" s="1">
        <v>160.5</v>
      </c>
      <c r="Q302" s="1">
        <v>189.1</v>
      </c>
      <c r="R302" s="1">
        <v>165.3</v>
      </c>
      <c r="S302" s="1">
        <v>159.9</v>
      </c>
      <c r="T302" s="1">
        <v>164.6</v>
      </c>
      <c r="U302" s="1">
        <f>U303</f>
        <v>160.5</v>
      </c>
      <c r="V302" s="1">
        <v>162.1</v>
      </c>
      <c r="W302" s="1">
        <v>159.19999999999999</v>
      </c>
      <c r="X302" s="1">
        <v>169.7</v>
      </c>
      <c r="Y302" s="1">
        <v>154.19999999999999</v>
      </c>
      <c r="Z302" s="1">
        <v>160.4</v>
      </c>
      <c r="AA302" s="1">
        <v>166.8</v>
      </c>
      <c r="AB302" s="1">
        <v>159.4</v>
      </c>
      <c r="AC302" s="1">
        <v>161.5</v>
      </c>
      <c r="AD302" s="1">
        <v>162.1</v>
      </c>
    </row>
    <row r="303" spans="1:30" x14ac:dyDescent="0.3">
      <c r="A303" s="1" t="s">
        <v>33</v>
      </c>
      <c r="B303" s="2">
        <v>2021</v>
      </c>
      <c r="C303" s="1" t="s">
        <v>39</v>
      </c>
      <c r="D303" s="1">
        <v>149.19999999999999</v>
      </c>
      <c r="E303" s="1">
        <v>205.5</v>
      </c>
      <c r="F303" s="1">
        <v>182.8</v>
      </c>
      <c r="G303" s="1">
        <v>156.5</v>
      </c>
      <c r="H303" s="1">
        <v>172.2</v>
      </c>
      <c r="I303" s="1">
        <v>171.5</v>
      </c>
      <c r="J303" s="1">
        <v>176.2</v>
      </c>
      <c r="K303" s="1">
        <v>166.9</v>
      </c>
      <c r="L303" s="1">
        <v>116.1</v>
      </c>
      <c r="M303" s="1">
        <v>165.5</v>
      </c>
      <c r="N303" s="1">
        <v>152.30000000000001</v>
      </c>
      <c r="O303" s="1">
        <v>173.3</v>
      </c>
      <c r="P303" s="1">
        <v>166.2</v>
      </c>
      <c r="Q303" s="1">
        <v>195.6</v>
      </c>
      <c r="R303" s="1">
        <v>157.30000000000001</v>
      </c>
      <c r="S303" s="1">
        <v>140.5</v>
      </c>
      <c r="T303" s="1">
        <v>154.80000000000001</v>
      </c>
      <c r="U303" s="1">
        <v>160.5</v>
      </c>
      <c r="V303" s="1">
        <v>156.1</v>
      </c>
      <c r="W303" s="1">
        <v>149.80000000000001</v>
      </c>
      <c r="X303" s="1">
        <v>160.80000000000001</v>
      </c>
      <c r="Y303" s="1">
        <v>147.5</v>
      </c>
      <c r="Z303" s="1">
        <v>150.69999999999999</v>
      </c>
      <c r="AA303" s="1">
        <v>158.1</v>
      </c>
      <c r="AB303" s="1">
        <v>158</v>
      </c>
      <c r="AC303" s="1">
        <v>153.4</v>
      </c>
      <c r="AD303" s="1">
        <v>160.4</v>
      </c>
    </row>
    <row r="304" spans="1:30" x14ac:dyDescent="0.3">
      <c r="A304" s="1" t="s">
        <v>34</v>
      </c>
      <c r="B304" s="2">
        <v>2021</v>
      </c>
      <c r="C304" s="1" t="s">
        <v>39</v>
      </c>
      <c r="D304" s="1">
        <v>146.69999999999999</v>
      </c>
      <c r="E304" s="1">
        <v>202</v>
      </c>
      <c r="F304" s="1">
        <v>180.7</v>
      </c>
      <c r="G304" s="1">
        <v>156.19999999999999</v>
      </c>
      <c r="H304" s="1">
        <v>183.7</v>
      </c>
      <c r="I304" s="1">
        <v>164.6</v>
      </c>
      <c r="J304" s="1">
        <v>155.4</v>
      </c>
      <c r="K304" s="1">
        <v>166</v>
      </c>
      <c r="L304" s="1">
        <v>115.1</v>
      </c>
      <c r="M304" s="1">
        <v>168.5</v>
      </c>
      <c r="N304" s="1">
        <v>160</v>
      </c>
      <c r="O304" s="1">
        <v>172.4</v>
      </c>
      <c r="P304" s="1">
        <v>162.6</v>
      </c>
      <c r="Q304" s="1">
        <v>190.8</v>
      </c>
      <c r="R304" s="1">
        <v>162.19999999999999</v>
      </c>
      <c r="S304" s="1">
        <v>151.80000000000001</v>
      </c>
      <c r="T304" s="1">
        <v>160.69999999999999</v>
      </c>
      <c r="U304" s="1">
        <v>160.5</v>
      </c>
      <c r="V304" s="1">
        <v>159.80000000000001</v>
      </c>
      <c r="W304" s="1">
        <v>154.80000000000001</v>
      </c>
      <c r="X304" s="1">
        <v>166.3</v>
      </c>
      <c r="Y304" s="1">
        <v>150.69999999999999</v>
      </c>
      <c r="Z304" s="1">
        <v>154.9</v>
      </c>
      <c r="AA304" s="1">
        <v>161.69999999999999</v>
      </c>
      <c r="AB304" s="1">
        <v>158.80000000000001</v>
      </c>
      <c r="AC304" s="1">
        <v>157.6</v>
      </c>
      <c r="AD304" s="1">
        <v>161.30000000000001</v>
      </c>
    </row>
    <row r="305" spans="1:30" x14ac:dyDescent="0.3">
      <c r="A305" s="1" t="s">
        <v>30</v>
      </c>
      <c r="B305" s="2">
        <v>2021</v>
      </c>
      <c r="C305" s="1" t="s">
        <v>40</v>
      </c>
      <c r="D305" s="1">
        <v>145.1</v>
      </c>
      <c r="E305" s="1">
        <v>204.5</v>
      </c>
      <c r="F305" s="1">
        <v>180.4</v>
      </c>
      <c r="G305" s="1">
        <v>157.1</v>
      </c>
      <c r="H305" s="1">
        <v>188.7</v>
      </c>
      <c r="I305" s="1">
        <v>157.69999999999999</v>
      </c>
      <c r="J305" s="1">
        <v>152.80000000000001</v>
      </c>
      <c r="K305" s="1">
        <v>163.6</v>
      </c>
      <c r="L305" s="1">
        <v>113.9</v>
      </c>
      <c r="M305" s="1">
        <v>169.7</v>
      </c>
      <c r="N305" s="1">
        <v>166.2</v>
      </c>
      <c r="O305" s="1">
        <v>171</v>
      </c>
      <c r="P305" s="1">
        <v>161.69999999999999</v>
      </c>
      <c r="Q305" s="1">
        <v>189.7</v>
      </c>
      <c r="R305" s="1">
        <v>166</v>
      </c>
      <c r="S305" s="1">
        <v>161.1</v>
      </c>
      <c r="T305" s="1">
        <v>165.3</v>
      </c>
      <c r="U305" s="1">
        <f>U306</f>
        <v>161.5</v>
      </c>
      <c r="V305" s="1">
        <v>162.5</v>
      </c>
      <c r="W305" s="1">
        <v>160.30000000000001</v>
      </c>
      <c r="X305" s="1">
        <v>170.4</v>
      </c>
      <c r="Y305" s="1">
        <v>157.1</v>
      </c>
      <c r="Z305" s="1">
        <v>160.69999999999999</v>
      </c>
      <c r="AA305" s="1">
        <v>167.2</v>
      </c>
      <c r="AB305" s="1">
        <v>160.4</v>
      </c>
      <c r="AC305" s="1">
        <v>162.80000000000001</v>
      </c>
      <c r="AD305" s="1">
        <v>163.19999999999999</v>
      </c>
    </row>
    <row r="306" spans="1:30" x14ac:dyDescent="0.3">
      <c r="A306" s="1" t="s">
        <v>33</v>
      </c>
      <c r="B306" s="2">
        <v>2021</v>
      </c>
      <c r="C306" s="1" t="s">
        <v>40</v>
      </c>
      <c r="D306" s="1">
        <v>149.1</v>
      </c>
      <c r="E306" s="1">
        <v>210.9</v>
      </c>
      <c r="F306" s="1">
        <v>185</v>
      </c>
      <c r="G306" s="1">
        <v>158.19999999999999</v>
      </c>
      <c r="H306" s="1">
        <v>170.6</v>
      </c>
      <c r="I306" s="1">
        <v>170.9</v>
      </c>
      <c r="J306" s="1">
        <v>186.4</v>
      </c>
      <c r="K306" s="1">
        <v>164.7</v>
      </c>
      <c r="L306" s="1">
        <v>115.7</v>
      </c>
      <c r="M306" s="1">
        <v>165.5</v>
      </c>
      <c r="N306" s="1">
        <v>153.4</v>
      </c>
      <c r="O306" s="1">
        <v>173.5</v>
      </c>
      <c r="P306" s="1">
        <v>167.9</v>
      </c>
      <c r="Q306" s="1">
        <v>195.5</v>
      </c>
      <c r="R306" s="1">
        <v>157.9</v>
      </c>
      <c r="S306" s="1">
        <v>141.9</v>
      </c>
      <c r="T306" s="1">
        <v>155.5</v>
      </c>
      <c r="U306" s="1">
        <v>161.5</v>
      </c>
      <c r="V306" s="1">
        <v>157.69999999999999</v>
      </c>
      <c r="W306" s="1">
        <v>150.69999999999999</v>
      </c>
      <c r="X306" s="1">
        <v>161.5</v>
      </c>
      <c r="Y306" s="1">
        <v>149.5</v>
      </c>
      <c r="Z306" s="1">
        <v>151.19999999999999</v>
      </c>
      <c r="AA306" s="1">
        <v>160.30000000000001</v>
      </c>
      <c r="AB306" s="1">
        <v>159.6</v>
      </c>
      <c r="AC306" s="1">
        <v>155</v>
      </c>
      <c r="AD306" s="1">
        <v>161.80000000000001</v>
      </c>
    </row>
    <row r="307" spans="1:30" x14ac:dyDescent="0.3">
      <c r="A307" s="1" t="s">
        <v>34</v>
      </c>
      <c r="B307" s="2">
        <v>2021</v>
      </c>
      <c r="C307" s="1" t="s">
        <v>40</v>
      </c>
      <c r="D307" s="1">
        <v>146.4</v>
      </c>
      <c r="E307" s="1">
        <v>206.8</v>
      </c>
      <c r="F307" s="1">
        <v>182.2</v>
      </c>
      <c r="G307" s="1">
        <v>157.5</v>
      </c>
      <c r="H307" s="1">
        <v>182.1</v>
      </c>
      <c r="I307" s="1">
        <v>163.9</v>
      </c>
      <c r="J307" s="1">
        <v>164.2</v>
      </c>
      <c r="K307" s="1">
        <v>164</v>
      </c>
      <c r="L307" s="1">
        <v>114.5</v>
      </c>
      <c r="M307" s="1">
        <v>168.3</v>
      </c>
      <c r="N307" s="1">
        <v>160.9</v>
      </c>
      <c r="O307" s="1">
        <v>172.2</v>
      </c>
      <c r="P307" s="1">
        <v>164</v>
      </c>
      <c r="Q307" s="1">
        <v>191.2</v>
      </c>
      <c r="R307" s="1">
        <v>162.80000000000001</v>
      </c>
      <c r="S307" s="1">
        <v>153.1</v>
      </c>
      <c r="T307" s="1">
        <v>161.4</v>
      </c>
      <c r="U307" s="1">
        <v>161.5</v>
      </c>
      <c r="V307" s="1">
        <v>160.69999999999999</v>
      </c>
      <c r="W307" s="1">
        <v>155.80000000000001</v>
      </c>
      <c r="X307" s="1">
        <v>167</v>
      </c>
      <c r="Y307" s="1">
        <v>153.1</v>
      </c>
      <c r="Z307" s="1">
        <v>155.30000000000001</v>
      </c>
      <c r="AA307" s="1">
        <v>163.19999999999999</v>
      </c>
      <c r="AB307" s="1">
        <v>160.1</v>
      </c>
      <c r="AC307" s="1">
        <v>159</v>
      </c>
      <c r="AD307" s="1">
        <v>162.5</v>
      </c>
    </row>
    <row r="308" spans="1:30" x14ac:dyDescent="0.3">
      <c r="A308" s="1" t="s">
        <v>30</v>
      </c>
      <c r="B308" s="2">
        <v>2021</v>
      </c>
      <c r="C308" s="1" t="s">
        <v>41</v>
      </c>
      <c r="D308" s="1">
        <v>144.9</v>
      </c>
      <c r="E308" s="1">
        <v>202.3</v>
      </c>
      <c r="F308" s="1">
        <v>176.5</v>
      </c>
      <c r="G308" s="1">
        <v>157.5</v>
      </c>
      <c r="H308" s="1">
        <v>190.9</v>
      </c>
      <c r="I308" s="1">
        <v>155.69999999999999</v>
      </c>
      <c r="J308" s="1">
        <v>153.9</v>
      </c>
      <c r="K308" s="1">
        <v>162.80000000000001</v>
      </c>
      <c r="L308" s="1">
        <v>115.2</v>
      </c>
      <c r="M308" s="1">
        <v>169.8</v>
      </c>
      <c r="N308" s="1">
        <v>167.6</v>
      </c>
      <c r="O308" s="1">
        <v>171.9</v>
      </c>
      <c r="P308" s="1">
        <v>161.80000000000001</v>
      </c>
      <c r="Q308" s="1">
        <v>190.2</v>
      </c>
      <c r="R308" s="1">
        <v>167</v>
      </c>
      <c r="S308" s="1">
        <v>162.6</v>
      </c>
      <c r="T308" s="1">
        <v>166.3</v>
      </c>
      <c r="U308" s="1">
        <f>U309</f>
        <v>162.1</v>
      </c>
      <c r="V308" s="1">
        <v>163.1</v>
      </c>
      <c r="W308" s="1">
        <v>160.9</v>
      </c>
      <c r="X308" s="1">
        <v>171.1</v>
      </c>
      <c r="Y308" s="1">
        <v>157.69999999999999</v>
      </c>
      <c r="Z308" s="1">
        <v>161.1</v>
      </c>
      <c r="AA308" s="1">
        <v>167.5</v>
      </c>
      <c r="AB308" s="1">
        <v>160.30000000000001</v>
      </c>
      <c r="AC308" s="1">
        <v>163.30000000000001</v>
      </c>
      <c r="AD308" s="1">
        <v>163.6</v>
      </c>
    </row>
    <row r="309" spans="1:30" x14ac:dyDescent="0.3">
      <c r="A309" s="1" t="s">
        <v>33</v>
      </c>
      <c r="B309" s="2">
        <v>2021</v>
      </c>
      <c r="C309" s="1" t="s">
        <v>41</v>
      </c>
      <c r="D309" s="1">
        <v>149.30000000000001</v>
      </c>
      <c r="E309" s="1">
        <v>207.4</v>
      </c>
      <c r="F309" s="1">
        <v>174.1</v>
      </c>
      <c r="G309" s="1">
        <v>159.19999999999999</v>
      </c>
      <c r="H309" s="1">
        <v>175</v>
      </c>
      <c r="I309" s="1">
        <v>161.30000000000001</v>
      </c>
      <c r="J309" s="1">
        <v>183.3</v>
      </c>
      <c r="K309" s="1">
        <v>164.5</v>
      </c>
      <c r="L309" s="1">
        <v>120.4</v>
      </c>
      <c r="M309" s="1">
        <v>166.2</v>
      </c>
      <c r="N309" s="1">
        <v>154.80000000000001</v>
      </c>
      <c r="O309" s="1">
        <v>175.1</v>
      </c>
      <c r="P309" s="1">
        <v>167.3</v>
      </c>
      <c r="Q309" s="1">
        <v>196.5</v>
      </c>
      <c r="R309" s="1">
        <v>159.80000000000001</v>
      </c>
      <c r="S309" s="1">
        <v>143.6</v>
      </c>
      <c r="T309" s="1">
        <v>157.30000000000001</v>
      </c>
      <c r="U309" s="1">
        <v>162.1</v>
      </c>
      <c r="V309" s="1">
        <v>160.69999999999999</v>
      </c>
      <c r="W309" s="1">
        <v>153.19999999999999</v>
      </c>
      <c r="X309" s="1">
        <v>162.80000000000001</v>
      </c>
      <c r="Y309" s="1">
        <v>150.4</v>
      </c>
      <c r="Z309" s="1">
        <v>153.69999999999999</v>
      </c>
      <c r="AA309" s="1">
        <v>160.4</v>
      </c>
      <c r="AB309" s="1">
        <v>159.6</v>
      </c>
      <c r="AC309" s="1">
        <v>156</v>
      </c>
      <c r="AD309" s="1">
        <v>162.30000000000001</v>
      </c>
    </row>
    <row r="310" spans="1:30" x14ac:dyDescent="0.3">
      <c r="A310" s="1" t="s">
        <v>34</v>
      </c>
      <c r="B310" s="2">
        <v>2021</v>
      </c>
      <c r="C310" s="1" t="s">
        <v>41</v>
      </c>
      <c r="D310" s="1">
        <v>146.6</v>
      </c>
      <c r="E310" s="1">
        <v>204</v>
      </c>
      <c r="F310" s="1">
        <v>172.8</v>
      </c>
      <c r="G310" s="1">
        <v>158.4</v>
      </c>
      <c r="H310" s="1">
        <v>188</v>
      </c>
      <c r="I310" s="1">
        <v>156.80000000000001</v>
      </c>
      <c r="J310" s="1">
        <v>162.19999999999999</v>
      </c>
      <c r="K310" s="1">
        <v>164.1</v>
      </c>
      <c r="L310" s="1">
        <v>119.7</v>
      </c>
      <c r="M310" s="1">
        <v>168.8</v>
      </c>
      <c r="N310" s="1">
        <v>162.69999999999999</v>
      </c>
      <c r="O310" s="1">
        <v>173.9</v>
      </c>
      <c r="P310" s="1">
        <v>164</v>
      </c>
      <c r="Q310" s="1">
        <v>192.1</v>
      </c>
      <c r="R310" s="1">
        <v>164.5</v>
      </c>
      <c r="S310" s="1">
        <v>155.30000000000001</v>
      </c>
      <c r="T310" s="1">
        <v>163.19999999999999</v>
      </c>
      <c r="U310" s="1">
        <v>162.1</v>
      </c>
      <c r="V310" s="1">
        <v>162.6</v>
      </c>
      <c r="W310" s="1">
        <v>157.5</v>
      </c>
      <c r="X310" s="1">
        <v>168.4</v>
      </c>
      <c r="Y310" s="1">
        <v>154</v>
      </c>
      <c r="Z310" s="1">
        <v>157.6</v>
      </c>
      <c r="AA310" s="1">
        <v>163.80000000000001</v>
      </c>
      <c r="AB310" s="1">
        <v>160</v>
      </c>
      <c r="AC310" s="1">
        <v>160</v>
      </c>
      <c r="AD310" s="1">
        <v>163.19999999999999</v>
      </c>
    </row>
    <row r="311" spans="1:30" x14ac:dyDescent="0.3">
      <c r="A311" s="1" t="s">
        <v>30</v>
      </c>
      <c r="B311" s="2">
        <v>2021</v>
      </c>
      <c r="C311" s="1" t="s">
        <v>42</v>
      </c>
      <c r="D311" s="1">
        <v>145.4</v>
      </c>
      <c r="E311" s="1">
        <v>202.1</v>
      </c>
      <c r="F311" s="1">
        <v>172</v>
      </c>
      <c r="G311" s="1">
        <v>158</v>
      </c>
      <c r="H311" s="1">
        <v>195.5</v>
      </c>
      <c r="I311" s="1">
        <v>152.69999999999999</v>
      </c>
      <c r="J311" s="1">
        <v>151.4</v>
      </c>
      <c r="K311" s="1">
        <v>163.9</v>
      </c>
      <c r="L311" s="1">
        <v>119.3</v>
      </c>
      <c r="M311" s="1">
        <v>170.1</v>
      </c>
      <c r="N311" s="1">
        <v>168.3</v>
      </c>
      <c r="O311" s="1">
        <v>172.8</v>
      </c>
      <c r="P311" s="1">
        <v>162.1</v>
      </c>
      <c r="Q311" s="1">
        <v>190.5</v>
      </c>
      <c r="R311" s="1">
        <v>167.7</v>
      </c>
      <c r="S311" s="1">
        <v>163.6</v>
      </c>
      <c r="T311" s="1">
        <v>167.1</v>
      </c>
      <c r="U311" s="1">
        <f>U312</f>
        <v>162.1</v>
      </c>
      <c r="V311" s="1">
        <v>163.69999999999999</v>
      </c>
      <c r="W311" s="1">
        <v>161.30000000000001</v>
      </c>
      <c r="X311" s="1">
        <v>171.9</v>
      </c>
      <c r="Y311" s="1">
        <v>157.80000000000001</v>
      </c>
      <c r="Z311" s="1">
        <v>162.69999999999999</v>
      </c>
      <c r="AA311" s="1">
        <v>168.5</v>
      </c>
      <c r="AB311" s="1">
        <v>160.19999999999999</v>
      </c>
      <c r="AC311" s="1">
        <v>163.80000000000001</v>
      </c>
      <c r="AD311" s="1">
        <v>164</v>
      </c>
    </row>
    <row r="312" spans="1:30" x14ac:dyDescent="0.3">
      <c r="A312" s="1" t="s">
        <v>33</v>
      </c>
      <c r="B312" s="2">
        <v>2021</v>
      </c>
      <c r="C312" s="1" t="s">
        <v>42</v>
      </c>
      <c r="D312" s="1">
        <v>149.30000000000001</v>
      </c>
      <c r="E312" s="1">
        <v>207.4</v>
      </c>
      <c r="F312" s="1">
        <v>174.1</v>
      </c>
      <c r="G312" s="1">
        <v>159.1</v>
      </c>
      <c r="H312" s="1">
        <v>175</v>
      </c>
      <c r="I312" s="1">
        <v>161.19999999999999</v>
      </c>
      <c r="J312" s="1">
        <v>183.5</v>
      </c>
      <c r="K312" s="1">
        <v>164.5</v>
      </c>
      <c r="L312" s="1">
        <v>120.4</v>
      </c>
      <c r="M312" s="1">
        <v>166.2</v>
      </c>
      <c r="N312" s="1">
        <v>154.80000000000001</v>
      </c>
      <c r="O312" s="1">
        <v>175.1</v>
      </c>
      <c r="P312" s="1">
        <v>167.3</v>
      </c>
      <c r="Q312" s="1">
        <v>196.5</v>
      </c>
      <c r="R312" s="1">
        <v>159.80000000000001</v>
      </c>
      <c r="S312" s="1">
        <v>143.6</v>
      </c>
      <c r="T312" s="1">
        <v>157.4</v>
      </c>
      <c r="U312" s="1">
        <v>162.1</v>
      </c>
      <c r="V312" s="1">
        <v>160.80000000000001</v>
      </c>
      <c r="W312" s="1">
        <v>153.30000000000001</v>
      </c>
      <c r="X312" s="1">
        <v>162.80000000000001</v>
      </c>
      <c r="Y312" s="1">
        <v>150.5</v>
      </c>
      <c r="Z312" s="1">
        <v>153.9</v>
      </c>
      <c r="AA312" s="1">
        <v>160.30000000000001</v>
      </c>
      <c r="AB312" s="1">
        <v>159.6</v>
      </c>
      <c r="AC312" s="1">
        <v>156</v>
      </c>
      <c r="AD312" s="1">
        <v>162.30000000000001</v>
      </c>
    </row>
    <row r="313" spans="1:30" x14ac:dyDescent="0.3">
      <c r="A313" s="1" t="s">
        <v>34</v>
      </c>
      <c r="B313" s="2">
        <v>2021</v>
      </c>
      <c r="C313" s="1" t="s">
        <v>42</v>
      </c>
      <c r="D313" s="1">
        <v>146.6</v>
      </c>
      <c r="E313" s="1">
        <v>204</v>
      </c>
      <c r="F313" s="1">
        <v>172.8</v>
      </c>
      <c r="G313" s="1">
        <v>158.4</v>
      </c>
      <c r="H313" s="1">
        <v>188</v>
      </c>
      <c r="I313" s="1">
        <v>156.69999999999999</v>
      </c>
      <c r="J313" s="1">
        <v>162.30000000000001</v>
      </c>
      <c r="K313" s="1">
        <v>164.1</v>
      </c>
      <c r="L313" s="1">
        <v>119.7</v>
      </c>
      <c r="M313" s="1">
        <v>168.8</v>
      </c>
      <c r="N313" s="1">
        <v>162.69999999999999</v>
      </c>
      <c r="O313" s="1">
        <v>173.9</v>
      </c>
      <c r="P313" s="1">
        <v>164</v>
      </c>
      <c r="Q313" s="1">
        <v>192.1</v>
      </c>
      <c r="R313" s="1">
        <v>164.6</v>
      </c>
      <c r="S313" s="1">
        <v>155.30000000000001</v>
      </c>
      <c r="T313" s="1">
        <v>163.30000000000001</v>
      </c>
      <c r="U313" s="1">
        <v>162.1</v>
      </c>
      <c r="V313" s="1">
        <v>162.6</v>
      </c>
      <c r="W313" s="1">
        <v>157.5</v>
      </c>
      <c r="X313" s="1">
        <v>168.4</v>
      </c>
      <c r="Y313" s="1">
        <v>154</v>
      </c>
      <c r="Z313" s="1">
        <v>157.69999999999999</v>
      </c>
      <c r="AA313" s="1">
        <v>163.69999999999999</v>
      </c>
      <c r="AB313" s="1">
        <v>160</v>
      </c>
      <c r="AC313" s="1">
        <v>160</v>
      </c>
      <c r="AD313" s="1">
        <v>163.19999999999999</v>
      </c>
    </row>
    <row r="314" spans="1:30" x14ac:dyDescent="0.3">
      <c r="A314" s="1" t="s">
        <v>30</v>
      </c>
      <c r="B314" s="2">
        <v>2021</v>
      </c>
      <c r="C314" s="1" t="s">
        <v>43</v>
      </c>
      <c r="D314" s="1">
        <v>146.1</v>
      </c>
      <c r="E314" s="1">
        <v>202.5</v>
      </c>
      <c r="F314" s="1">
        <v>170.1</v>
      </c>
      <c r="G314" s="1">
        <v>158.4</v>
      </c>
      <c r="H314" s="1">
        <v>198.8</v>
      </c>
      <c r="I314" s="1">
        <v>152.6</v>
      </c>
      <c r="J314" s="1">
        <v>170.4</v>
      </c>
      <c r="K314" s="1">
        <v>165.2</v>
      </c>
      <c r="L314" s="1">
        <v>121.6</v>
      </c>
      <c r="M314" s="1">
        <v>170.6</v>
      </c>
      <c r="N314" s="1">
        <v>168.8</v>
      </c>
      <c r="O314" s="1">
        <v>173.6</v>
      </c>
      <c r="P314" s="1">
        <v>165.5</v>
      </c>
      <c r="Q314" s="1">
        <v>191.2</v>
      </c>
      <c r="R314" s="1">
        <v>168.9</v>
      </c>
      <c r="S314" s="1">
        <v>164.8</v>
      </c>
      <c r="T314" s="1">
        <v>168.3</v>
      </c>
      <c r="U314" s="1">
        <f>U315</f>
        <v>163.6</v>
      </c>
      <c r="V314" s="1">
        <v>165.5</v>
      </c>
      <c r="W314" s="1">
        <v>162</v>
      </c>
      <c r="X314" s="1">
        <v>172.5</v>
      </c>
      <c r="Y314" s="1">
        <v>159.5</v>
      </c>
      <c r="Z314" s="1">
        <v>163.19999999999999</v>
      </c>
      <c r="AA314" s="1">
        <v>169</v>
      </c>
      <c r="AB314" s="1">
        <v>161.1</v>
      </c>
      <c r="AC314" s="1">
        <v>164.7</v>
      </c>
      <c r="AD314" s="1">
        <v>166.3</v>
      </c>
    </row>
    <row r="315" spans="1:30" x14ac:dyDescent="0.3">
      <c r="A315" s="1" t="s">
        <v>33</v>
      </c>
      <c r="B315" s="2">
        <v>2021</v>
      </c>
      <c r="C315" s="1" t="s">
        <v>43</v>
      </c>
      <c r="D315" s="1">
        <v>150.1</v>
      </c>
      <c r="E315" s="1">
        <v>208.4</v>
      </c>
      <c r="F315" s="1">
        <v>173</v>
      </c>
      <c r="G315" s="1">
        <v>159.19999999999999</v>
      </c>
      <c r="H315" s="1">
        <v>176.6</v>
      </c>
      <c r="I315" s="1">
        <v>159.30000000000001</v>
      </c>
      <c r="J315" s="1">
        <v>214.4</v>
      </c>
      <c r="K315" s="1">
        <v>165.3</v>
      </c>
      <c r="L315" s="1">
        <v>122.5</v>
      </c>
      <c r="M315" s="1">
        <v>166.8</v>
      </c>
      <c r="N315" s="1">
        <v>155.4</v>
      </c>
      <c r="O315" s="1">
        <v>175.9</v>
      </c>
      <c r="P315" s="1">
        <v>171.5</v>
      </c>
      <c r="Q315" s="1">
        <v>197</v>
      </c>
      <c r="R315" s="1">
        <v>160.80000000000001</v>
      </c>
      <c r="S315" s="1">
        <v>144.4</v>
      </c>
      <c r="T315" s="1">
        <v>158.30000000000001</v>
      </c>
      <c r="U315" s="1">
        <v>163.6</v>
      </c>
      <c r="V315" s="1">
        <v>162.19999999999999</v>
      </c>
      <c r="W315" s="1">
        <v>154.30000000000001</v>
      </c>
      <c r="X315" s="1">
        <v>163.5</v>
      </c>
      <c r="Y315" s="1">
        <v>152.19999999999999</v>
      </c>
      <c r="Z315" s="1">
        <v>155.1</v>
      </c>
      <c r="AA315" s="1">
        <v>160.30000000000001</v>
      </c>
      <c r="AB315" s="1">
        <v>160.30000000000001</v>
      </c>
      <c r="AC315" s="1">
        <v>157</v>
      </c>
      <c r="AD315" s="1">
        <v>164.6</v>
      </c>
    </row>
    <row r="316" spans="1:30" x14ac:dyDescent="0.3">
      <c r="A316" s="1" t="s">
        <v>34</v>
      </c>
      <c r="B316" s="2">
        <v>2021</v>
      </c>
      <c r="C316" s="1" t="s">
        <v>43</v>
      </c>
      <c r="D316" s="1">
        <v>147.4</v>
      </c>
      <c r="E316" s="1">
        <v>204.6</v>
      </c>
      <c r="F316" s="1">
        <v>171.2</v>
      </c>
      <c r="G316" s="1">
        <v>158.69999999999999</v>
      </c>
      <c r="H316" s="1">
        <v>190.6</v>
      </c>
      <c r="I316" s="1">
        <v>155.69999999999999</v>
      </c>
      <c r="J316" s="1">
        <v>185.3</v>
      </c>
      <c r="K316" s="1">
        <v>165.2</v>
      </c>
      <c r="L316" s="1">
        <v>121.9</v>
      </c>
      <c r="M316" s="1">
        <v>169.3</v>
      </c>
      <c r="N316" s="1">
        <v>163.19999999999999</v>
      </c>
      <c r="O316" s="1">
        <v>174.7</v>
      </c>
      <c r="P316" s="1">
        <v>167.7</v>
      </c>
      <c r="Q316" s="1">
        <v>192.7</v>
      </c>
      <c r="R316" s="1">
        <v>165.7</v>
      </c>
      <c r="S316" s="1">
        <v>156.30000000000001</v>
      </c>
      <c r="T316" s="1">
        <v>164.3</v>
      </c>
      <c r="U316" s="1">
        <v>163.6</v>
      </c>
      <c r="V316" s="1">
        <v>164.2</v>
      </c>
      <c r="W316" s="1">
        <v>158.4</v>
      </c>
      <c r="X316" s="1">
        <v>169.1</v>
      </c>
      <c r="Y316" s="1">
        <v>155.69999999999999</v>
      </c>
      <c r="Z316" s="1">
        <v>158.6</v>
      </c>
      <c r="AA316" s="1">
        <v>163.9</v>
      </c>
      <c r="AB316" s="1">
        <v>160.80000000000001</v>
      </c>
      <c r="AC316" s="1">
        <v>161</v>
      </c>
      <c r="AD316" s="1">
        <v>165.5</v>
      </c>
    </row>
    <row r="317" spans="1:30" x14ac:dyDescent="0.3">
      <c r="A317" s="1" t="s">
        <v>30</v>
      </c>
      <c r="B317" s="2">
        <v>2021</v>
      </c>
      <c r="C317" s="1" t="s">
        <v>45</v>
      </c>
      <c r="D317" s="1">
        <v>146.9</v>
      </c>
      <c r="E317" s="1">
        <v>199.8</v>
      </c>
      <c r="F317" s="1">
        <v>171.5</v>
      </c>
      <c r="G317" s="1">
        <v>159.1</v>
      </c>
      <c r="H317" s="1">
        <v>198.4</v>
      </c>
      <c r="I317" s="1">
        <v>153.19999999999999</v>
      </c>
      <c r="J317" s="1">
        <v>183.9</v>
      </c>
      <c r="K317" s="1">
        <v>165.4</v>
      </c>
      <c r="L317" s="1">
        <v>122.1</v>
      </c>
      <c r="M317" s="1">
        <v>170.8</v>
      </c>
      <c r="N317" s="1">
        <v>169.1</v>
      </c>
      <c r="O317" s="1">
        <v>174.3</v>
      </c>
      <c r="P317" s="1">
        <v>167.5</v>
      </c>
      <c r="Q317" s="1">
        <v>191.4</v>
      </c>
      <c r="R317" s="1">
        <v>170.4</v>
      </c>
      <c r="S317" s="1">
        <v>166</v>
      </c>
      <c r="T317" s="1">
        <v>169.8</v>
      </c>
      <c r="U317" s="1">
        <f>U318</f>
        <v>164.2</v>
      </c>
      <c r="V317" s="1">
        <v>165.3</v>
      </c>
      <c r="W317" s="1">
        <v>162.9</v>
      </c>
      <c r="X317" s="1">
        <v>173.4</v>
      </c>
      <c r="Y317" s="1">
        <v>158.9</v>
      </c>
      <c r="Z317" s="1">
        <v>163.80000000000001</v>
      </c>
      <c r="AA317" s="1">
        <v>169.3</v>
      </c>
      <c r="AB317" s="1">
        <v>162.4</v>
      </c>
      <c r="AC317" s="1">
        <v>165.2</v>
      </c>
      <c r="AD317" s="1">
        <v>167.6</v>
      </c>
    </row>
    <row r="318" spans="1:30" x14ac:dyDescent="0.3">
      <c r="A318" s="1" t="s">
        <v>33</v>
      </c>
      <c r="B318" s="2">
        <v>2021</v>
      </c>
      <c r="C318" s="1" t="s">
        <v>45</v>
      </c>
      <c r="D318" s="1">
        <v>151</v>
      </c>
      <c r="E318" s="1">
        <v>204.9</v>
      </c>
      <c r="F318" s="1">
        <v>175.4</v>
      </c>
      <c r="G318" s="1">
        <v>159.6</v>
      </c>
      <c r="H318" s="1">
        <v>175.8</v>
      </c>
      <c r="I318" s="1">
        <v>160.30000000000001</v>
      </c>
      <c r="J318" s="1">
        <v>229.1</v>
      </c>
      <c r="K318" s="1">
        <v>165.1</v>
      </c>
      <c r="L318" s="1">
        <v>123.1</v>
      </c>
      <c r="M318" s="1">
        <v>167.2</v>
      </c>
      <c r="N318" s="1">
        <v>156.1</v>
      </c>
      <c r="O318" s="1">
        <v>176.8</v>
      </c>
      <c r="P318" s="1">
        <v>173.5</v>
      </c>
      <c r="Q318" s="1">
        <v>197</v>
      </c>
      <c r="R318" s="1">
        <v>162.30000000000001</v>
      </c>
      <c r="S318" s="1">
        <v>145.30000000000001</v>
      </c>
      <c r="T318" s="1">
        <v>159.69999999999999</v>
      </c>
      <c r="U318" s="1">
        <v>164.2</v>
      </c>
      <c r="V318" s="1">
        <v>161.6</v>
      </c>
      <c r="W318" s="1">
        <v>155.19999999999999</v>
      </c>
      <c r="X318" s="1">
        <v>164.2</v>
      </c>
      <c r="Y318" s="1">
        <v>151.19999999999999</v>
      </c>
      <c r="Z318" s="1">
        <v>156.69999999999999</v>
      </c>
      <c r="AA318" s="1">
        <v>160.80000000000001</v>
      </c>
      <c r="AB318" s="1">
        <v>161.80000000000001</v>
      </c>
      <c r="AC318" s="1">
        <v>157.30000000000001</v>
      </c>
      <c r="AD318" s="1">
        <v>165.6</v>
      </c>
    </row>
    <row r="319" spans="1:30" x14ac:dyDescent="0.3">
      <c r="A319" s="1" t="s">
        <v>34</v>
      </c>
      <c r="B319" s="2">
        <v>2021</v>
      </c>
      <c r="C319" s="1" t="s">
        <v>45</v>
      </c>
      <c r="D319" s="1">
        <v>148.19999999999999</v>
      </c>
      <c r="E319" s="1">
        <v>201.6</v>
      </c>
      <c r="F319" s="1">
        <v>173</v>
      </c>
      <c r="G319" s="1">
        <v>159.30000000000001</v>
      </c>
      <c r="H319" s="1">
        <v>190.1</v>
      </c>
      <c r="I319" s="1">
        <v>156.5</v>
      </c>
      <c r="J319" s="1">
        <v>199.2</v>
      </c>
      <c r="K319" s="1">
        <v>165.3</v>
      </c>
      <c r="L319" s="1">
        <v>122.4</v>
      </c>
      <c r="M319" s="1">
        <v>169.6</v>
      </c>
      <c r="N319" s="1">
        <v>163.69999999999999</v>
      </c>
      <c r="O319" s="1">
        <v>175.5</v>
      </c>
      <c r="P319" s="1">
        <v>169.7</v>
      </c>
      <c r="Q319" s="1">
        <v>192.9</v>
      </c>
      <c r="R319" s="1">
        <v>167.2</v>
      </c>
      <c r="S319" s="1">
        <v>157.4</v>
      </c>
      <c r="T319" s="1">
        <v>165.8</v>
      </c>
      <c r="U319" s="1">
        <v>164.2</v>
      </c>
      <c r="V319" s="1">
        <v>163.9</v>
      </c>
      <c r="W319" s="1">
        <v>159.30000000000001</v>
      </c>
      <c r="X319" s="1">
        <v>169.9</v>
      </c>
      <c r="Y319" s="1">
        <v>154.80000000000001</v>
      </c>
      <c r="Z319" s="1">
        <v>159.80000000000001</v>
      </c>
      <c r="AA319" s="1">
        <v>164.3</v>
      </c>
      <c r="AB319" s="1">
        <v>162.19999999999999</v>
      </c>
      <c r="AC319" s="1">
        <v>161.4</v>
      </c>
      <c r="AD319" s="1">
        <v>166.7</v>
      </c>
    </row>
    <row r="320" spans="1:30" x14ac:dyDescent="0.3">
      <c r="A320" s="1" t="s">
        <v>30</v>
      </c>
      <c r="B320" s="2">
        <v>2021</v>
      </c>
      <c r="C320" s="1" t="s">
        <v>46</v>
      </c>
      <c r="D320" s="1">
        <v>147.4</v>
      </c>
      <c r="E320" s="1">
        <v>197</v>
      </c>
      <c r="F320" s="1">
        <v>176.5</v>
      </c>
      <c r="G320" s="1">
        <v>159.80000000000001</v>
      </c>
      <c r="H320" s="1">
        <v>195.8</v>
      </c>
      <c r="I320" s="1">
        <v>152</v>
      </c>
      <c r="J320" s="1">
        <v>172.3</v>
      </c>
      <c r="K320" s="1">
        <v>164.5</v>
      </c>
      <c r="L320" s="1">
        <v>120.6</v>
      </c>
      <c r="M320" s="1">
        <v>171.7</v>
      </c>
      <c r="N320" s="1">
        <v>169.7</v>
      </c>
      <c r="O320" s="1">
        <v>175.1</v>
      </c>
      <c r="P320" s="1">
        <v>165.8</v>
      </c>
      <c r="Q320" s="1">
        <v>190.8</v>
      </c>
      <c r="R320" s="1">
        <v>171.8</v>
      </c>
      <c r="S320" s="1">
        <v>167.3</v>
      </c>
      <c r="T320" s="1">
        <v>171.2</v>
      </c>
      <c r="U320" s="1">
        <f>U321</f>
        <v>163.4</v>
      </c>
      <c r="V320" s="1">
        <v>165.6</v>
      </c>
      <c r="W320" s="1">
        <v>163.9</v>
      </c>
      <c r="X320" s="1">
        <v>174</v>
      </c>
      <c r="Y320" s="1">
        <v>160.1</v>
      </c>
      <c r="Z320" s="1">
        <v>164.5</v>
      </c>
      <c r="AA320" s="1">
        <v>169.7</v>
      </c>
      <c r="AB320" s="1">
        <v>162.80000000000001</v>
      </c>
      <c r="AC320" s="1">
        <v>166</v>
      </c>
      <c r="AD320" s="1">
        <v>167</v>
      </c>
    </row>
    <row r="321" spans="1:30" x14ac:dyDescent="0.3">
      <c r="A321" s="1" t="s">
        <v>33</v>
      </c>
      <c r="B321" s="2">
        <v>2021</v>
      </c>
      <c r="C321" s="1" t="s">
        <v>46</v>
      </c>
      <c r="D321" s="1">
        <v>151.6</v>
      </c>
      <c r="E321" s="1">
        <v>202.2</v>
      </c>
      <c r="F321" s="1">
        <v>180</v>
      </c>
      <c r="G321" s="1">
        <v>160</v>
      </c>
      <c r="H321" s="1">
        <v>173.5</v>
      </c>
      <c r="I321" s="1">
        <v>158.30000000000001</v>
      </c>
      <c r="J321" s="1">
        <v>219.5</v>
      </c>
      <c r="K321" s="1">
        <v>164.2</v>
      </c>
      <c r="L321" s="1">
        <v>121.9</v>
      </c>
      <c r="M321" s="1">
        <v>168.2</v>
      </c>
      <c r="N321" s="1">
        <v>156.5</v>
      </c>
      <c r="O321" s="1">
        <v>178.2</v>
      </c>
      <c r="P321" s="1">
        <v>172.2</v>
      </c>
      <c r="Q321" s="1">
        <v>196.8</v>
      </c>
      <c r="R321" s="1">
        <v>163.30000000000001</v>
      </c>
      <c r="S321" s="1">
        <v>146.69999999999999</v>
      </c>
      <c r="T321" s="1">
        <v>160.69999999999999</v>
      </c>
      <c r="U321" s="1">
        <v>163.4</v>
      </c>
      <c r="V321" s="1">
        <v>161.69999999999999</v>
      </c>
      <c r="W321" s="1">
        <v>156</v>
      </c>
      <c r="X321" s="1">
        <v>165.1</v>
      </c>
      <c r="Y321" s="1">
        <v>151.80000000000001</v>
      </c>
      <c r="Z321" s="1">
        <v>157.6</v>
      </c>
      <c r="AA321" s="1">
        <v>160.6</v>
      </c>
      <c r="AB321" s="1">
        <v>162.4</v>
      </c>
      <c r="AC321" s="1">
        <v>157.80000000000001</v>
      </c>
      <c r="AD321" s="1">
        <v>165.2</v>
      </c>
    </row>
    <row r="322" spans="1:30" x14ac:dyDescent="0.3">
      <c r="A322" s="1" t="s">
        <v>34</v>
      </c>
      <c r="B322" s="2">
        <v>2021</v>
      </c>
      <c r="C322" s="1" t="s">
        <v>46</v>
      </c>
      <c r="D322" s="1">
        <v>148.69999999999999</v>
      </c>
      <c r="E322" s="1">
        <v>198.8</v>
      </c>
      <c r="F322" s="1">
        <v>177.9</v>
      </c>
      <c r="G322" s="1">
        <v>159.9</v>
      </c>
      <c r="H322" s="1">
        <v>187.6</v>
      </c>
      <c r="I322" s="1">
        <v>154.9</v>
      </c>
      <c r="J322" s="1">
        <v>188.3</v>
      </c>
      <c r="K322" s="1">
        <v>164.4</v>
      </c>
      <c r="L322" s="1">
        <v>121</v>
      </c>
      <c r="M322" s="1">
        <v>170.5</v>
      </c>
      <c r="N322" s="1">
        <v>164.2</v>
      </c>
      <c r="O322" s="1">
        <v>176.5</v>
      </c>
      <c r="P322" s="1">
        <v>168.2</v>
      </c>
      <c r="Q322" s="1">
        <v>192.4</v>
      </c>
      <c r="R322" s="1">
        <v>168.5</v>
      </c>
      <c r="S322" s="1">
        <v>158.69999999999999</v>
      </c>
      <c r="T322" s="1">
        <v>167</v>
      </c>
      <c r="U322" s="1">
        <v>163.4</v>
      </c>
      <c r="V322" s="1">
        <v>164.1</v>
      </c>
      <c r="W322" s="1">
        <v>160.19999999999999</v>
      </c>
      <c r="X322" s="1">
        <v>170.6</v>
      </c>
      <c r="Y322" s="1">
        <v>155.69999999999999</v>
      </c>
      <c r="Z322" s="1">
        <v>160.6</v>
      </c>
      <c r="AA322" s="1">
        <v>164.4</v>
      </c>
      <c r="AB322" s="1">
        <v>162.6</v>
      </c>
      <c r="AC322" s="1">
        <v>162</v>
      </c>
      <c r="AD322" s="1">
        <v>166.2</v>
      </c>
    </row>
    <row r="323" spans="1:30" x14ac:dyDescent="0.3">
      <c r="A323" s="1" t="s">
        <v>30</v>
      </c>
      <c r="B323" s="2">
        <v>2022</v>
      </c>
      <c r="C323" s="1" t="s">
        <v>31</v>
      </c>
      <c r="D323" s="1">
        <v>148.30000000000001</v>
      </c>
      <c r="E323" s="1">
        <v>196.9</v>
      </c>
      <c r="F323" s="1">
        <v>178</v>
      </c>
      <c r="G323" s="1">
        <v>160.5</v>
      </c>
      <c r="H323" s="1">
        <v>192.6</v>
      </c>
      <c r="I323" s="1">
        <v>151.19999999999999</v>
      </c>
      <c r="J323" s="1">
        <v>159.19999999999999</v>
      </c>
      <c r="K323" s="1">
        <v>164</v>
      </c>
      <c r="L323" s="1">
        <v>119.3</v>
      </c>
      <c r="M323" s="1">
        <v>173.3</v>
      </c>
      <c r="N323" s="1">
        <v>169.8</v>
      </c>
      <c r="O323" s="1">
        <v>175.8</v>
      </c>
      <c r="P323" s="1">
        <v>164.1</v>
      </c>
      <c r="Q323" s="1">
        <v>190.7</v>
      </c>
      <c r="R323" s="1">
        <v>173.2</v>
      </c>
      <c r="S323" s="1">
        <v>169.3</v>
      </c>
      <c r="T323" s="1">
        <v>172.7</v>
      </c>
      <c r="U323" s="1">
        <f>U324</f>
        <v>164.5</v>
      </c>
      <c r="V323" s="1">
        <v>165.8</v>
      </c>
      <c r="W323" s="1">
        <v>164.9</v>
      </c>
      <c r="X323" s="1">
        <v>174.7</v>
      </c>
      <c r="Y323" s="1">
        <v>160.80000000000001</v>
      </c>
      <c r="Z323" s="1">
        <v>164.9</v>
      </c>
      <c r="AA323" s="1">
        <v>169.9</v>
      </c>
      <c r="AB323" s="1">
        <v>163.19999999999999</v>
      </c>
      <c r="AC323" s="1">
        <v>166.6</v>
      </c>
      <c r="AD323" s="1">
        <v>166.4</v>
      </c>
    </row>
    <row r="324" spans="1:30" x14ac:dyDescent="0.3">
      <c r="A324" s="1" t="s">
        <v>33</v>
      </c>
      <c r="B324" s="2">
        <v>2022</v>
      </c>
      <c r="C324" s="1" t="s">
        <v>31</v>
      </c>
      <c r="D324" s="1">
        <v>152.19999999999999</v>
      </c>
      <c r="E324" s="1">
        <v>202.1</v>
      </c>
      <c r="F324" s="1">
        <v>180.1</v>
      </c>
      <c r="G324" s="1">
        <v>160.4</v>
      </c>
      <c r="H324" s="1">
        <v>171</v>
      </c>
      <c r="I324" s="1">
        <v>156.5</v>
      </c>
      <c r="J324" s="1">
        <v>203.6</v>
      </c>
      <c r="K324" s="1">
        <v>163.80000000000001</v>
      </c>
      <c r="L324" s="1">
        <v>121.3</v>
      </c>
      <c r="M324" s="1">
        <v>169.8</v>
      </c>
      <c r="N324" s="1">
        <v>156.6</v>
      </c>
      <c r="O324" s="1">
        <v>179</v>
      </c>
      <c r="P324" s="1">
        <v>170.3</v>
      </c>
      <c r="Q324" s="1">
        <v>196.4</v>
      </c>
      <c r="R324" s="1">
        <v>164.7</v>
      </c>
      <c r="S324" s="1">
        <v>148.5</v>
      </c>
      <c r="T324" s="1">
        <v>162.19999999999999</v>
      </c>
      <c r="U324" s="1">
        <v>164.5</v>
      </c>
      <c r="V324" s="1">
        <v>161.6</v>
      </c>
      <c r="W324" s="1">
        <v>156.80000000000001</v>
      </c>
      <c r="X324" s="1">
        <v>166.1</v>
      </c>
      <c r="Y324" s="1">
        <v>152.69999999999999</v>
      </c>
      <c r="Z324" s="1">
        <v>158.4</v>
      </c>
      <c r="AA324" s="1">
        <v>161</v>
      </c>
      <c r="AB324" s="1">
        <v>162.80000000000001</v>
      </c>
      <c r="AC324" s="1">
        <v>158.6</v>
      </c>
      <c r="AD324" s="1">
        <v>165</v>
      </c>
    </row>
    <row r="325" spans="1:30" x14ac:dyDescent="0.3">
      <c r="A325" s="1" t="s">
        <v>34</v>
      </c>
      <c r="B325" s="2">
        <v>2022</v>
      </c>
      <c r="C325" s="1" t="s">
        <v>31</v>
      </c>
      <c r="D325" s="1">
        <v>149.5</v>
      </c>
      <c r="E325" s="1">
        <v>198.7</v>
      </c>
      <c r="F325" s="1">
        <v>178.8</v>
      </c>
      <c r="G325" s="1">
        <v>160.5</v>
      </c>
      <c r="H325" s="1">
        <v>184.7</v>
      </c>
      <c r="I325" s="1">
        <v>153.69999999999999</v>
      </c>
      <c r="J325" s="1">
        <v>174.3</v>
      </c>
      <c r="K325" s="1">
        <v>163.9</v>
      </c>
      <c r="L325" s="1">
        <v>120</v>
      </c>
      <c r="M325" s="1">
        <v>172.1</v>
      </c>
      <c r="N325" s="1">
        <v>164.3</v>
      </c>
      <c r="O325" s="1">
        <v>177.3</v>
      </c>
      <c r="P325" s="1">
        <v>166.4</v>
      </c>
      <c r="Q325" s="1">
        <v>192.2</v>
      </c>
      <c r="R325" s="1">
        <v>169.9</v>
      </c>
      <c r="S325" s="1">
        <v>160.69999999999999</v>
      </c>
      <c r="T325" s="1">
        <v>168.5</v>
      </c>
      <c r="U325" s="1">
        <v>164.5</v>
      </c>
      <c r="V325" s="1">
        <v>164.2</v>
      </c>
      <c r="W325" s="1">
        <v>161.1</v>
      </c>
      <c r="X325" s="1">
        <v>171.4</v>
      </c>
      <c r="Y325" s="1">
        <v>156.5</v>
      </c>
      <c r="Z325" s="1">
        <v>161.19999999999999</v>
      </c>
      <c r="AA325" s="1">
        <v>164.7</v>
      </c>
      <c r="AB325" s="1">
        <v>163</v>
      </c>
      <c r="AC325" s="1">
        <v>162.69999999999999</v>
      </c>
      <c r="AD325" s="1">
        <v>165.7</v>
      </c>
    </row>
    <row r="326" spans="1:30" x14ac:dyDescent="0.3">
      <c r="A326" s="1" t="s">
        <v>30</v>
      </c>
      <c r="B326" s="2">
        <v>2022</v>
      </c>
      <c r="C326" s="1" t="s">
        <v>35</v>
      </c>
      <c r="D326" s="1">
        <v>148.80000000000001</v>
      </c>
      <c r="E326" s="1">
        <v>198.1</v>
      </c>
      <c r="F326" s="1">
        <v>175.5</v>
      </c>
      <c r="G326" s="1">
        <v>160.69999999999999</v>
      </c>
      <c r="H326" s="1">
        <v>192.6</v>
      </c>
      <c r="I326" s="1">
        <v>151.4</v>
      </c>
      <c r="J326" s="1">
        <v>155.19999999999999</v>
      </c>
      <c r="K326" s="1">
        <v>163.9</v>
      </c>
      <c r="L326" s="1">
        <v>118.1</v>
      </c>
      <c r="M326" s="1">
        <v>175.4</v>
      </c>
      <c r="N326" s="1">
        <v>170.5</v>
      </c>
      <c r="O326" s="1">
        <v>176.3</v>
      </c>
      <c r="P326" s="1">
        <v>163.9</v>
      </c>
      <c r="Q326" s="1">
        <v>191.5</v>
      </c>
      <c r="R326" s="1">
        <v>174.1</v>
      </c>
      <c r="S326" s="1">
        <v>171</v>
      </c>
      <c r="T326" s="1">
        <v>173.7</v>
      </c>
      <c r="U326" s="1">
        <f>U327</f>
        <v>165.5</v>
      </c>
      <c r="V326" s="1">
        <v>167.4</v>
      </c>
      <c r="W326" s="1">
        <v>165.7</v>
      </c>
      <c r="X326" s="1">
        <v>175.3</v>
      </c>
      <c r="Y326" s="1">
        <v>161.19999999999999</v>
      </c>
      <c r="Z326" s="1">
        <v>165.5</v>
      </c>
      <c r="AA326" s="1">
        <v>170.3</v>
      </c>
      <c r="AB326" s="1">
        <v>164.5</v>
      </c>
      <c r="AC326" s="1">
        <v>167.3</v>
      </c>
      <c r="AD326" s="1">
        <v>166.7</v>
      </c>
    </row>
    <row r="327" spans="1:30" x14ac:dyDescent="0.3">
      <c r="A327" s="1" t="s">
        <v>33</v>
      </c>
      <c r="B327" s="2">
        <v>2022</v>
      </c>
      <c r="C327" s="1" t="s">
        <v>35</v>
      </c>
      <c r="D327" s="1">
        <v>152.5</v>
      </c>
      <c r="E327" s="1">
        <v>205.2</v>
      </c>
      <c r="F327" s="1">
        <v>176.4</v>
      </c>
      <c r="G327" s="1">
        <v>160.6</v>
      </c>
      <c r="H327" s="1">
        <v>171.5</v>
      </c>
      <c r="I327" s="1">
        <v>156.4</v>
      </c>
      <c r="J327" s="1">
        <v>198</v>
      </c>
      <c r="K327" s="1">
        <v>163.19999999999999</v>
      </c>
      <c r="L327" s="1">
        <v>120.6</v>
      </c>
      <c r="M327" s="1">
        <v>172.2</v>
      </c>
      <c r="N327" s="1">
        <v>156.69999999999999</v>
      </c>
      <c r="O327" s="1">
        <v>180</v>
      </c>
      <c r="P327" s="1">
        <v>170.2</v>
      </c>
      <c r="Q327" s="1">
        <v>196.5</v>
      </c>
      <c r="R327" s="1">
        <v>165.7</v>
      </c>
      <c r="S327" s="1">
        <v>150.4</v>
      </c>
      <c r="T327" s="1">
        <v>163.4</v>
      </c>
      <c r="U327" s="1">
        <v>165.5</v>
      </c>
      <c r="V327" s="1">
        <v>163</v>
      </c>
      <c r="W327" s="1">
        <v>157.4</v>
      </c>
      <c r="X327" s="1">
        <v>167.2</v>
      </c>
      <c r="Y327" s="1">
        <v>153.1</v>
      </c>
      <c r="Z327" s="1">
        <v>159.5</v>
      </c>
      <c r="AA327" s="1">
        <v>162</v>
      </c>
      <c r="AB327" s="1">
        <v>164.2</v>
      </c>
      <c r="AC327" s="1">
        <v>159.4</v>
      </c>
      <c r="AD327" s="1">
        <v>165.5</v>
      </c>
    </row>
    <row r="328" spans="1:30" x14ac:dyDescent="0.3">
      <c r="A328" s="1" t="s">
        <v>34</v>
      </c>
      <c r="B328" s="2">
        <v>2022</v>
      </c>
      <c r="C328" s="1" t="s">
        <v>35</v>
      </c>
      <c r="D328" s="1">
        <v>150</v>
      </c>
      <c r="E328" s="1">
        <v>200.6</v>
      </c>
      <c r="F328" s="1">
        <v>175.8</v>
      </c>
      <c r="G328" s="1">
        <v>160.69999999999999</v>
      </c>
      <c r="H328" s="1">
        <v>184.9</v>
      </c>
      <c r="I328" s="1">
        <v>153.69999999999999</v>
      </c>
      <c r="J328" s="1">
        <v>169.7</v>
      </c>
      <c r="K328" s="1">
        <v>163.69999999999999</v>
      </c>
      <c r="L328" s="1">
        <v>118.9</v>
      </c>
      <c r="M328" s="1">
        <v>174.3</v>
      </c>
      <c r="N328" s="1">
        <v>164.7</v>
      </c>
      <c r="O328" s="1">
        <v>178</v>
      </c>
      <c r="P328" s="1">
        <v>166.2</v>
      </c>
      <c r="Q328" s="1">
        <v>192.8</v>
      </c>
      <c r="R328" s="1">
        <v>170.8</v>
      </c>
      <c r="S328" s="1">
        <v>162.4</v>
      </c>
      <c r="T328" s="1">
        <v>169.6</v>
      </c>
      <c r="U328" s="1">
        <v>165.5</v>
      </c>
      <c r="V328" s="1">
        <v>165.7</v>
      </c>
      <c r="W328" s="1">
        <v>161.80000000000001</v>
      </c>
      <c r="X328" s="1">
        <v>172.2</v>
      </c>
      <c r="Y328" s="1">
        <v>156.9</v>
      </c>
      <c r="Z328" s="1">
        <v>162.1</v>
      </c>
      <c r="AA328" s="1">
        <v>165.4</v>
      </c>
      <c r="AB328" s="1">
        <v>164.4</v>
      </c>
      <c r="AC328" s="1">
        <v>163.5</v>
      </c>
      <c r="AD328" s="1">
        <v>166.1</v>
      </c>
    </row>
    <row r="329" spans="1:30" x14ac:dyDescent="0.3">
      <c r="A329" s="1" t="s">
        <v>30</v>
      </c>
      <c r="B329" s="2">
        <v>2022</v>
      </c>
      <c r="C329" s="1" t="s">
        <v>36</v>
      </c>
      <c r="D329" s="1">
        <v>150.19999999999999</v>
      </c>
      <c r="E329" s="1">
        <v>208</v>
      </c>
      <c r="F329" s="1">
        <v>167.9</v>
      </c>
      <c r="G329" s="1">
        <v>162</v>
      </c>
      <c r="H329" s="1">
        <v>203.1</v>
      </c>
      <c r="I329" s="1">
        <v>155.9</v>
      </c>
      <c r="J329" s="1">
        <v>155.80000000000001</v>
      </c>
      <c r="K329" s="1">
        <v>164.2</v>
      </c>
      <c r="L329" s="1">
        <v>118.1</v>
      </c>
      <c r="M329" s="1">
        <v>178.7</v>
      </c>
      <c r="N329" s="1">
        <v>171.2</v>
      </c>
      <c r="O329" s="1">
        <v>177.4</v>
      </c>
      <c r="P329" s="1">
        <v>166.6</v>
      </c>
      <c r="Q329" s="1">
        <v>192.3</v>
      </c>
      <c r="R329" s="1">
        <v>175.4</v>
      </c>
      <c r="S329" s="1">
        <v>173.2</v>
      </c>
      <c r="T329" s="1">
        <v>175.1</v>
      </c>
      <c r="U329" s="1">
        <f>U330</f>
        <v>165.3</v>
      </c>
      <c r="V329" s="1">
        <v>168.9</v>
      </c>
      <c r="W329" s="1">
        <v>166.5</v>
      </c>
      <c r="X329" s="1">
        <v>176</v>
      </c>
      <c r="Y329" s="1">
        <v>162</v>
      </c>
      <c r="Z329" s="1">
        <v>166.6</v>
      </c>
      <c r="AA329" s="1">
        <v>170.6</v>
      </c>
      <c r="AB329" s="1">
        <v>167.4</v>
      </c>
      <c r="AC329" s="1">
        <v>168.3</v>
      </c>
      <c r="AD329" s="1">
        <v>168.7</v>
      </c>
    </row>
    <row r="330" spans="1:30" x14ac:dyDescent="0.3">
      <c r="A330" s="1" t="s">
        <v>33</v>
      </c>
      <c r="B330" s="2">
        <v>2022</v>
      </c>
      <c r="C330" s="1" t="s">
        <v>36</v>
      </c>
      <c r="D330" s="1">
        <v>153.69999999999999</v>
      </c>
      <c r="E330" s="1">
        <v>215.8</v>
      </c>
      <c r="F330" s="1">
        <v>167.7</v>
      </c>
      <c r="G330" s="1">
        <v>162.6</v>
      </c>
      <c r="H330" s="1">
        <v>180</v>
      </c>
      <c r="I330" s="1">
        <v>159.6</v>
      </c>
      <c r="J330" s="1">
        <v>188.4</v>
      </c>
      <c r="K330" s="1">
        <v>163.4</v>
      </c>
      <c r="L330" s="1">
        <v>120.3</v>
      </c>
      <c r="M330" s="1">
        <v>174.7</v>
      </c>
      <c r="N330" s="1">
        <v>157.1</v>
      </c>
      <c r="O330" s="1">
        <v>181.5</v>
      </c>
      <c r="P330" s="1">
        <v>171.5</v>
      </c>
      <c r="Q330" s="1">
        <v>197.5</v>
      </c>
      <c r="R330" s="1">
        <v>167.1</v>
      </c>
      <c r="S330" s="1">
        <v>152.6</v>
      </c>
      <c r="T330" s="1">
        <v>164.9</v>
      </c>
      <c r="U330" s="1">
        <v>165.3</v>
      </c>
      <c r="V330" s="1">
        <v>164.5</v>
      </c>
      <c r="W330" s="1">
        <v>158.6</v>
      </c>
      <c r="X330" s="1">
        <v>168.2</v>
      </c>
      <c r="Y330" s="1">
        <v>154.19999999999999</v>
      </c>
      <c r="Z330" s="1">
        <v>160.80000000000001</v>
      </c>
      <c r="AA330" s="1">
        <v>162.69999999999999</v>
      </c>
      <c r="AB330" s="1">
        <v>166.8</v>
      </c>
      <c r="AC330" s="1">
        <v>160.6</v>
      </c>
      <c r="AD330" s="1">
        <v>166.5</v>
      </c>
    </row>
    <row r="331" spans="1:30" x14ac:dyDescent="0.3">
      <c r="A331" s="1" t="s">
        <v>34</v>
      </c>
      <c r="B331" s="2">
        <v>2022</v>
      </c>
      <c r="C331" s="1" t="s">
        <v>36</v>
      </c>
      <c r="D331" s="1">
        <v>151.30000000000001</v>
      </c>
      <c r="E331" s="1">
        <v>210.7</v>
      </c>
      <c r="F331" s="1">
        <v>167.8</v>
      </c>
      <c r="G331" s="1">
        <v>162.19999999999999</v>
      </c>
      <c r="H331" s="1">
        <v>194.6</v>
      </c>
      <c r="I331" s="1">
        <v>157.6</v>
      </c>
      <c r="J331" s="1">
        <v>166.9</v>
      </c>
      <c r="K331" s="1">
        <v>163.9</v>
      </c>
      <c r="L331" s="1">
        <v>118.8</v>
      </c>
      <c r="M331" s="1">
        <v>177.4</v>
      </c>
      <c r="N331" s="1">
        <v>165.3</v>
      </c>
      <c r="O331" s="1">
        <v>179.3</v>
      </c>
      <c r="P331" s="1">
        <v>168.4</v>
      </c>
      <c r="Q331" s="1">
        <v>193.7</v>
      </c>
      <c r="R331" s="1">
        <v>172.1</v>
      </c>
      <c r="S331" s="1">
        <v>164.6</v>
      </c>
      <c r="T331" s="1">
        <v>171.1</v>
      </c>
      <c r="U331" s="1">
        <v>165.3</v>
      </c>
      <c r="V331" s="1">
        <v>167.2</v>
      </c>
      <c r="W331" s="1">
        <v>162.80000000000001</v>
      </c>
      <c r="X331" s="1">
        <v>173</v>
      </c>
      <c r="Y331" s="1">
        <v>157.9</v>
      </c>
      <c r="Z331" s="1">
        <v>163.30000000000001</v>
      </c>
      <c r="AA331" s="1">
        <v>166</v>
      </c>
      <c r="AB331" s="1">
        <v>167.2</v>
      </c>
      <c r="AC331" s="1">
        <v>164.6</v>
      </c>
      <c r="AD331" s="1">
        <v>167.7</v>
      </c>
    </row>
    <row r="332" spans="1:30" x14ac:dyDescent="0.3">
      <c r="A332" s="1" t="s">
        <v>30</v>
      </c>
      <c r="B332" s="2">
        <v>2022</v>
      </c>
      <c r="C332" s="1" t="s">
        <v>37</v>
      </c>
      <c r="D332" s="1">
        <v>151.80000000000001</v>
      </c>
      <c r="E332" s="1">
        <v>209.7</v>
      </c>
      <c r="F332" s="1">
        <v>164.5</v>
      </c>
      <c r="G332" s="1">
        <v>163.80000000000001</v>
      </c>
      <c r="H332" s="1">
        <v>207.4</v>
      </c>
      <c r="I332" s="1">
        <v>169.7</v>
      </c>
      <c r="J332" s="1">
        <v>153.6</v>
      </c>
      <c r="K332" s="1">
        <v>165.1</v>
      </c>
      <c r="L332" s="1">
        <v>118.2</v>
      </c>
      <c r="M332" s="1">
        <v>182.9</v>
      </c>
      <c r="N332" s="1">
        <v>172.4</v>
      </c>
      <c r="O332" s="1">
        <v>178.9</v>
      </c>
      <c r="P332" s="1">
        <v>168.6</v>
      </c>
      <c r="Q332" s="1">
        <v>192.8</v>
      </c>
      <c r="R332" s="1">
        <v>177.5</v>
      </c>
      <c r="S332" s="1">
        <v>175.1</v>
      </c>
      <c r="T332" s="1">
        <v>177.1</v>
      </c>
      <c r="U332" s="1">
        <f>U333</f>
        <v>167</v>
      </c>
      <c r="V332" s="1">
        <v>173.3</v>
      </c>
      <c r="W332" s="1">
        <v>167.7</v>
      </c>
      <c r="X332" s="1">
        <v>177</v>
      </c>
      <c r="Y332" s="1">
        <v>166.2</v>
      </c>
      <c r="Z332" s="1">
        <v>167.2</v>
      </c>
      <c r="AA332" s="1">
        <v>170.9</v>
      </c>
      <c r="AB332" s="1">
        <v>169</v>
      </c>
      <c r="AC332" s="1">
        <v>170.2</v>
      </c>
      <c r="AD332" s="1">
        <v>170.8</v>
      </c>
    </row>
    <row r="333" spans="1:30" x14ac:dyDescent="0.3">
      <c r="A333" s="1" t="s">
        <v>33</v>
      </c>
      <c r="B333" s="2">
        <v>2022</v>
      </c>
      <c r="C333" s="1" t="s">
        <v>37</v>
      </c>
      <c r="D333" s="1">
        <v>155.4</v>
      </c>
      <c r="E333" s="1">
        <v>215.8</v>
      </c>
      <c r="F333" s="1">
        <v>164.6</v>
      </c>
      <c r="G333" s="1">
        <v>164.2</v>
      </c>
      <c r="H333" s="1">
        <v>186</v>
      </c>
      <c r="I333" s="1">
        <v>175.9</v>
      </c>
      <c r="J333" s="1">
        <v>190.7</v>
      </c>
      <c r="K333" s="1">
        <v>164</v>
      </c>
      <c r="L333" s="1">
        <v>120.5</v>
      </c>
      <c r="M333" s="1">
        <v>178</v>
      </c>
      <c r="N333" s="1">
        <v>157.5</v>
      </c>
      <c r="O333" s="1">
        <v>183.3</v>
      </c>
      <c r="P333" s="1">
        <v>174.5</v>
      </c>
      <c r="Q333" s="1">
        <v>197.1</v>
      </c>
      <c r="R333" s="1">
        <v>168.4</v>
      </c>
      <c r="S333" s="1">
        <v>154.5</v>
      </c>
      <c r="T333" s="1">
        <v>166.3</v>
      </c>
      <c r="U333" s="1">
        <v>167</v>
      </c>
      <c r="V333" s="1">
        <v>170.5</v>
      </c>
      <c r="W333" s="1">
        <v>159.80000000000001</v>
      </c>
      <c r="X333" s="1">
        <v>169</v>
      </c>
      <c r="Y333" s="1">
        <v>159.30000000000001</v>
      </c>
      <c r="Z333" s="1">
        <v>162.19999999999999</v>
      </c>
      <c r="AA333" s="1">
        <v>164</v>
      </c>
      <c r="AB333" s="1">
        <v>168.4</v>
      </c>
      <c r="AC333" s="1">
        <v>163.1</v>
      </c>
      <c r="AD333" s="1">
        <v>169.2</v>
      </c>
    </row>
    <row r="334" spans="1:30" x14ac:dyDescent="0.3">
      <c r="A334" s="1" t="s">
        <v>34</v>
      </c>
      <c r="B334" s="2">
        <v>2022</v>
      </c>
      <c r="C334" s="1" t="s">
        <v>37</v>
      </c>
      <c r="D334" s="1">
        <v>152.9</v>
      </c>
      <c r="E334" s="1">
        <v>211.8</v>
      </c>
      <c r="F334" s="1">
        <v>164.5</v>
      </c>
      <c r="G334" s="1">
        <v>163.9</v>
      </c>
      <c r="H334" s="1">
        <v>199.5</v>
      </c>
      <c r="I334" s="1">
        <v>172.6</v>
      </c>
      <c r="J334" s="1">
        <v>166.2</v>
      </c>
      <c r="K334" s="1">
        <v>164.7</v>
      </c>
      <c r="L334" s="1">
        <v>119</v>
      </c>
      <c r="M334" s="1">
        <v>181.3</v>
      </c>
      <c r="N334" s="1">
        <v>166.2</v>
      </c>
      <c r="O334" s="1">
        <v>180.9</v>
      </c>
      <c r="P334" s="1">
        <v>170.8</v>
      </c>
      <c r="Q334" s="1">
        <v>193.9</v>
      </c>
      <c r="R334" s="1">
        <v>173.9</v>
      </c>
      <c r="S334" s="1">
        <v>166.5</v>
      </c>
      <c r="T334" s="1">
        <v>172.8</v>
      </c>
      <c r="U334" s="1">
        <v>167</v>
      </c>
      <c r="V334" s="1">
        <v>172.2</v>
      </c>
      <c r="W334" s="1">
        <v>164</v>
      </c>
      <c r="X334" s="1">
        <v>174</v>
      </c>
      <c r="Y334" s="1">
        <v>162.6</v>
      </c>
      <c r="Z334" s="1">
        <v>164.4</v>
      </c>
      <c r="AA334" s="1">
        <v>166.9</v>
      </c>
      <c r="AB334" s="1">
        <v>168.8</v>
      </c>
      <c r="AC334" s="1">
        <v>166.8</v>
      </c>
      <c r="AD334" s="1">
        <v>170.1</v>
      </c>
    </row>
    <row r="335" spans="1:30" x14ac:dyDescent="0.3">
      <c r="A335" s="1" t="s">
        <v>30</v>
      </c>
      <c r="B335" s="2">
        <v>2022</v>
      </c>
      <c r="C335" s="1" t="s">
        <v>38</v>
      </c>
      <c r="D335" s="1">
        <v>152.9</v>
      </c>
      <c r="E335" s="1">
        <v>214.7</v>
      </c>
      <c r="F335" s="1">
        <v>161.4</v>
      </c>
      <c r="G335" s="1">
        <v>164.6</v>
      </c>
      <c r="H335" s="1">
        <v>209.9</v>
      </c>
      <c r="I335" s="1">
        <v>168</v>
      </c>
      <c r="J335" s="1">
        <v>160.4</v>
      </c>
      <c r="K335" s="1">
        <v>165</v>
      </c>
      <c r="L335" s="1">
        <v>118.9</v>
      </c>
      <c r="M335" s="1">
        <v>186.6</v>
      </c>
      <c r="N335" s="1">
        <v>173.2</v>
      </c>
      <c r="O335" s="1">
        <v>180.4</v>
      </c>
      <c r="P335" s="1">
        <v>170.8</v>
      </c>
      <c r="Q335" s="1">
        <v>192.9</v>
      </c>
      <c r="R335" s="1">
        <v>179.3</v>
      </c>
      <c r="S335" s="1">
        <v>177.2</v>
      </c>
      <c r="T335" s="1">
        <v>179</v>
      </c>
      <c r="U335" s="1">
        <f>U336</f>
        <v>167.5</v>
      </c>
      <c r="V335" s="1">
        <v>175.3</v>
      </c>
      <c r="W335" s="1">
        <v>168.9</v>
      </c>
      <c r="X335" s="1">
        <v>177.7</v>
      </c>
      <c r="Y335" s="1">
        <v>167.1</v>
      </c>
      <c r="Z335" s="1">
        <v>167.6</v>
      </c>
      <c r="AA335" s="1">
        <v>171.8</v>
      </c>
      <c r="AB335" s="1">
        <v>168.5</v>
      </c>
      <c r="AC335" s="1">
        <v>170.9</v>
      </c>
      <c r="AD335" s="1">
        <v>172.5</v>
      </c>
    </row>
    <row r="336" spans="1:30" x14ac:dyDescent="0.3">
      <c r="A336" s="1" t="s">
        <v>33</v>
      </c>
      <c r="B336" s="2">
        <v>2022</v>
      </c>
      <c r="C336" s="1" t="s">
        <v>38</v>
      </c>
      <c r="D336" s="1">
        <v>156.69999999999999</v>
      </c>
      <c r="E336" s="1">
        <v>221.2</v>
      </c>
      <c r="F336" s="1">
        <v>164.1</v>
      </c>
      <c r="G336" s="1">
        <v>165.4</v>
      </c>
      <c r="H336" s="1">
        <v>189.5</v>
      </c>
      <c r="I336" s="1">
        <v>174.5</v>
      </c>
      <c r="J336" s="1">
        <v>203.2</v>
      </c>
      <c r="K336" s="1">
        <v>164.1</v>
      </c>
      <c r="L336" s="1">
        <v>121.2</v>
      </c>
      <c r="M336" s="1">
        <v>181.4</v>
      </c>
      <c r="N336" s="1">
        <v>158.5</v>
      </c>
      <c r="O336" s="1">
        <v>184.9</v>
      </c>
      <c r="P336" s="1">
        <v>177.5</v>
      </c>
      <c r="Q336" s="1">
        <v>197.5</v>
      </c>
      <c r="R336" s="1">
        <v>170</v>
      </c>
      <c r="S336" s="1">
        <v>155.9</v>
      </c>
      <c r="T336" s="1">
        <v>167.8</v>
      </c>
      <c r="U336" s="1">
        <v>167.5</v>
      </c>
      <c r="V336" s="1">
        <v>173.5</v>
      </c>
      <c r="W336" s="1">
        <v>161.1</v>
      </c>
      <c r="X336" s="1">
        <v>170.1</v>
      </c>
      <c r="Y336" s="1">
        <v>159.4</v>
      </c>
      <c r="Z336" s="1">
        <v>163.19999999999999</v>
      </c>
      <c r="AA336" s="1">
        <v>165.2</v>
      </c>
      <c r="AB336" s="1">
        <v>168.2</v>
      </c>
      <c r="AC336" s="1">
        <v>163.80000000000001</v>
      </c>
      <c r="AD336" s="1">
        <v>170.8</v>
      </c>
    </row>
    <row r="337" spans="1:30" x14ac:dyDescent="0.3">
      <c r="A337" s="1" t="s">
        <v>34</v>
      </c>
      <c r="B337" s="2">
        <v>2022</v>
      </c>
      <c r="C337" s="1" t="s">
        <v>38</v>
      </c>
      <c r="D337" s="1">
        <v>154.1</v>
      </c>
      <c r="E337" s="1">
        <v>217</v>
      </c>
      <c r="F337" s="1">
        <v>162.4</v>
      </c>
      <c r="G337" s="1">
        <v>164.9</v>
      </c>
      <c r="H337" s="1">
        <v>202.4</v>
      </c>
      <c r="I337" s="1">
        <v>171</v>
      </c>
      <c r="J337" s="1">
        <v>174.9</v>
      </c>
      <c r="K337" s="1">
        <v>164.7</v>
      </c>
      <c r="L337" s="1">
        <v>119.7</v>
      </c>
      <c r="M337" s="1">
        <v>184.9</v>
      </c>
      <c r="N337" s="1">
        <v>167.1</v>
      </c>
      <c r="O337" s="1">
        <v>182.5</v>
      </c>
      <c r="P337" s="1">
        <v>173.3</v>
      </c>
      <c r="Q337" s="1">
        <v>194.1</v>
      </c>
      <c r="R337" s="1">
        <v>175.6</v>
      </c>
      <c r="S337" s="1">
        <v>168.4</v>
      </c>
      <c r="T337" s="1">
        <v>174.6</v>
      </c>
      <c r="U337" s="1">
        <v>167.5</v>
      </c>
      <c r="V337" s="1">
        <v>174.6</v>
      </c>
      <c r="W337" s="1">
        <v>165.2</v>
      </c>
      <c r="X337" s="1">
        <v>174.8</v>
      </c>
      <c r="Y337" s="1">
        <v>163</v>
      </c>
      <c r="Z337" s="1">
        <v>165.1</v>
      </c>
      <c r="AA337" s="1">
        <v>167.9</v>
      </c>
      <c r="AB337" s="1">
        <v>168.4</v>
      </c>
      <c r="AC337" s="1">
        <v>167.5</v>
      </c>
      <c r="AD337" s="1">
        <v>171.7</v>
      </c>
    </row>
    <row r="338" spans="1:30" x14ac:dyDescent="0.3">
      <c r="A338" s="1" t="s">
        <v>30</v>
      </c>
      <c r="B338" s="2">
        <v>2022</v>
      </c>
      <c r="C338" s="1" t="s">
        <v>39</v>
      </c>
      <c r="D338" s="1">
        <v>153.80000000000001</v>
      </c>
      <c r="E338" s="1">
        <v>217.2</v>
      </c>
      <c r="F338" s="1">
        <v>169.6</v>
      </c>
      <c r="G338" s="1">
        <v>165.4</v>
      </c>
      <c r="H338" s="1">
        <v>208.1</v>
      </c>
      <c r="I338" s="1">
        <v>165.8</v>
      </c>
      <c r="J338" s="1">
        <v>167.3</v>
      </c>
      <c r="K338" s="1">
        <v>164.6</v>
      </c>
      <c r="L338" s="1">
        <v>119.1</v>
      </c>
      <c r="M338" s="1">
        <v>188.9</v>
      </c>
      <c r="N338" s="1">
        <v>174.2</v>
      </c>
      <c r="O338" s="1">
        <v>181.9</v>
      </c>
      <c r="P338" s="1">
        <v>172.4</v>
      </c>
      <c r="Q338" s="1">
        <v>192.9</v>
      </c>
      <c r="R338" s="1">
        <v>180.7</v>
      </c>
      <c r="S338" s="1">
        <v>178.7</v>
      </c>
      <c r="T338" s="1">
        <v>180.4</v>
      </c>
      <c r="U338" s="1">
        <f>U339</f>
        <v>166.8</v>
      </c>
      <c r="V338" s="1">
        <v>176.7</v>
      </c>
      <c r="W338" s="1">
        <v>170.3</v>
      </c>
      <c r="X338" s="1">
        <v>178.2</v>
      </c>
      <c r="Y338" s="1">
        <v>165.5</v>
      </c>
      <c r="Z338" s="1">
        <v>168</v>
      </c>
      <c r="AA338" s="1">
        <v>172.6</v>
      </c>
      <c r="AB338" s="1">
        <v>169.5</v>
      </c>
      <c r="AC338" s="1">
        <v>171</v>
      </c>
      <c r="AD338" s="1">
        <v>173.6</v>
      </c>
    </row>
    <row r="339" spans="1:30" x14ac:dyDescent="0.3">
      <c r="A339" s="1" t="s">
        <v>33</v>
      </c>
      <c r="B339" s="2">
        <v>2022</v>
      </c>
      <c r="C339" s="1" t="s">
        <v>39</v>
      </c>
      <c r="D339" s="1">
        <v>157.5</v>
      </c>
      <c r="E339" s="1">
        <v>223.4</v>
      </c>
      <c r="F339" s="1">
        <v>172.8</v>
      </c>
      <c r="G339" s="1">
        <v>166.4</v>
      </c>
      <c r="H339" s="1">
        <v>188.6</v>
      </c>
      <c r="I339" s="1">
        <v>174.1</v>
      </c>
      <c r="J339" s="1">
        <v>211.5</v>
      </c>
      <c r="K339" s="1">
        <v>163.6</v>
      </c>
      <c r="L339" s="1">
        <v>121.4</v>
      </c>
      <c r="M339" s="1">
        <v>183.5</v>
      </c>
      <c r="N339" s="1">
        <v>159.1</v>
      </c>
      <c r="O339" s="1">
        <v>186.3</v>
      </c>
      <c r="P339" s="1">
        <v>179.3</v>
      </c>
      <c r="Q339" s="1">
        <v>198.3</v>
      </c>
      <c r="R339" s="1">
        <v>171.6</v>
      </c>
      <c r="S339" s="1">
        <v>157.4</v>
      </c>
      <c r="T339" s="1">
        <v>169.4</v>
      </c>
      <c r="U339" s="1">
        <v>166.8</v>
      </c>
      <c r="V339" s="1">
        <v>174.9</v>
      </c>
      <c r="W339" s="1">
        <v>162.1</v>
      </c>
      <c r="X339" s="1">
        <v>170.9</v>
      </c>
      <c r="Y339" s="1">
        <v>157.19999999999999</v>
      </c>
      <c r="Z339" s="1">
        <v>164.1</v>
      </c>
      <c r="AA339" s="1">
        <v>166.5</v>
      </c>
      <c r="AB339" s="1">
        <v>169.2</v>
      </c>
      <c r="AC339" s="1">
        <v>163.80000000000001</v>
      </c>
      <c r="AD339" s="1">
        <v>171.4</v>
      </c>
    </row>
    <row r="340" spans="1:30" x14ac:dyDescent="0.3">
      <c r="A340" s="1" t="s">
        <v>34</v>
      </c>
      <c r="B340" s="2">
        <v>2022</v>
      </c>
      <c r="C340" s="1" t="s">
        <v>39</v>
      </c>
      <c r="D340" s="1">
        <v>155</v>
      </c>
      <c r="E340" s="1">
        <v>219.4</v>
      </c>
      <c r="F340" s="1">
        <v>170.8</v>
      </c>
      <c r="G340" s="1">
        <v>165.8</v>
      </c>
      <c r="H340" s="1">
        <v>200.9</v>
      </c>
      <c r="I340" s="1">
        <v>169.7</v>
      </c>
      <c r="J340" s="1">
        <v>182.3</v>
      </c>
      <c r="K340" s="1">
        <v>164.3</v>
      </c>
      <c r="L340" s="1">
        <v>119.9</v>
      </c>
      <c r="M340" s="1">
        <v>187.1</v>
      </c>
      <c r="N340" s="1">
        <v>167.9</v>
      </c>
      <c r="O340" s="1">
        <v>183.9</v>
      </c>
      <c r="P340" s="1">
        <v>174.9</v>
      </c>
      <c r="Q340" s="1">
        <v>194.3</v>
      </c>
      <c r="R340" s="1">
        <v>177.1</v>
      </c>
      <c r="S340" s="1">
        <v>169.9</v>
      </c>
      <c r="T340" s="1">
        <v>176</v>
      </c>
      <c r="U340" s="1">
        <v>166.8</v>
      </c>
      <c r="V340" s="1">
        <v>176</v>
      </c>
      <c r="W340" s="1">
        <v>166.4</v>
      </c>
      <c r="X340" s="1">
        <v>175.4</v>
      </c>
      <c r="Y340" s="1">
        <v>161.1</v>
      </c>
      <c r="Z340" s="1">
        <v>165.8</v>
      </c>
      <c r="AA340" s="1">
        <v>169</v>
      </c>
      <c r="AB340" s="1">
        <v>169.4</v>
      </c>
      <c r="AC340" s="1">
        <v>167.5</v>
      </c>
      <c r="AD340" s="1">
        <v>172.6</v>
      </c>
    </row>
    <row r="341" spans="1:30" x14ac:dyDescent="0.3">
      <c r="A341" s="1" t="s">
        <v>30</v>
      </c>
      <c r="B341" s="2">
        <v>2022</v>
      </c>
      <c r="C341" s="1" t="s">
        <v>40</v>
      </c>
      <c r="D341" s="1">
        <v>155.19999999999999</v>
      </c>
      <c r="E341" s="1">
        <v>210.8</v>
      </c>
      <c r="F341" s="1">
        <v>174.3</v>
      </c>
      <c r="G341" s="1">
        <v>166.3</v>
      </c>
      <c r="H341" s="1">
        <v>202.2</v>
      </c>
      <c r="I341" s="1">
        <v>169.6</v>
      </c>
      <c r="J341" s="1">
        <v>168.6</v>
      </c>
      <c r="K341" s="1">
        <v>164.4</v>
      </c>
      <c r="L341" s="1">
        <v>119.2</v>
      </c>
      <c r="M341" s="1">
        <v>191.8</v>
      </c>
      <c r="N341" s="1">
        <v>174.5</v>
      </c>
      <c r="O341" s="1">
        <v>183.1</v>
      </c>
      <c r="P341" s="1">
        <v>172.5</v>
      </c>
      <c r="Q341" s="1">
        <v>193.2</v>
      </c>
      <c r="R341" s="1">
        <v>182</v>
      </c>
      <c r="S341" s="1">
        <v>180.3</v>
      </c>
      <c r="T341" s="1">
        <v>181.7</v>
      </c>
      <c r="U341" s="1">
        <f>U342</f>
        <v>167.8</v>
      </c>
      <c r="V341" s="1">
        <v>179.6</v>
      </c>
      <c r="W341" s="1">
        <v>171.3</v>
      </c>
      <c r="X341" s="1">
        <v>178.8</v>
      </c>
      <c r="Y341" s="1">
        <v>166.3</v>
      </c>
      <c r="Z341" s="1">
        <v>168.6</v>
      </c>
      <c r="AA341" s="1">
        <v>174.7</v>
      </c>
      <c r="AB341" s="1">
        <v>169.7</v>
      </c>
      <c r="AC341" s="1">
        <v>171.8</v>
      </c>
      <c r="AD341" s="1">
        <v>174.3</v>
      </c>
    </row>
    <row r="342" spans="1:30" x14ac:dyDescent="0.3">
      <c r="A342" s="1" t="s">
        <v>33</v>
      </c>
      <c r="B342" s="2">
        <v>2022</v>
      </c>
      <c r="C342" s="1" t="s">
        <v>40</v>
      </c>
      <c r="D342" s="1">
        <v>159.30000000000001</v>
      </c>
      <c r="E342" s="1">
        <v>217.1</v>
      </c>
      <c r="F342" s="1">
        <v>176.6</v>
      </c>
      <c r="G342" s="1">
        <v>167.1</v>
      </c>
      <c r="H342" s="1">
        <v>184.8</v>
      </c>
      <c r="I342" s="1">
        <v>179.5</v>
      </c>
      <c r="J342" s="1">
        <v>208.5</v>
      </c>
      <c r="K342" s="1">
        <v>164</v>
      </c>
      <c r="L342" s="1">
        <v>121.5</v>
      </c>
      <c r="M342" s="1">
        <v>186.3</v>
      </c>
      <c r="N342" s="1">
        <v>159.80000000000001</v>
      </c>
      <c r="O342" s="1">
        <v>187.7</v>
      </c>
      <c r="P342" s="1">
        <v>179.4</v>
      </c>
      <c r="Q342" s="1">
        <v>198.6</v>
      </c>
      <c r="R342" s="1">
        <v>172.7</v>
      </c>
      <c r="S342" s="1">
        <v>158.69999999999999</v>
      </c>
      <c r="T342" s="1">
        <v>170.6</v>
      </c>
      <c r="U342" s="1">
        <v>167.8</v>
      </c>
      <c r="V342" s="1">
        <v>179.5</v>
      </c>
      <c r="W342" s="1">
        <v>163.1</v>
      </c>
      <c r="X342" s="1">
        <v>171.7</v>
      </c>
      <c r="Y342" s="1">
        <v>157.4</v>
      </c>
      <c r="Z342" s="1">
        <v>164.6</v>
      </c>
      <c r="AA342" s="1">
        <v>169.1</v>
      </c>
      <c r="AB342" s="1">
        <v>169.8</v>
      </c>
      <c r="AC342" s="1">
        <v>164.7</v>
      </c>
      <c r="AD342" s="1">
        <v>172.3</v>
      </c>
    </row>
    <row r="343" spans="1:30" x14ac:dyDescent="0.3">
      <c r="A343" s="1" t="s">
        <v>34</v>
      </c>
      <c r="B343" s="2">
        <v>2022</v>
      </c>
      <c r="C343" s="1" t="s">
        <v>40</v>
      </c>
      <c r="D343" s="1">
        <v>156.5</v>
      </c>
      <c r="E343" s="1">
        <v>213</v>
      </c>
      <c r="F343" s="1">
        <v>175.2</v>
      </c>
      <c r="G343" s="1">
        <v>166.6</v>
      </c>
      <c r="H343" s="1">
        <v>195.8</v>
      </c>
      <c r="I343" s="1">
        <v>174.2</v>
      </c>
      <c r="J343" s="1">
        <v>182.1</v>
      </c>
      <c r="K343" s="1">
        <v>164.3</v>
      </c>
      <c r="L343" s="1">
        <v>120</v>
      </c>
      <c r="M343" s="1">
        <v>190</v>
      </c>
      <c r="N343" s="1">
        <v>168.4</v>
      </c>
      <c r="O343" s="1">
        <v>185.2</v>
      </c>
      <c r="P343" s="1">
        <v>175</v>
      </c>
      <c r="Q343" s="1">
        <v>194.6</v>
      </c>
      <c r="R343" s="1">
        <v>178.3</v>
      </c>
      <c r="S343" s="1">
        <v>171.3</v>
      </c>
      <c r="T343" s="1">
        <v>177.3</v>
      </c>
      <c r="U343" s="1">
        <v>167.8</v>
      </c>
      <c r="V343" s="1">
        <v>179.6</v>
      </c>
      <c r="W343" s="1">
        <v>167.4</v>
      </c>
      <c r="X343" s="1">
        <v>176.1</v>
      </c>
      <c r="Y343" s="1">
        <v>161.6</v>
      </c>
      <c r="Z343" s="1">
        <v>166.3</v>
      </c>
      <c r="AA343" s="1">
        <v>171.4</v>
      </c>
      <c r="AB343" s="1">
        <v>169.7</v>
      </c>
      <c r="AC343" s="1">
        <v>168.4</v>
      </c>
      <c r="AD343" s="1">
        <v>173.4</v>
      </c>
    </row>
    <row r="344" spans="1:30" x14ac:dyDescent="0.3">
      <c r="A344" s="1" t="s">
        <v>30</v>
      </c>
      <c r="B344" s="2">
        <v>2022</v>
      </c>
      <c r="C344" s="1" t="s">
        <v>41</v>
      </c>
      <c r="D344" s="1">
        <v>159.5</v>
      </c>
      <c r="E344" s="1">
        <v>204.1</v>
      </c>
      <c r="F344" s="1">
        <v>168.3</v>
      </c>
      <c r="G344" s="1">
        <v>167.9</v>
      </c>
      <c r="H344" s="1">
        <v>198.1</v>
      </c>
      <c r="I344" s="1">
        <v>169.2</v>
      </c>
      <c r="J344" s="1">
        <v>173.1</v>
      </c>
      <c r="K344" s="1">
        <v>167.1</v>
      </c>
      <c r="L344" s="1">
        <v>120.2</v>
      </c>
      <c r="M344" s="1">
        <v>195.6</v>
      </c>
      <c r="N344" s="1">
        <v>174.8</v>
      </c>
      <c r="O344" s="1">
        <v>184</v>
      </c>
      <c r="P344" s="1">
        <v>173.9</v>
      </c>
      <c r="Q344" s="1">
        <v>193.7</v>
      </c>
      <c r="R344" s="1">
        <v>183.2</v>
      </c>
      <c r="S344" s="1">
        <v>181.7</v>
      </c>
      <c r="T344" s="1">
        <v>183</v>
      </c>
      <c r="U344" s="1">
        <f>U345</f>
        <v>169</v>
      </c>
      <c r="V344" s="1">
        <v>179.1</v>
      </c>
      <c r="W344" s="1">
        <v>172.3</v>
      </c>
      <c r="X344" s="1">
        <v>179.4</v>
      </c>
      <c r="Y344" s="1">
        <v>166.6</v>
      </c>
      <c r="Z344" s="1">
        <v>169.3</v>
      </c>
      <c r="AA344" s="1">
        <v>175.7</v>
      </c>
      <c r="AB344" s="1">
        <v>171.1</v>
      </c>
      <c r="AC344" s="1">
        <v>172.6</v>
      </c>
      <c r="AD344" s="1">
        <v>175.3</v>
      </c>
    </row>
    <row r="345" spans="1:30" x14ac:dyDescent="0.3">
      <c r="A345" s="1" t="s">
        <v>33</v>
      </c>
      <c r="B345" s="2">
        <v>2022</v>
      </c>
      <c r="C345" s="1" t="s">
        <v>41</v>
      </c>
      <c r="D345" s="1">
        <v>162.1</v>
      </c>
      <c r="E345" s="1">
        <v>210.9</v>
      </c>
      <c r="F345" s="1">
        <v>170.6</v>
      </c>
      <c r="G345" s="1">
        <v>168.4</v>
      </c>
      <c r="H345" s="1">
        <v>182.5</v>
      </c>
      <c r="I345" s="1">
        <v>177.1</v>
      </c>
      <c r="J345" s="1">
        <v>213.1</v>
      </c>
      <c r="K345" s="1">
        <v>167.3</v>
      </c>
      <c r="L345" s="1">
        <v>122.2</v>
      </c>
      <c r="M345" s="1">
        <v>189.7</v>
      </c>
      <c r="N345" s="1">
        <v>160.5</v>
      </c>
      <c r="O345" s="1">
        <v>188.9</v>
      </c>
      <c r="P345" s="1">
        <v>180.4</v>
      </c>
      <c r="Q345" s="1">
        <v>198.7</v>
      </c>
      <c r="R345" s="1">
        <v>173.7</v>
      </c>
      <c r="S345" s="1">
        <v>160</v>
      </c>
      <c r="T345" s="1">
        <v>171.6</v>
      </c>
      <c r="U345" s="1">
        <v>169</v>
      </c>
      <c r="V345" s="1">
        <v>178.4</v>
      </c>
      <c r="W345" s="1">
        <v>164.2</v>
      </c>
      <c r="X345" s="1">
        <v>172.6</v>
      </c>
      <c r="Y345" s="1">
        <v>157.69999999999999</v>
      </c>
      <c r="Z345" s="1">
        <v>165.1</v>
      </c>
      <c r="AA345" s="1">
        <v>169.9</v>
      </c>
      <c r="AB345" s="1">
        <v>171.4</v>
      </c>
      <c r="AC345" s="1">
        <v>165.4</v>
      </c>
      <c r="AD345" s="1">
        <v>173.1</v>
      </c>
    </row>
    <row r="346" spans="1:30" x14ac:dyDescent="0.3">
      <c r="A346" s="1" t="s">
        <v>34</v>
      </c>
      <c r="B346" s="2">
        <v>2022</v>
      </c>
      <c r="C346" s="1" t="s">
        <v>41</v>
      </c>
      <c r="D346" s="1">
        <v>160.30000000000001</v>
      </c>
      <c r="E346" s="1">
        <v>206.5</v>
      </c>
      <c r="F346" s="1">
        <v>169.2</v>
      </c>
      <c r="G346" s="1">
        <v>168.1</v>
      </c>
      <c r="H346" s="1">
        <v>192.4</v>
      </c>
      <c r="I346" s="1">
        <v>172.9</v>
      </c>
      <c r="J346" s="1">
        <v>186.7</v>
      </c>
      <c r="K346" s="1">
        <v>167.2</v>
      </c>
      <c r="L346" s="1">
        <v>120.9</v>
      </c>
      <c r="M346" s="1">
        <v>193.6</v>
      </c>
      <c r="N346" s="1">
        <v>168.8</v>
      </c>
      <c r="O346" s="1">
        <v>186.3</v>
      </c>
      <c r="P346" s="1">
        <v>176.3</v>
      </c>
      <c r="Q346" s="1">
        <v>195</v>
      </c>
      <c r="R346" s="1">
        <v>179.5</v>
      </c>
      <c r="S346" s="1">
        <v>172.7</v>
      </c>
      <c r="T346" s="1">
        <v>178.5</v>
      </c>
      <c r="U346" s="1">
        <v>169</v>
      </c>
      <c r="V346" s="1">
        <v>178.8</v>
      </c>
      <c r="W346" s="1">
        <v>168.5</v>
      </c>
      <c r="X346" s="1">
        <v>176.8</v>
      </c>
      <c r="Y346" s="1">
        <v>161.9</v>
      </c>
      <c r="Z346" s="1">
        <v>166.9</v>
      </c>
      <c r="AA346" s="1">
        <v>172.3</v>
      </c>
      <c r="AB346" s="1">
        <v>171.2</v>
      </c>
      <c r="AC346" s="1">
        <v>169.1</v>
      </c>
      <c r="AD346" s="1">
        <v>174.3</v>
      </c>
    </row>
    <row r="347" spans="1:30" x14ac:dyDescent="0.3">
      <c r="A347" s="1" t="s">
        <v>30</v>
      </c>
      <c r="B347" s="2">
        <v>2022</v>
      </c>
      <c r="C347" s="1" t="s">
        <v>42</v>
      </c>
      <c r="D347" s="1">
        <v>162.9</v>
      </c>
      <c r="E347" s="1">
        <v>206.7</v>
      </c>
      <c r="F347" s="1">
        <v>169</v>
      </c>
      <c r="G347" s="1">
        <v>169.5</v>
      </c>
      <c r="H347" s="1">
        <v>194.1</v>
      </c>
      <c r="I347" s="1">
        <v>164.1</v>
      </c>
      <c r="J347" s="1">
        <v>176.9</v>
      </c>
      <c r="K347" s="1">
        <v>169</v>
      </c>
      <c r="L347" s="1">
        <v>120.8</v>
      </c>
      <c r="M347" s="1">
        <v>199.1</v>
      </c>
      <c r="N347" s="1">
        <v>175.4</v>
      </c>
      <c r="O347" s="1">
        <v>184.8</v>
      </c>
      <c r="P347" s="1">
        <v>175.5</v>
      </c>
      <c r="Q347" s="1">
        <v>194.5</v>
      </c>
      <c r="R347" s="1">
        <v>184.7</v>
      </c>
      <c r="S347" s="1">
        <v>183.3</v>
      </c>
      <c r="T347" s="1">
        <v>184.5</v>
      </c>
      <c r="U347" s="1">
        <f>U348</f>
        <v>169.5</v>
      </c>
      <c r="V347" s="1">
        <v>179.7</v>
      </c>
      <c r="W347" s="1">
        <v>173.6</v>
      </c>
      <c r="X347" s="1">
        <v>180.2</v>
      </c>
      <c r="Y347" s="1">
        <v>166.9</v>
      </c>
      <c r="Z347" s="1">
        <v>170</v>
      </c>
      <c r="AA347" s="1">
        <v>176.2</v>
      </c>
      <c r="AB347" s="1">
        <v>170.8</v>
      </c>
      <c r="AC347" s="1">
        <v>173.1</v>
      </c>
      <c r="AD347" s="1">
        <v>176.4</v>
      </c>
    </row>
    <row r="348" spans="1:30" x14ac:dyDescent="0.3">
      <c r="A348" s="1" t="s">
        <v>33</v>
      </c>
      <c r="B348" s="2">
        <v>2022</v>
      </c>
      <c r="C348" s="1" t="s">
        <v>42</v>
      </c>
      <c r="D348" s="1">
        <v>164.9</v>
      </c>
      <c r="E348" s="1">
        <v>213.7</v>
      </c>
      <c r="F348" s="1">
        <v>170.9</v>
      </c>
      <c r="G348" s="1">
        <v>170.1</v>
      </c>
      <c r="H348" s="1">
        <v>179.3</v>
      </c>
      <c r="I348" s="1">
        <v>167.5</v>
      </c>
      <c r="J348" s="1">
        <v>220.8</v>
      </c>
      <c r="K348" s="1">
        <v>169.2</v>
      </c>
      <c r="L348" s="1">
        <v>123.1</v>
      </c>
      <c r="M348" s="1">
        <v>193.6</v>
      </c>
      <c r="N348" s="1">
        <v>161.1</v>
      </c>
      <c r="O348" s="1">
        <v>190.4</v>
      </c>
      <c r="P348" s="1">
        <v>181.8</v>
      </c>
      <c r="Q348" s="1">
        <v>199.7</v>
      </c>
      <c r="R348" s="1">
        <v>175</v>
      </c>
      <c r="S348" s="1">
        <v>161.69999999999999</v>
      </c>
      <c r="T348" s="1">
        <v>173</v>
      </c>
      <c r="U348" s="1">
        <v>169.5</v>
      </c>
      <c r="V348" s="1">
        <v>179.2</v>
      </c>
      <c r="W348" s="1">
        <v>165</v>
      </c>
      <c r="X348" s="1">
        <v>173.8</v>
      </c>
      <c r="Y348" s="1">
        <v>158.19999999999999</v>
      </c>
      <c r="Z348" s="1">
        <v>165.8</v>
      </c>
      <c r="AA348" s="1">
        <v>170.9</v>
      </c>
      <c r="AB348" s="1">
        <v>171.1</v>
      </c>
      <c r="AC348" s="1">
        <v>166.1</v>
      </c>
      <c r="AD348" s="1">
        <v>174.1</v>
      </c>
    </row>
    <row r="349" spans="1:30" x14ac:dyDescent="0.3">
      <c r="A349" s="1" t="s">
        <v>34</v>
      </c>
      <c r="B349" s="2">
        <v>2022</v>
      </c>
      <c r="C349" s="1" t="s">
        <v>42</v>
      </c>
      <c r="D349" s="1">
        <v>163.5</v>
      </c>
      <c r="E349" s="1">
        <v>209.2</v>
      </c>
      <c r="F349" s="1">
        <v>169.7</v>
      </c>
      <c r="G349" s="1">
        <v>169.7</v>
      </c>
      <c r="H349" s="1">
        <v>188.7</v>
      </c>
      <c r="I349" s="1">
        <v>165.7</v>
      </c>
      <c r="J349" s="1">
        <v>191.8</v>
      </c>
      <c r="K349" s="1">
        <v>169.1</v>
      </c>
      <c r="L349" s="1">
        <v>121.6</v>
      </c>
      <c r="M349" s="1">
        <v>197.3</v>
      </c>
      <c r="N349" s="1">
        <v>169.4</v>
      </c>
      <c r="O349" s="1">
        <v>187.4</v>
      </c>
      <c r="P349" s="1">
        <v>177.8</v>
      </c>
      <c r="Q349" s="1">
        <v>195.9</v>
      </c>
      <c r="R349" s="1">
        <v>180.9</v>
      </c>
      <c r="S349" s="1">
        <v>174.3</v>
      </c>
      <c r="T349" s="1">
        <v>179.9</v>
      </c>
      <c r="U349" s="1">
        <v>169.5</v>
      </c>
      <c r="V349" s="1">
        <v>179.5</v>
      </c>
      <c r="W349" s="1">
        <v>169.5</v>
      </c>
      <c r="X349" s="1">
        <v>177.8</v>
      </c>
      <c r="Y349" s="1">
        <v>162.30000000000001</v>
      </c>
      <c r="Z349" s="1">
        <v>167.6</v>
      </c>
      <c r="AA349" s="1">
        <v>173.1</v>
      </c>
      <c r="AB349" s="1">
        <v>170.9</v>
      </c>
      <c r="AC349" s="1">
        <v>169.7</v>
      </c>
      <c r="AD349" s="1">
        <v>175.3</v>
      </c>
    </row>
    <row r="350" spans="1:30" x14ac:dyDescent="0.3">
      <c r="A350" s="1" t="s">
        <v>30</v>
      </c>
      <c r="B350" s="2">
        <v>2022</v>
      </c>
      <c r="C350" s="1" t="s">
        <v>43</v>
      </c>
      <c r="D350" s="1">
        <v>164.7</v>
      </c>
      <c r="E350" s="1">
        <v>208.8</v>
      </c>
      <c r="F350" s="1">
        <v>170.3</v>
      </c>
      <c r="G350" s="1">
        <v>170.9</v>
      </c>
      <c r="H350" s="1">
        <v>191.6</v>
      </c>
      <c r="I350" s="1">
        <v>162.19999999999999</v>
      </c>
      <c r="J350" s="1">
        <v>184.8</v>
      </c>
      <c r="K350" s="1">
        <v>169.7</v>
      </c>
      <c r="L350" s="1">
        <v>121.1</v>
      </c>
      <c r="M350" s="1">
        <v>201.6</v>
      </c>
      <c r="N350" s="1">
        <v>175.8</v>
      </c>
      <c r="O350" s="1">
        <v>185.6</v>
      </c>
      <c r="P350" s="1">
        <v>177.4</v>
      </c>
      <c r="Q350" s="1">
        <v>194.9</v>
      </c>
      <c r="R350" s="1">
        <v>186.1</v>
      </c>
      <c r="S350" s="1">
        <v>184.4</v>
      </c>
      <c r="T350" s="1">
        <v>185.9</v>
      </c>
      <c r="U350" s="1">
        <f>U351</f>
        <v>171.2</v>
      </c>
      <c r="V350" s="1">
        <v>180.8</v>
      </c>
      <c r="W350" s="1">
        <v>174.4</v>
      </c>
      <c r="X350" s="1">
        <v>181.2</v>
      </c>
      <c r="Y350" s="1">
        <v>167.4</v>
      </c>
      <c r="Z350" s="1">
        <v>170.6</v>
      </c>
      <c r="AA350" s="1">
        <v>176.5</v>
      </c>
      <c r="AB350" s="1">
        <v>172</v>
      </c>
      <c r="AC350" s="1">
        <v>173.9</v>
      </c>
      <c r="AD350" s="1">
        <v>177.9</v>
      </c>
    </row>
    <row r="351" spans="1:30" x14ac:dyDescent="0.3">
      <c r="A351" s="1" t="s">
        <v>33</v>
      </c>
      <c r="B351" s="2">
        <v>2022</v>
      </c>
      <c r="C351" s="1" t="s">
        <v>43</v>
      </c>
      <c r="D351" s="1">
        <v>166.4</v>
      </c>
      <c r="E351" s="1">
        <v>214.9</v>
      </c>
      <c r="F351" s="1">
        <v>171.9</v>
      </c>
      <c r="G351" s="1">
        <v>171</v>
      </c>
      <c r="H351" s="1">
        <v>177.7</v>
      </c>
      <c r="I351" s="1">
        <v>165.7</v>
      </c>
      <c r="J351" s="1">
        <v>228.6</v>
      </c>
      <c r="K351" s="1">
        <v>169.9</v>
      </c>
      <c r="L351" s="1">
        <v>123.4</v>
      </c>
      <c r="M351" s="1">
        <v>196.4</v>
      </c>
      <c r="N351" s="1">
        <v>161.6</v>
      </c>
      <c r="O351" s="1">
        <v>191.5</v>
      </c>
      <c r="P351" s="1">
        <v>183.3</v>
      </c>
      <c r="Q351" s="1">
        <v>200.1</v>
      </c>
      <c r="R351" s="1">
        <v>175.5</v>
      </c>
      <c r="S351" s="1">
        <v>162.6</v>
      </c>
      <c r="T351" s="1">
        <v>173.6</v>
      </c>
      <c r="U351" s="1">
        <v>171.2</v>
      </c>
      <c r="V351" s="1">
        <v>180</v>
      </c>
      <c r="W351" s="1">
        <v>166</v>
      </c>
      <c r="X351" s="1">
        <v>174.7</v>
      </c>
      <c r="Y351" s="1">
        <v>158.80000000000001</v>
      </c>
      <c r="Z351" s="1">
        <v>166.3</v>
      </c>
      <c r="AA351" s="1">
        <v>171.2</v>
      </c>
      <c r="AB351" s="1">
        <v>172.3</v>
      </c>
      <c r="AC351" s="1">
        <v>166.8</v>
      </c>
      <c r="AD351" s="1">
        <v>175.3</v>
      </c>
    </row>
    <row r="352" spans="1:30" x14ac:dyDescent="0.3">
      <c r="A352" s="1" t="s">
        <v>34</v>
      </c>
      <c r="B352" s="2">
        <v>2022</v>
      </c>
      <c r="C352" s="1" t="s">
        <v>43</v>
      </c>
      <c r="D352" s="1">
        <v>165.2</v>
      </c>
      <c r="E352" s="1">
        <v>210.9</v>
      </c>
      <c r="F352" s="1">
        <v>170.9</v>
      </c>
      <c r="G352" s="1">
        <v>170.9</v>
      </c>
      <c r="H352" s="1">
        <v>186.5</v>
      </c>
      <c r="I352" s="1">
        <v>163.80000000000001</v>
      </c>
      <c r="J352" s="1">
        <v>199.7</v>
      </c>
      <c r="K352" s="1">
        <v>169.8</v>
      </c>
      <c r="L352" s="1">
        <v>121.9</v>
      </c>
      <c r="M352" s="1">
        <v>199.9</v>
      </c>
      <c r="N352" s="1">
        <v>169.9</v>
      </c>
      <c r="O352" s="1">
        <v>188.3</v>
      </c>
      <c r="P352" s="1">
        <v>179.6</v>
      </c>
      <c r="Q352" s="1">
        <v>196.3</v>
      </c>
      <c r="R352" s="1">
        <v>181.9</v>
      </c>
      <c r="S352" s="1">
        <v>175.3</v>
      </c>
      <c r="T352" s="1">
        <v>181</v>
      </c>
      <c r="U352" s="1">
        <v>171.2</v>
      </c>
      <c r="V352" s="1">
        <v>180.5</v>
      </c>
      <c r="W352" s="1">
        <v>170.4</v>
      </c>
      <c r="X352" s="1">
        <v>178.7</v>
      </c>
      <c r="Y352" s="1">
        <v>162.9</v>
      </c>
      <c r="Z352" s="1">
        <v>168.2</v>
      </c>
      <c r="AA352" s="1">
        <v>173.4</v>
      </c>
      <c r="AB352" s="1">
        <v>172.1</v>
      </c>
      <c r="AC352" s="1">
        <v>170.5</v>
      </c>
      <c r="AD352" s="1">
        <v>176.7</v>
      </c>
    </row>
    <row r="353" spans="1:30" x14ac:dyDescent="0.3">
      <c r="A353" s="1" t="s">
        <v>30</v>
      </c>
      <c r="B353" s="2">
        <v>2022</v>
      </c>
      <c r="C353" s="1" t="s">
        <v>45</v>
      </c>
      <c r="D353" s="1">
        <v>166.9</v>
      </c>
      <c r="E353" s="1">
        <v>207.2</v>
      </c>
      <c r="F353" s="1">
        <v>180.2</v>
      </c>
      <c r="G353" s="1">
        <v>172.3</v>
      </c>
      <c r="H353" s="1">
        <v>194</v>
      </c>
      <c r="I353" s="1">
        <v>159.1</v>
      </c>
      <c r="J353" s="1">
        <v>171.6</v>
      </c>
      <c r="K353" s="1">
        <v>170.2</v>
      </c>
      <c r="L353" s="1">
        <v>121.5</v>
      </c>
      <c r="M353" s="1">
        <v>204.8</v>
      </c>
      <c r="N353" s="1">
        <v>176.4</v>
      </c>
      <c r="O353" s="1">
        <v>186.9</v>
      </c>
      <c r="P353" s="1">
        <v>176.6</v>
      </c>
      <c r="Q353" s="1">
        <v>195.5</v>
      </c>
      <c r="R353" s="1">
        <v>187.2</v>
      </c>
      <c r="S353" s="1">
        <v>185.2</v>
      </c>
      <c r="T353" s="1">
        <v>186.9</v>
      </c>
      <c r="U353" s="1">
        <f>U354</f>
        <v>171.8</v>
      </c>
      <c r="V353" s="1">
        <v>181.9</v>
      </c>
      <c r="W353" s="1">
        <v>175.5</v>
      </c>
      <c r="X353" s="1">
        <v>182.3</v>
      </c>
      <c r="Y353" s="1">
        <v>167.5</v>
      </c>
      <c r="Z353" s="1">
        <v>170.8</v>
      </c>
      <c r="AA353" s="1">
        <v>176.9</v>
      </c>
      <c r="AB353" s="1">
        <v>173.4</v>
      </c>
      <c r="AC353" s="1">
        <v>174.6</v>
      </c>
      <c r="AD353" s="1">
        <v>177.8</v>
      </c>
    </row>
    <row r="354" spans="1:30" x14ac:dyDescent="0.3">
      <c r="A354" s="1" t="s">
        <v>33</v>
      </c>
      <c r="B354" s="2">
        <v>2022</v>
      </c>
      <c r="C354" s="1" t="s">
        <v>45</v>
      </c>
      <c r="D354" s="1">
        <v>168.4</v>
      </c>
      <c r="E354" s="1">
        <v>213.4</v>
      </c>
      <c r="F354" s="1">
        <v>183.2</v>
      </c>
      <c r="G354" s="1">
        <v>172.3</v>
      </c>
      <c r="H354" s="1">
        <v>180</v>
      </c>
      <c r="I354" s="1">
        <v>162.6</v>
      </c>
      <c r="J354" s="1">
        <v>205.5</v>
      </c>
      <c r="K354" s="1">
        <v>171</v>
      </c>
      <c r="L354" s="1">
        <v>123.4</v>
      </c>
      <c r="M354" s="1">
        <v>198.8</v>
      </c>
      <c r="N354" s="1">
        <v>162.1</v>
      </c>
      <c r="O354" s="1">
        <v>192.4</v>
      </c>
      <c r="P354" s="1">
        <v>181.3</v>
      </c>
      <c r="Q354" s="1">
        <v>200.6</v>
      </c>
      <c r="R354" s="1">
        <v>176.7</v>
      </c>
      <c r="S354" s="1">
        <v>163.5</v>
      </c>
      <c r="T354" s="1">
        <v>174.7</v>
      </c>
      <c r="U354" s="1">
        <v>171.8</v>
      </c>
      <c r="V354" s="1">
        <v>180.3</v>
      </c>
      <c r="W354" s="1">
        <v>166.9</v>
      </c>
      <c r="X354" s="1">
        <v>175.8</v>
      </c>
      <c r="Y354" s="1">
        <v>158.9</v>
      </c>
      <c r="Z354" s="1">
        <v>166.7</v>
      </c>
      <c r="AA354" s="1">
        <v>171.5</v>
      </c>
      <c r="AB354" s="1">
        <v>173.8</v>
      </c>
      <c r="AC354" s="1">
        <v>167.4</v>
      </c>
      <c r="AD354" s="1">
        <v>174.1</v>
      </c>
    </row>
    <row r="355" spans="1:30" x14ac:dyDescent="0.3">
      <c r="A355" s="1" t="s">
        <v>34</v>
      </c>
      <c r="B355" s="2">
        <v>2022</v>
      </c>
      <c r="C355" s="1" t="s">
        <v>45</v>
      </c>
      <c r="D355" s="1">
        <v>167.4</v>
      </c>
      <c r="E355" s="1">
        <v>209.4</v>
      </c>
      <c r="F355" s="1">
        <v>181.4</v>
      </c>
      <c r="G355" s="1">
        <v>172.3</v>
      </c>
      <c r="H355" s="1">
        <v>188.9</v>
      </c>
      <c r="I355" s="1">
        <v>160.69999999999999</v>
      </c>
      <c r="J355" s="1">
        <v>183.1</v>
      </c>
      <c r="K355" s="1">
        <v>170.5</v>
      </c>
      <c r="L355" s="1">
        <v>122.1</v>
      </c>
      <c r="M355" s="1">
        <v>202.8</v>
      </c>
      <c r="N355" s="1">
        <v>170.4</v>
      </c>
      <c r="O355" s="1">
        <v>189.5</v>
      </c>
      <c r="P355" s="1">
        <v>178.3</v>
      </c>
      <c r="Q355" s="1">
        <v>196.9</v>
      </c>
      <c r="R355" s="1">
        <v>183.1</v>
      </c>
      <c r="S355" s="1">
        <v>176.2</v>
      </c>
      <c r="T355" s="1">
        <v>182.1</v>
      </c>
      <c r="U355" s="1">
        <v>171.8</v>
      </c>
      <c r="V355" s="1">
        <v>181.3</v>
      </c>
      <c r="W355" s="1">
        <v>171.4</v>
      </c>
      <c r="X355" s="1">
        <v>179.8</v>
      </c>
      <c r="Y355" s="1">
        <v>163</v>
      </c>
      <c r="Z355" s="1">
        <v>168.5</v>
      </c>
      <c r="AA355" s="1">
        <v>173.7</v>
      </c>
      <c r="AB355" s="1">
        <v>173.6</v>
      </c>
      <c r="AC355" s="1">
        <v>171.1</v>
      </c>
      <c r="AD355" s="1">
        <v>176.5</v>
      </c>
    </row>
    <row r="356" spans="1:30" x14ac:dyDescent="0.3">
      <c r="A356" s="1" t="s">
        <v>30</v>
      </c>
      <c r="B356" s="2">
        <v>2022</v>
      </c>
      <c r="C356" s="1" t="s">
        <v>46</v>
      </c>
      <c r="D356" s="1">
        <v>168.8</v>
      </c>
      <c r="E356" s="1">
        <v>206.9</v>
      </c>
      <c r="F356" s="1">
        <v>189.1</v>
      </c>
      <c r="G356" s="1">
        <v>173.4</v>
      </c>
      <c r="H356" s="1">
        <v>193.9</v>
      </c>
      <c r="I356" s="1">
        <v>156.69999999999999</v>
      </c>
      <c r="J356" s="1">
        <v>150.19999999999999</v>
      </c>
      <c r="K356" s="1">
        <v>170.5</v>
      </c>
      <c r="L356" s="1">
        <v>121.2</v>
      </c>
      <c r="M356" s="1">
        <v>207.5</v>
      </c>
      <c r="N356" s="1">
        <v>176.8</v>
      </c>
      <c r="O356" s="1">
        <v>187.7</v>
      </c>
      <c r="P356" s="1">
        <v>174.4</v>
      </c>
      <c r="Q356" s="1">
        <v>195.9</v>
      </c>
      <c r="R356" s="1">
        <v>188.1</v>
      </c>
      <c r="S356" s="1">
        <v>185.9</v>
      </c>
      <c r="T356" s="1">
        <v>187.8</v>
      </c>
      <c r="U356" s="1">
        <f>U357</f>
        <v>170.7</v>
      </c>
      <c r="V356" s="1">
        <v>182.8</v>
      </c>
      <c r="W356" s="1">
        <v>176.4</v>
      </c>
      <c r="X356" s="1">
        <v>183.5</v>
      </c>
      <c r="Y356" s="1">
        <v>167.8</v>
      </c>
      <c r="Z356" s="1">
        <v>171.2</v>
      </c>
      <c r="AA356" s="1">
        <v>177.3</v>
      </c>
      <c r="AB356" s="1">
        <v>175.7</v>
      </c>
      <c r="AC356" s="1">
        <v>175.5</v>
      </c>
      <c r="AD356" s="1">
        <v>177.1</v>
      </c>
    </row>
    <row r="357" spans="1:30" x14ac:dyDescent="0.3">
      <c r="A357" s="1" t="s">
        <v>33</v>
      </c>
      <c r="B357" s="2">
        <v>2022</v>
      </c>
      <c r="C357" s="1" t="s">
        <v>46</v>
      </c>
      <c r="D357" s="1">
        <v>170.2</v>
      </c>
      <c r="E357" s="1">
        <v>212.9</v>
      </c>
      <c r="F357" s="1">
        <v>191.9</v>
      </c>
      <c r="G357" s="1">
        <v>173.9</v>
      </c>
      <c r="H357" s="1">
        <v>179.1</v>
      </c>
      <c r="I357" s="1">
        <v>159.5</v>
      </c>
      <c r="J357" s="1">
        <v>178.7</v>
      </c>
      <c r="K357" s="1">
        <v>171.3</v>
      </c>
      <c r="L357" s="1">
        <v>123.1</v>
      </c>
      <c r="M357" s="1">
        <v>200.5</v>
      </c>
      <c r="N357" s="1">
        <v>162.80000000000001</v>
      </c>
      <c r="O357" s="1">
        <v>193.3</v>
      </c>
      <c r="P357" s="1">
        <v>178.6</v>
      </c>
      <c r="Q357" s="1">
        <v>201.1</v>
      </c>
      <c r="R357" s="1">
        <v>177.7</v>
      </c>
      <c r="S357" s="1">
        <v>164.5</v>
      </c>
      <c r="T357" s="1">
        <v>175.7</v>
      </c>
      <c r="U357" s="1">
        <v>170.7</v>
      </c>
      <c r="V357" s="1">
        <v>180.6</v>
      </c>
      <c r="W357" s="1">
        <v>167.3</v>
      </c>
      <c r="X357" s="1">
        <v>177.2</v>
      </c>
      <c r="Y357" s="1">
        <v>159.4</v>
      </c>
      <c r="Z357" s="1">
        <v>167.1</v>
      </c>
      <c r="AA357" s="1">
        <v>171.8</v>
      </c>
      <c r="AB357" s="1">
        <v>176</v>
      </c>
      <c r="AC357" s="1">
        <v>168.2</v>
      </c>
      <c r="AD357" s="1">
        <v>174.1</v>
      </c>
    </row>
    <row r="358" spans="1:30" x14ac:dyDescent="0.3">
      <c r="A358" s="1" t="s">
        <v>34</v>
      </c>
      <c r="B358" s="2">
        <v>2022</v>
      </c>
      <c r="C358" s="1" t="s">
        <v>46</v>
      </c>
      <c r="D358" s="1">
        <v>169.2</v>
      </c>
      <c r="E358" s="1">
        <v>209</v>
      </c>
      <c r="F358" s="1">
        <v>190.2</v>
      </c>
      <c r="G358" s="1">
        <v>173.6</v>
      </c>
      <c r="H358" s="1">
        <v>188.5</v>
      </c>
      <c r="I358" s="1">
        <v>158</v>
      </c>
      <c r="J358" s="1">
        <v>159.9</v>
      </c>
      <c r="K358" s="1">
        <v>170.8</v>
      </c>
      <c r="L358" s="1">
        <v>121.8</v>
      </c>
      <c r="M358" s="1">
        <v>205.2</v>
      </c>
      <c r="N358" s="1">
        <v>171</v>
      </c>
      <c r="O358" s="1">
        <v>190.3</v>
      </c>
      <c r="P358" s="1">
        <v>175.9</v>
      </c>
      <c r="Q358" s="1">
        <v>197.3</v>
      </c>
      <c r="R358" s="1">
        <v>184</v>
      </c>
      <c r="S358" s="1">
        <v>177</v>
      </c>
      <c r="T358" s="1">
        <v>183</v>
      </c>
      <c r="U358" s="1">
        <v>170.7</v>
      </c>
      <c r="V358" s="1">
        <v>182</v>
      </c>
      <c r="W358" s="1">
        <v>172.1</v>
      </c>
      <c r="X358" s="1">
        <v>181.1</v>
      </c>
      <c r="Y358" s="1">
        <v>163.4</v>
      </c>
      <c r="Z358" s="1">
        <v>168.9</v>
      </c>
      <c r="AA358" s="1">
        <v>174.1</v>
      </c>
      <c r="AB358" s="1">
        <v>175.8</v>
      </c>
      <c r="AC358" s="1">
        <v>172</v>
      </c>
      <c r="AD358" s="1">
        <v>175.7</v>
      </c>
    </row>
    <row r="359" spans="1:30" x14ac:dyDescent="0.3">
      <c r="A359" s="1" t="s">
        <v>30</v>
      </c>
      <c r="B359" s="2">
        <v>2023</v>
      </c>
      <c r="C359" s="1" t="s">
        <v>31</v>
      </c>
      <c r="D359" s="1">
        <v>174</v>
      </c>
      <c r="E359" s="1">
        <v>208.3</v>
      </c>
      <c r="F359" s="1">
        <v>192.9</v>
      </c>
      <c r="G359" s="1">
        <v>174.3</v>
      </c>
      <c r="H359" s="1">
        <v>192.6</v>
      </c>
      <c r="I359" s="1">
        <v>156.30000000000001</v>
      </c>
      <c r="J359" s="1">
        <v>142.9</v>
      </c>
      <c r="K359" s="1">
        <v>170.7</v>
      </c>
      <c r="L359" s="1">
        <v>120.3</v>
      </c>
      <c r="M359" s="1">
        <v>210.5</v>
      </c>
      <c r="N359" s="1">
        <v>176.9</v>
      </c>
      <c r="O359" s="1">
        <v>188.5</v>
      </c>
      <c r="P359" s="1">
        <v>175</v>
      </c>
      <c r="Q359" s="1">
        <v>196.9</v>
      </c>
      <c r="R359" s="1">
        <v>189</v>
      </c>
      <c r="S359" s="1">
        <v>186.3</v>
      </c>
      <c r="T359" s="1">
        <v>188.6</v>
      </c>
      <c r="U359" s="1">
        <f>U360</f>
        <v>172.1</v>
      </c>
      <c r="V359" s="1">
        <v>183.2</v>
      </c>
      <c r="W359" s="1">
        <v>177.2</v>
      </c>
      <c r="X359" s="1">
        <v>184.7</v>
      </c>
      <c r="Y359" s="1">
        <v>168.2</v>
      </c>
      <c r="Z359" s="1">
        <v>171.8</v>
      </c>
      <c r="AA359" s="1">
        <v>177.8</v>
      </c>
      <c r="AB359" s="1">
        <v>178.4</v>
      </c>
      <c r="AC359" s="1">
        <v>176.5</v>
      </c>
      <c r="AD359" s="1">
        <v>177.8</v>
      </c>
    </row>
    <row r="360" spans="1:30" x14ac:dyDescent="0.3">
      <c r="A360" s="1" t="s">
        <v>33</v>
      </c>
      <c r="B360" s="2">
        <v>2023</v>
      </c>
      <c r="C360" s="1" t="s">
        <v>31</v>
      </c>
      <c r="D360" s="1">
        <v>173.3</v>
      </c>
      <c r="E360" s="1">
        <v>215.2</v>
      </c>
      <c r="F360" s="1">
        <v>197</v>
      </c>
      <c r="G360" s="1">
        <v>175.2</v>
      </c>
      <c r="H360" s="1">
        <v>178</v>
      </c>
      <c r="I360" s="1">
        <v>160.5</v>
      </c>
      <c r="J360" s="1">
        <v>175.3</v>
      </c>
      <c r="K360" s="1">
        <v>171.2</v>
      </c>
      <c r="L360" s="1">
        <v>122.7</v>
      </c>
      <c r="M360" s="1">
        <v>204.3</v>
      </c>
      <c r="N360" s="1">
        <v>163.69999999999999</v>
      </c>
      <c r="O360" s="1">
        <v>194.3</v>
      </c>
      <c r="P360" s="1">
        <v>179.5</v>
      </c>
      <c r="Q360" s="1">
        <v>201.6</v>
      </c>
      <c r="R360" s="1">
        <v>178.7</v>
      </c>
      <c r="S360" s="1">
        <v>165.3</v>
      </c>
      <c r="T360" s="1">
        <v>176.6</v>
      </c>
      <c r="U360" s="1">
        <v>172.1</v>
      </c>
      <c r="V360" s="1">
        <v>180.1</v>
      </c>
      <c r="W360" s="1">
        <v>168</v>
      </c>
      <c r="X360" s="1">
        <v>178.5</v>
      </c>
      <c r="Y360" s="1">
        <v>159.5</v>
      </c>
      <c r="Z360" s="1">
        <v>167.8</v>
      </c>
      <c r="AA360" s="1">
        <v>171.8</v>
      </c>
      <c r="AB360" s="1">
        <v>178.8</v>
      </c>
      <c r="AC360" s="1">
        <v>168.9</v>
      </c>
      <c r="AD360" s="1">
        <v>174.9</v>
      </c>
    </row>
    <row r="361" spans="1:30" x14ac:dyDescent="0.3">
      <c r="A361" s="1" t="s">
        <v>34</v>
      </c>
      <c r="B361" s="2">
        <v>2023</v>
      </c>
      <c r="C361" s="1" t="s">
        <v>31</v>
      </c>
      <c r="D361" s="1">
        <v>173.8</v>
      </c>
      <c r="E361" s="1">
        <v>210.7</v>
      </c>
      <c r="F361" s="1">
        <v>194.5</v>
      </c>
      <c r="G361" s="1">
        <v>174.6</v>
      </c>
      <c r="H361" s="1">
        <v>187.2</v>
      </c>
      <c r="I361" s="1">
        <v>158.30000000000001</v>
      </c>
      <c r="J361" s="1">
        <v>153.9</v>
      </c>
      <c r="K361" s="1">
        <v>170.9</v>
      </c>
      <c r="L361" s="1">
        <v>121.1</v>
      </c>
      <c r="M361" s="1">
        <v>208.4</v>
      </c>
      <c r="N361" s="1">
        <v>171.4</v>
      </c>
      <c r="O361" s="1">
        <v>191.2</v>
      </c>
      <c r="P361" s="1">
        <v>176.7</v>
      </c>
      <c r="Q361" s="1">
        <v>198.2</v>
      </c>
      <c r="R361" s="1">
        <v>184.9</v>
      </c>
      <c r="S361" s="1">
        <v>177.6</v>
      </c>
      <c r="T361" s="1">
        <v>183.8</v>
      </c>
      <c r="U361" s="1">
        <v>172.1</v>
      </c>
      <c r="V361" s="1">
        <v>182</v>
      </c>
      <c r="W361" s="1">
        <v>172.9</v>
      </c>
      <c r="X361" s="1">
        <v>182.3</v>
      </c>
      <c r="Y361" s="1">
        <v>163.6</v>
      </c>
      <c r="Z361" s="1">
        <v>169.5</v>
      </c>
      <c r="AA361" s="1">
        <v>174.3</v>
      </c>
      <c r="AB361" s="1">
        <v>178.6</v>
      </c>
      <c r="AC361" s="1">
        <v>172.8</v>
      </c>
      <c r="AD361" s="1">
        <v>176.5</v>
      </c>
    </row>
    <row r="362" spans="1:30" x14ac:dyDescent="0.3">
      <c r="A362" s="1" t="s">
        <v>30</v>
      </c>
      <c r="B362" s="2">
        <v>2023</v>
      </c>
      <c r="C362" s="1" t="s">
        <v>35</v>
      </c>
      <c r="D362" s="1">
        <v>174.2</v>
      </c>
      <c r="E362" s="1">
        <v>205.2</v>
      </c>
      <c r="F362" s="1">
        <v>173.9</v>
      </c>
      <c r="G362" s="1">
        <v>177</v>
      </c>
      <c r="H362" s="1">
        <v>183.4</v>
      </c>
      <c r="I362" s="1">
        <v>167.2</v>
      </c>
      <c r="J362" s="1">
        <v>140.9</v>
      </c>
      <c r="K362" s="1">
        <v>170.4</v>
      </c>
      <c r="L362" s="1">
        <v>119.1</v>
      </c>
      <c r="M362" s="1">
        <v>212.1</v>
      </c>
      <c r="N362" s="1">
        <v>177.6</v>
      </c>
      <c r="O362" s="1">
        <v>189.9</v>
      </c>
      <c r="P362" s="1">
        <v>174.8</v>
      </c>
      <c r="Q362" s="1">
        <v>198.3</v>
      </c>
      <c r="R362" s="1">
        <v>190</v>
      </c>
      <c r="S362" s="1">
        <v>187</v>
      </c>
      <c r="T362" s="1">
        <v>189.6</v>
      </c>
      <c r="U362" s="1">
        <f>U363</f>
        <v>173.5</v>
      </c>
      <c r="V362" s="1">
        <v>181.6</v>
      </c>
      <c r="W362" s="1">
        <v>178.6</v>
      </c>
      <c r="X362" s="1">
        <v>186.6</v>
      </c>
      <c r="Y362" s="1">
        <v>169</v>
      </c>
      <c r="Z362" s="1">
        <v>172.8</v>
      </c>
      <c r="AA362" s="1">
        <v>178.5</v>
      </c>
      <c r="AB362" s="1">
        <v>180.7</v>
      </c>
      <c r="AC362" s="1">
        <v>177.9</v>
      </c>
      <c r="AD362" s="1">
        <v>178</v>
      </c>
    </row>
    <row r="363" spans="1:30" x14ac:dyDescent="0.3">
      <c r="A363" s="1" t="s">
        <v>33</v>
      </c>
      <c r="B363" s="2">
        <v>2023</v>
      </c>
      <c r="C363" s="1" t="s">
        <v>35</v>
      </c>
      <c r="D363" s="1">
        <v>174.7</v>
      </c>
      <c r="E363" s="1">
        <v>212.2</v>
      </c>
      <c r="F363" s="1">
        <v>177.2</v>
      </c>
      <c r="G363" s="1">
        <v>177.9</v>
      </c>
      <c r="H363" s="1">
        <v>172.2</v>
      </c>
      <c r="I363" s="1">
        <v>172.1</v>
      </c>
      <c r="J363" s="1">
        <v>175.8</v>
      </c>
      <c r="K363" s="1">
        <v>172.2</v>
      </c>
      <c r="L363" s="1">
        <v>121.9</v>
      </c>
      <c r="M363" s="1">
        <v>204.8</v>
      </c>
      <c r="N363" s="1">
        <v>164.9</v>
      </c>
      <c r="O363" s="1">
        <v>196.6</v>
      </c>
      <c r="P363" s="1">
        <v>180.7</v>
      </c>
      <c r="Q363" s="1">
        <v>202.7</v>
      </c>
      <c r="R363" s="1">
        <v>180.3</v>
      </c>
      <c r="S363" s="1">
        <v>167</v>
      </c>
      <c r="T363" s="1">
        <v>178.2</v>
      </c>
      <c r="U363" s="1">
        <v>173.5</v>
      </c>
      <c r="V363" s="1">
        <v>182.8</v>
      </c>
      <c r="W363" s="1">
        <v>169.2</v>
      </c>
      <c r="X363" s="1">
        <v>180.8</v>
      </c>
      <c r="Y363" s="1">
        <v>159.80000000000001</v>
      </c>
      <c r="Z363" s="1">
        <v>168.4</v>
      </c>
      <c r="AA363" s="1">
        <v>172.5</v>
      </c>
      <c r="AB363" s="1">
        <v>181.4</v>
      </c>
      <c r="AC363" s="1">
        <v>170</v>
      </c>
      <c r="AD363" s="1">
        <v>176.3</v>
      </c>
    </row>
    <row r="364" spans="1:30" x14ac:dyDescent="0.3">
      <c r="A364" s="1" t="s">
        <v>34</v>
      </c>
      <c r="B364" s="2">
        <v>2023</v>
      </c>
      <c r="C364" s="1" t="s">
        <v>35</v>
      </c>
      <c r="D364" s="1">
        <v>174.4</v>
      </c>
      <c r="E364" s="1">
        <v>207.7</v>
      </c>
      <c r="F364" s="1">
        <v>175.2</v>
      </c>
      <c r="G364" s="1">
        <v>177.3</v>
      </c>
      <c r="H364" s="1">
        <v>179.3</v>
      </c>
      <c r="I364" s="1">
        <v>169.5</v>
      </c>
      <c r="J364" s="1">
        <v>152.69999999999999</v>
      </c>
      <c r="K364" s="1">
        <v>171</v>
      </c>
      <c r="L364" s="1">
        <v>120</v>
      </c>
      <c r="M364" s="1">
        <v>209.7</v>
      </c>
      <c r="N364" s="1">
        <v>172.3</v>
      </c>
      <c r="O364" s="1">
        <v>193</v>
      </c>
      <c r="P364" s="1">
        <v>177</v>
      </c>
      <c r="Q364" s="1">
        <v>199.5</v>
      </c>
      <c r="R364" s="1">
        <v>186.2</v>
      </c>
      <c r="S364" s="1">
        <v>178.7</v>
      </c>
      <c r="T364" s="1">
        <v>185.1</v>
      </c>
      <c r="U364" s="1">
        <v>173.5</v>
      </c>
      <c r="V364" s="1">
        <v>182.1</v>
      </c>
      <c r="W364" s="1">
        <v>174.2</v>
      </c>
      <c r="X364" s="1">
        <v>184.4</v>
      </c>
      <c r="Y364" s="1">
        <v>164.2</v>
      </c>
      <c r="Z364" s="1">
        <v>170.3</v>
      </c>
      <c r="AA364" s="1">
        <v>175</v>
      </c>
      <c r="AB364" s="1">
        <v>181</v>
      </c>
      <c r="AC364" s="1">
        <v>174.1</v>
      </c>
      <c r="AD364" s="1">
        <v>177.2</v>
      </c>
    </row>
    <row r="365" spans="1:30" x14ac:dyDescent="0.3">
      <c r="A365" s="1" t="s">
        <v>30</v>
      </c>
      <c r="B365" s="2">
        <v>2023</v>
      </c>
      <c r="C365" s="1" t="s">
        <v>36</v>
      </c>
      <c r="D365" s="1">
        <v>174.3</v>
      </c>
      <c r="E365" s="1">
        <v>205.2</v>
      </c>
      <c r="F365" s="1">
        <v>173.9</v>
      </c>
      <c r="G365" s="1">
        <v>177</v>
      </c>
      <c r="H365" s="1">
        <v>183.3</v>
      </c>
      <c r="I365" s="1">
        <v>167.2</v>
      </c>
      <c r="J365" s="1">
        <v>140.9</v>
      </c>
      <c r="K365" s="1">
        <v>170.5</v>
      </c>
      <c r="L365" s="1">
        <v>119.1</v>
      </c>
      <c r="M365" s="1">
        <v>212.1</v>
      </c>
      <c r="N365" s="1">
        <v>177.6</v>
      </c>
      <c r="O365" s="1">
        <v>189.9</v>
      </c>
      <c r="P365" s="1">
        <v>174.8</v>
      </c>
      <c r="Q365" s="1">
        <v>198.4</v>
      </c>
      <c r="R365" s="1">
        <v>190</v>
      </c>
      <c r="S365" s="1">
        <v>187</v>
      </c>
      <c r="T365" s="1">
        <v>189.6</v>
      </c>
      <c r="U365" s="1">
        <f>U366</f>
        <v>173.5</v>
      </c>
      <c r="V365" s="1">
        <v>181.4</v>
      </c>
      <c r="W365" s="1">
        <v>178.6</v>
      </c>
      <c r="X365" s="1">
        <v>186.6</v>
      </c>
      <c r="Y365" s="1">
        <v>169</v>
      </c>
      <c r="Z365" s="1">
        <v>172.8</v>
      </c>
      <c r="AA365" s="1">
        <v>178.5</v>
      </c>
      <c r="AB365" s="1">
        <v>180.7</v>
      </c>
      <c r="AC365" s="1">
        <v>177.9</v>
      </c>
      <c r="AD365" s="1">
        <v>178</v>
      </c>
    </row>
    <row r="366" spans="1:30" x14ac:dyDescent="0.3">
      <c r="A366" s="1" t="s">
        <v>33</v>
      </c>
      <c r="B366" s="2">
        <v>2023</v>
      </c>
      <c r="C366" s="1" t="s">
        <v>36</v>
      </c>
      <c r="D366" s="1">
        <v>174.7</v>
      </c>
      <c r="E366" s="1">
        <v>212.2</v>
      </c>
      <c r="F366" s="1">
        <v>177.2</v>
      </c>
      <c r="G366" s="1">
        <v>177.9</v>
      </c>
      <c r="H366" s="1">
        <v>172.2</v>
      </c>
      <c r="I366" s="1">
        <v>172.1</v>
      </c>
      <c r="J366" s="1">
        <v>175.9</v>
      </c>
      <c r="K366" s="1">
        <v>172.2</v>
      </c>
      <c r="L366" s="1">
        <v>121.9</v>
      </c>
      <c r="M366" s="1">
        <v>204.8</v>
      </c>
      <c r="N366" s="1">
        <v>164.9</v>
      </c>
      <c r="O366" s="1">
        <v>196.6</v>
      </c>
      <c r="P366" s="1">
        <v>180.8</v>
      </c>
      <c r="Q366" s="1">
        <v>202.7</v>
      </c>
      <c r="R366" s="1">
        <v>180.2</v>
      </c>
      <c r="S366" s="1">
        <v>167</v>
      </c>
      <c r="T366" s="1">
        <v>178.2</v>
      </c>
      <c r="U366" s="1">
        <v>173.5</v>
      </c>
      <c r="V366" s="1">
        <v>182.6</v>
      </c>
      <c r="W366" s="1">
        <v>169.2</v>
      </c>
      <c r="X366" s="1">
        <v>180.8</v>
      </c>
      <c r="Y366" s="1">
        <v>159.80000000000001</v>
      </c>
      <c r="Z366" s="1">
        <v>168.4</v>
      </c>
      <c r="AA366" s="1">
        <v>172.5</v>
      </c>
      <c r="AB366" s="1">
        <v>181.5</v>
      </c>
      <c r="AC366" s="1">
        <v>170</v>
      </c>
      <c r="AD366" s="1">
        <v>176.3</v>
      </c>
    </row>
    <row r="367" spans="1:30" x14ac:dyDescent="0.3">
      <c r="A367" s="1" t="s">
        <v>34</v>
      </c>
      <c r="B367" s="2">
        <v>2023</v>
      </c>
      <c r="C367" s="1" t="s">
        <v>36</v>
      </c>
      <c r="D367" s="1">
        <v>174.4</v>
      </c>
      <c r="E367" s="1">
        <v>207.7</v>
      </c>
      <c r="F367" s="1">
        <v>175.2</v>
      </c>
      <c r="G367" s="1">
        <v>177.3</v>
      </c>
      <c r="H367" s="1">
        <v>179.2</v>
      </c>
      <c r="I367" s="1">
        <v>169.5</v>
      </c>
      <c r="J367" s="1">
        <v>152.80000000000001</v>
      </c>
      <c r="K367" s="1">
        <v>171.1</v>
      </c>
      <c r="L367" s="1">
        <v>120</v>
      </c>
      <c r="M367" s="1">
        <v>209.7</v>
      </c>
      <c r="N367" s="1">
        <v>172.3</v>
      </c>
      <c r="O367" s="1">
        <v>193</v>
      </c>
      <c r="P367" s="1">
        <v>177</v>
      </c>
      <c r="Q367" s="1">
        <v>199.5</v>
      </c>
      <c r="R367" s="1">
        <v>186.1</v>
      </c>
      <c r="S367" s="1">
        <v>178.7</v>
      </c>
      <c r="T367" s="1">
        <v>185.1</v>
      </c>
      <c r="U367" s="1">
        <v>173.5</v>
      </c>
      <c r="V367" s="1">
        <v>181.9</v>
      </c>
      <c r="W367" s="1">
        <v>174.2</v>
      </c>
      <c r="X367" s="1">
        <v>184.4</v>
      </c>
      <c r="Y367" s="1">
        <v>164.2</v>
      </c>
      <c r="Z367" s="1">
        <v>170.3</v>
      </c>
      <c r="AA367" s="1">
        <v>175</v>
      </c>
      <c r="AB367" s="1">
        <v>181</v>
      </c>
      <c r="AC367" s="1">
        <v>174.1</v>
      </c>
      <c r="AD367" s="1">
        <v>177.2</v>
      </c>
    </row>
    <row r="368" spans="1:30" x14ac:dyDescent="0.3">
      <c r="A368" s="1" t="s">
        <v>30</v>
      </c>
      <c r="B368" s="2">
        <v>2023</v>
      </c>
      <c r="C368" s="1" t="s">
        <v>37</v>
      </c>
      <c r="D368" s="1">
        <v>173.3</v>
      </c>
      <c r="E368" s="1">
        <v>206.9</v>
      </c>
      <c r="F368" s="1">
        <v>167.9</v>
      </c>
      <c r="G368" s="1">
        <v>178.2</v>
      </c>
      <c r="H368" s="1">
        <v>178.5</v>
      </c>
      <c r="I368" s="1">
        <v>173.7</v>
      </c>
      <c r="J368" s="1">
        <v>142.80000000000001</v>
      </c>
      <c r="K368" s="1">
        <v>172.8</v>
      </c>
      <c r="L368" s="1">
        <v>120.4</v>
      </c>
      <c r="M368" s="1">
        <v>215.5</v>
      </c>
      <c r="N368" s="1">
        <v>178.2</v>
      </c>
      <c r="O368" s="1">
        <v>190.5</v>
      </c>
      <c r="P368" s="1">
        <v>175.5</v>
      </c>
      <c r="Q368" s="1">
        <v>199.5</v>
      </c>
      <c r="R368" s="1">
        <v>190.7</v>
      </c>
      <c r="S368" s="1">
        <v>187.3</v>
      </c>
      <c r="T368" s="1">
        <v>190.2</v>
      </c>
      <c r="U368" s="1">
        <f>U369</f>
        <v>175.2</v>
      </c>
      <c r="V368" s="1">
        <v>181.5</v>
      </c>
      <c r="W368" s="1">
        <v>179.1</v>
      </c>
      <c r="X368" s="1">
        <v>187.2</v>
      </c>
      <c r="Y368" s="1">
        <v>169.4</v>
      </c>
      <c r="Z368" s="1">
        <v>173.2</v>
      </c>
      <c r="AA368" s="1">
        <v>179.4</v>
      </c>
      <c r="AB368" s="1">
        <v>183.8</v>
      </c>
      <c r="AC368" s="1">
        <v>178.9</v>
      </c>
      <c r="AD368" s="1">
        <v>178.8</v>
      </c>
    </row>
    <row r="369" spans="1:30" x14ac:dyDescent="0.3">
      <c r="A369" s="1" t="s">
        <v>33</v>
      </c>
      <c r="B369" s="2">
        <v>2023</v>
      </c>
      <c r="C369" s="1" t="s">
        <v>37</v>
      </c>
      <c r="D369" s="1">
        <v>174.8</v>
      </c>
      <c r="E369" s="1">
        <v>213.7</v>
      </c>
      <c r="F369" s="1">
        <v>172.4</v>
      </c>
      <c r="G369" s="1">
        <v>178.8</v>
      </c>
      <c r="H369" s="1">
        <v>168.7</v>
      </c>
      <c r="I369" s="1">
        <v>179.2</v>
      </c>
      <c r="J369" s="1">
        <v>179.9</v>
      </c>
      <c r="K369" s="1">
        <v>174.7</v>
      </c>
      <c r="L369" s="1">
        <v>123.1</v>
      </c>
      <c r="M369" s="1">
        <v>207.8</v>
      </c>
      <c r="N369" s="1">
        <v>165.5</v>
      </c>
      <c r="O369" s="1">
        <v>197</v>
      </c>
      <c r="P369" s="1">
        <v>182.1</v>
      </c>
      <c r="Q369" s="1">
        <v>203.5</v>
      </c>
      <c r="R369" s="1">
        <v>181</v>
      </c>
      <c r="S369" s="1">
        <v>167.7</v>
      </c>
      <c r="T369" s="1">
        <v>178.9</v>
      </c>
      <c r="U369" s="1">
        <v>175.2</v>
      </c>
      <c r="V369" s="1">
        <v>182.1</v>
      </c>
      <c r="W369" s="1">
        <v>169.6</v>
      </c>
      <c r="X369" s="1">
        <v>181.5</v>
      </c>
      <c r="Y369" s="1">
        <v>160.1</v>
      </c>
      <c r="Z369" s="1">
        <v>168.8</v>
      </c>
      <c r="AA369" s="1">
        <v>174.2</v>
      </c>
      <c r="AB369" s="1">
        <v>184.4</v>
      </c>
      <c r="AC369" s="1">
        <v>170.9</v>
      </c>
      <c r="AD369" s="1">
        <v>177.4</v>
      </c>
    </row>
    <row r="370" spans="1:30" x14ac:dyDescent="0.3">
      <c r="A370" s="1" t="s">
        <v>34</v>
      </c>
      <c r="B370" s="2">
        <v>2023</v>
      </c>
      <c r="C370" s="1" t="s">
        <v>37</v>
      </c>
      <c r="D370" s="1">
        <v>173.8</v>
      </c>
      <c r="E370" s="1">
        <v>209.3</v>
      </c>
      <c r="F370" s="1">
        <v>169.6</v>
      </c>
      <c r="G370" s="1">
        <v>178.4</v>
      </c>
      <c r="H370" s="1">
        <v>174.9</v>
      </c>
      <c r="I370" s="1">
        <v>176.3</v>
      </c>
      <c r="J370" s="1">
        <v>155.4</v>
      </c>
      <c r="K370" s="1">
        <v>173.4</v>
      </c>
      <c r="L370" s="1">
        <v>121.3</v>
      </c>
      <c r="M370" s="1">
        <v>212.9</v>
      </c>
      <c r="N370" s="1">
        <v>172.9</v>
      </c>
      <c r="O370" s="1">
        <v>193.5</v>
      </c>
      <c r="P370" s="1">
        <v>177.9</v>
      </c>
      <c r="Q370" s="1">
        <v>200.6</v>
      </c>
      <c r="R370" s="1">
        <v>186.9</v>
      </c>
      <c r="S370" s="1">
        <v>179.2</v>
      </c>
      <c r="T370" s="1">
        <v>185.7</v>
      </c>
      <c r="U370" s="1">
        <v>175.2</v>
      </c>
      <c r="V370" s="1">
        <v>181.7</v>
      </c>
      <c r="W370" s="1">
        <v>174.6</v>
      </c>
      <c r="X370" s="1">
        <v>185</v>
      </c>
      <c r="Y370" s="1">
        <v>164.5</v>
      </c>
      <c r="Z370" s="1">
        <v>170.7</v>
      </c>
      <c r="AA370" s="1">
        <v>176.4</v>
      </c>
      <c r="AB370" s="1">
        <v>184</v>
      </c>
      <c r="AC370" s="1">
        <v>175</v>
      </c>
      <c r="AD370" s="1">
        <v>178.1</v>
      </c>
    </row>
    <row r="371" spans="1:30" x14ac:dyDescent="0.3">
      <c r="A371" s="1" t="s">
        <v>30</v>
      </c>
      <c r="B371" s="2">
        <v>2023</v>
      </c>
      <c r="C371" s="1" t="s">
        <v>38</v>
      </c>
      <c r="D371" s="1">
        <v>173.2</v>
      </c>
      <c r="E371" s="1">
        <v>211.5</v>
      </c>
      <c r="F371" s="1">
        <v>171</v>
      </c>
      <c r="G371" s="1">
        <v>179.6</v>
      </c>
      <c r="H371" s="1">
        <v>173.3</v>
      </c>
      <c r="I371" s="1">
        <v>169</v>
      </c>
      <c r="J371" s="1">
        <v>148.69999999999999</v>
      </c>
      <c r="K371" s="1">
        <v>174.9</v>
      </c>
      <c r="L371" s="1">
        <v>121.9</v>
      </c>
      <c r="M371" s="1">
        <v>221</v>
      </c>
      <c r="N371" s="1">
        <v>178.7</v>
      </c>
      <c r="O371" s="1">
        <v>191.1</v>
      </c>
      <c r="P371" s="1">
        <v>176.8</v>
      </c>
      <c r="Q371" s="1">
        <v>199.9</v>
      </c>
      <c r="R371" s="1">
        <v>191.2</v>
      </c>
      <c r="S371" s="1">
        <v>187.9</v>
      </c>
      <c r="T371" s="1">
        <v>190.8</v>
      </c>
      <c r="U371" s="1">
        <f>U372</f>
        <v>175.6</v>
      </c>
      <c r="V371" s="1">
        <v>182.5</v>
      </c>
      <c r="W371" s="1">
        <v>179.8</v>
      </c>
      <c r="X371" s="1">
        <v>187.8</v>
      </c>
      <c r="Y371" s="1">
        <v>169.7</v>
      </c>
      <c r="Z371" s="1">
        <v>173.8</v>
      </c>
      <c r="AA371" s="1">
        <v>180.3</v>
      </c>
      <c r="AB371" s="1">
        <v>184.9</v>
      </c>
      <c r="AC371" s="1">
        <v>179.5</v>
      </c>
      <c r="AD371" s="1">
        <v>179.8</v>
      </c>
    </row>
    <row r="372" spans="1:30" x14ac:dyDescent="0.3">
      <c r="A372" s="1" t="s">
        <v>33</v>
      </c>
      <c r="B372" s="2">
        <v>2023</v>
      </c>
      <c r="C372" s="1" t="s">
        <v>38</v>
      </c>
      <c r="D372" s="1">
        <v>174.7</v>
      </c>
      <c r="E372" s="1">
        <v>219.4</v>
      </c>
      <c r="F372" s="1">
        <v>176.7</v>
      </c>
      <c r="G372" s="1">
        <v>179.4</v>
      </c>
      <c r="H372" s="1">
        <v>164.4</v>
      </c>
      <c r="I372" s="1">
        <v>175.8</v>
      </c>
      <c r="J372" s="1">
        <v>185</v>
      </c>
      <c r="K372" s="1">
        <v>176.9</v>
      </c>
      <c r="L372" s="1">
        <v>124.2</v>
      </c>
      <c r="M372" s="1">
        <v>211.9</v>
      </c>
      <c r="N372" s="1">
        <v>165.9</v>
      </c>
      <c r="O372" s="1">
        <v>197.7</v>
      </c>
      <c r="P372" s="1">
        <v>183.1</v>
      </c>
      <c r="Q372" s="1">
        <v>204.2</v>
      </c>
      <c r="R372" s="1">
        <v>181.3</v>
      </c>
      <c r="S372" s="1">
        <v>168.1</v>
      </c>
      <c r="T372" s="1">
        <v>179.3</v>
      </c>
      <c r="U372" s="1">
        <v>175.6</v>
      </c>
      <c r="V372" s="1">
        <v>183.4</v>
      </c>
      <c r="W372" s="1">
        <v>170.1</v>
      </c>
      <c r="X372" s="1">
        <v>182.2</v>
      </c>
      <c r="Y372" s="1">
        <v>160.4</v>
      </c>
      <c r="Z372" s="1">
        <v>169.2</v>
      </c>
      <c r="AA372" s="1">
        <v>174.8</v>
      </c>
      <c r="AB372" s="1">
        <v>185.6</v>
      </c>
      <c r="AC372" s="1">
        <v>171.6</v>
      </c>
      <c r="AD372" s="1">
        <v>178.2</v>
      </c>
    </row>
    <row r="373" spans="1:30" x14ac:dyDescent="0.3">
      <c r="A373" s="1" t="s">
        <v>34</v>
      </c>
      <c r="B373" s="2">
        <v>2023</v>
      </c>
      <c r="C373" s="1" t="s">
        <v>38</v>
      </c>
      <c r="D373" s="1">
        <v>173.7</v>
      </c>
      <c r="E373" s="1">
        <v>214.3</v>
      </c>
      <c r="F373" s="1">
        <v>173.2</v>
      </c>
      <c r="G373" s="1">
        <v>179.5</v>
      </c>
      <c r="H373" s="1">
        <v>170</v>
      </c>
      <c r="I373" s="1">
        <v>172.2</v>
      </c>
      <c r="J373" s="1">
        <v>161</v>
      </c>
      <c r="K373" s="1">
        <v>175.6</v>
      </c>
      <c r="L373" s="1">
        <v>122.7</v>
      </c>
      <c r="M373" s="1">
        <v>218</v>
      </c>
      <c r="N373" s="1">
        <v>173.4</v>
      </c>
      <c r="O373" s="1">
        <v>194.2</v>
      </c>
      <c r="P373" s="1">
        <v>179.1</v>
      </c>
      <c r="Q373" s="1">
        <v>201</v>
      </c>
      <c r="R373" s="1">
        <v>187.3</v>
      </c>
      <c r="S373" s="1">
        <v>179.7</v>
      </c>
      <c r="T373" s="1">
        <v>186.2</v>
      </c>
      <c r="U373" s="1">
        <v>175.6</v>
      </c>
      <c r="V373" s="1">
        <v>182.8</v>
      </c>
      <c r="W373" s="1">
        <v>175.2</v>
      </c>
      <c r="X373" s="1">
        <v>185.7</v>
      </c>
      <c r="Y373" s="1">
        <v>164.8</v>
      </c>
      <c r="Z373" s="1">
        <v>171.2</v>
      </c>
      <c r="AA373" s="1">
        <v>177.1</v>
      </c>
      <c r="AB373" s="1">
        <v>185.2</v>
      </c>
      <c r="AC373" s="1">
        <v>175.7</v>
      </c>
      <c r="AD373" s="1">
        <v>179.1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AB489-C49D-4C55-9A6F-219F7D1096E3}">
  <dimension ref="A1:AN378"/>
  <sheetViews>
    <sheetView topLeftCell="AA1" zoomScaleNormal="100" workbookViewId="0">
      <pane ySplit="1" topLeftCell="A2" activePane="bottomLeft" state="frozen"/>
      <selection activeCell="X1" sqref="X1"/>
      <selection pane="bottomLeft" activeCell="AI2" sqref="AI2"/>
    </sheetView>
  </sheetViews>
  <sheetFormatPr defaultRowHeight="14.4" x14ac:dyDescent="0.3"/>
  <cols>
    <col min="1" max="1" width="11.21875" bestFit="1" customWidth="1"/>
    <col min="2" max="2" width="5" bestFit="1" customWidth="1"/>
    <col min="3" max="3" width="9.77734375" bestFit="1" customWidth="1"/>
    <col min="4" max="4" width="18.21875" bestFit="1" customWidth="1"/>
    <col min="5" max="5" width="12.109375" bestFit="1" customWidth="1"/>
    <col min="6" max="6" width="12" bestFit="1" customWidth="1"/>
    <col min="7" max="7" width="15.5546875" bestFit="1" customWidth="1"/>
    <col min="8" max="10" width="12" bestFit="1" customWidth="1"/>
    <col min="11" max="11" width="17.21875" bestFit="1" customWidth="1"/>
    <col min="12" max="12" width="21.109375" bestFit="1" customWidth="1"/>
    <col min="13" max="13" width="12" bestFit="1" customWidth="1"/>
    <col min="14" max="14" width="21.44140625" bestFit="1" customWidth="1"/>
    <col min="15" max="15" width="30.44140625" bestFit="1" customWidth="1"/>
    <col min="16" max="16" width="17.44140625" bestFit="1" customWidth="1"/>
    <col min="17" max="17" width="24.6640625" bestFit="1" customWidth="1"/>
    <col min="18" max="19" width="12" bestFit="1" customWidth="1"/>
    <col min="20" max="20" width="19.44140625" bestFit="1" customWidth="1"/>
    <col min="21" max="21" width="25.77734375" bestFit="1" customWidth="1"/>
    <col min="22" max="22" width="12" bestFit="1" customWidth="1"/>
    <col min="23" max="23" width="25.88671875" bestFit="1" customWidth="1"/>
    <col min="24" max="24" width="23.6640625" bestFit="1" customWidth="1"/>
    <col min="25" max="25" width="12" bestFit="1" customWidth="1"/>
    <col min="26" max="26" width="21.88671875" bestFit="1" customWidth="1"/>
    <col min="27" max="27" width="12.5546875" bestFit="1" customWidth="1"/>
    <col min="28" max="28" width="12.109375" bestFit="1" customWidth="1"/>
    <col min="29" max="29" width="8.77734375" style="10" bestFit="1" customWidth="1"/>
    <col min="30" max="30" width="18.44140625" bestFit="1" customWidth="1"/>
    <col min="31" max="31" width="12" bestFit="1" customWidth="1"/>
    <col min="32" max="32" width="12.21875" bestFit="1" customWidth="1"/>
    <col min="33" max="33" width="12.88671875" bestFit="1" customWidth="1"/>
    <col min="34" max="34" width="8.5546875" bestFit="1" customWidth="1"/>
    <col min="35" max="35" width="7.109375" customWidth="1"/>
    <col min="36" max="36" width="8.5546875" customWidth="1"/>
    <col min="37" max="37" width="12.5546875" bestFit="1" customWidth="1"/>
    <col min="38" max="38" width="12" bestFit="1" customWidth="1"/>
    <col min="39" max="39" width="13.88671875" bestFit="1" customWidth="1"/>
    <col min="40" max="291" width="5.5546875" bestFit="1" customWidth="1"/>
    <col min="292" max="292" width="10.77734375" bestFit="1" customWidth="1"/>
    <col min="293" max="296" width="6" bestFit="1" customWidth="1"/>
    <col min="297" max="297" width="9.6640625" bestFit="1" customWidth="1"/>
    <col min="298" max="298" width="7" bestFit="1" customWidth="1"/>
    <col min="299" max="301" width="6" bestFit="1" customWidth="1"/>
    <col min="302" max="302" width="4" bestFit="1" customWidth="1"/>
    <col min="303" max="307" width="6" bestFit="1" customWidth="1"/>
    <col min="308" max="308" width="9.6640625" bestFit="1" customWidth="1"/>
    <col min="309" max="309" width="10.77734375" bestFit="1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s="12" t="s">
        <v>52</v>
      </c>
      <c r="AD1" s="3" t="s">
        <v>53</v>
      </c>
      <c r="AE1" s="3" t="s">
        <v>20</v>
      </c>
      <c r="AF1" s="3" t="s">
        <v>21</v>
      </c>
      <c r="AG1" s="3" t="s">
        <v>54</v>
      </c>
      <c r="AH1" s="3" t="s">
        <v>55</v>
      </c>
      <c r="AI1" s="8" t="s">
        <v>59</v>
      </c>
      <c r="AJ1" s="8" t="s">
        <v>60</v>
      </c>
      <c r="AK1" s="8" t="s">
        <v>61</v>
      </c>
      <c r="AL1" s="8" t="s">
        <v>62</v>
      </c>
      <c r="AM1" s="8" t="s">
        <v>63</v>
      </c>
    </row>
    <row r="2" spans="1:39" x14ac:dyDescent="0.3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>
        <v>104.8</v>
      </c>
      <c r="V2">
        <v>104</v>
      </c>
      <c r="W2">
        <v>103.3</v>
      </c>
      <c r="X2">
        <v>103.4</v>
      </c>
      <c r="Y2">
        <v>103.8</v>
      </c>
      <c r="Z2">
        <v>104.7</v>
      </c>
      <c r="AA2">
        <v>104</v>
      </c>
      <c r="AB2">
        <v>105.1</v>
      </c>
      <c r="AC2" s="10">
        <f>AVERAGE(D2:Q2)</f>
        <v>105.48571428571427</v>
      </c>
      <c r="AD2">
        <f>AVERAGE(R2:T2)</f>
        <v>106.23333333333335</v>
      </c>
      <c r="AE2">
        <v>100.3</v>
      </c>
      <c r="AF2">
        <v>105.5</v>
      </c>
      <c r="AG2" s="1">
        <f>AVERAGE(U2:Z2)</f>
        <v>104</v>
      </c>
      <c r="AH2" s="1">
        <f>SUM(AC2:AG2)</f>
        <v>521.51904761904757</v>
      </c>
      <c r="AI2">
        <f>AC2/$AH$2*100</f>
        <v>20.226627343200722</v>
      </c>
      <c r="AJ2">
        <f>AD2/$AH$2*100</f>
        <v>20.369981464403441</v>
      </c>
      <c r="AK2">
        <f t="shared" ref="AK2:AM2" si="0">AE2/$AH$2*100</f>
        <v>19.232279330527124</v>
      </c>
      <c r="AL2">
        <f t="shared" si="0"/>
        <v>20.229366593924343</v>
      </c>
      <c r="AM2">
        <f t="shared" si="0"/>
        <v>19.941745267944377</v>
      </c>
    </row>
    <row r="3" spans="1:39" x14ac:dyDescent="0.3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104.8</v>
      </c>
      <c r="V3">
        <v>104.1</v>
      </c>
      <c r="W3">
        <v>103.2</v>
      </c>
      <c r="X3">
        <v>102.9</v>
      </c>
      <c r="Y3">
        <v>103.5</v>
      </c>
      <c r="Z3">
        <v>104.3</v>
      </c>
      <c r="AA3">
        <v>103.7</v>
      </c>
      <c r="AB3">
        <v>104</v>
      </c>
      <c r="AC3" s="10">
        <f t="shared" ref="AC3:AC65" si="1">AVERAGE(D3:Q3)</f>
        <v>105.82857142857144</v>
      </c>
      <c r="AD3">
        <f t="shared" ref="AD3:AD66" si="2">AVERAGE(R3:T3)</f>
        <v>105.56666666666666</v>
      </c>
      <c r="AE3">
        <v>100.3</v>
      </c>
      <c r="AF3">
        <v>105.4</v>
      </c>
      <c r="AG3" s="1">
        <f t="shared" ref="AG3:AG65" si="3">AVERAGE(U3:Z3)</f>
        <v>103.8</v>
      </c>
      <c r="AH3" s="1">
        <f t="shared" ref="AH3:AH66" si="4">SUM(AC3:AG3)</f>
        <v>520.89523809523803</v>
      </c>
      <c r="AI3">
        <f t="shared" ref="AI3:AI66" si="5">AC3/$AH$2*100</f>
        <v>20.292369360567577</v>
      </c>
      <c r="AJ3">
        <f t="shared" ref="AJ3:AJ66" si="6">AD3/$AH$2*100</f>
        <v>20.242149763967898</v>
      </c>
      <c r="AK3">
        <f t="shared" ref="AK3:AK66" si="7">AE3/$AH$2*100</f>
        <v>19.232279330527124</v>
      </c>
      <c r="AL3">
        <f t="shared" ref="AL3:AL66" si="8">AF3/$AH$2*100</f>
        <v>20.210191838859014</v>
      </c>
      <c r="AM3">
        <f t="shared" ref="AM3:AM66" si="9">AG3/$AH$2*100</f>
        <v>19.903395757813712</v>
      </c>
    </row>
    <row r="4" spans="1:39" x14ac:dyDescent="0.3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104.8</v>
      </c>
      <c r="V4">
        <v>104</v>
      </c>
      <c r="W4">
        <v>103.2</v>
      </c>
      <c r="X4">
        <v>103.1</v>
      </c>
      <c r="Y4">
        <v>103.6</v>
      </c>
      <c r="Z4">
        <v>104.5</v>
      </c>
      <c r="AA4">
        <v>103.9</v>
      </c>
      <c r="AB4">
        <v>104.6</v>
      </c>
      <c r="AC4" s="10">
        <f t="shared" si="1"/>
        <v>105.60000000000001</v>
      </c>
      <c r="AD4">
        <f t="shared" si="2"/>
        <v>106</v>
      </c>
      <c r="AE4">
        <v>100.3</v>
      </c>
      <c r="AF4">
        <v>105.5</v>
      </c>
      <c r="AG4" s="1">
        <f t="shared" si="3"/>
        <v>103.86666666666667</v>
      </c>
      <c r="AH4" s="1">
        <f t="shared" si="4"/>
        <v>521.26666666666665</v>
      </c>
      <c r="AI4">
        <f t="shared" si="5"/>
        <v>20.248541348989676</v>
      </c>
      <c r="AJ4">
        <f t="shared" si="6"/>
        <v>20.325240369250999</v>
      </c>
      <c r="AK4">
        <f t="shared" si="7"/>
        <v>19.232279330527124</v>
      </c>
      <c r="AL4">
        <f t="shared" si="8"/>
        <v>20.229366593924343</v>
      </c>
      <c r="AM4">
        <f t="shared" si="9"/>
        <v>19.916178927857271</v>
      </c>
    </row>
    <row r="5" spans="1:39" x14ac:dyDescent="0.3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>
        <v>105.2</v>
      </c>
      <c r="V5">
        <v>104.4</v>
      </c>
      <c r="W5">
        <v>103.9</v>
      </c>
      <c r="X5">
        <v>104</v>
      </c>
      <c r="Y5">
        <v>104.1</v>
      </c>
      <c r="Z5">
        <v>104.6</v>
      </c>
      <c r="AA5">
        <v>104.4</v>
      </c>
      <c r="AB5">
        <v>105.8</v>
      </c>
      <c r="AC5" s="10">
        <f t="shared" si="1"/>
        <v>106.14285714285712</v>
      </c>
      <c r="AD5">
        <f t="shared" si="2"/>
        <v>106.8</v>
      </c>
      <c r="AE5">
        <v>100.4</v>
      </c>
      <c r="AF5">
        <v>106.2</v>
      </c>
      <c r="AG5" s="1">
        <f t="shared" si="3"/>
        <v>104.36666666666667</v>
      </c>
      <c r="AH5" s="1">
        <f t="shared" si="4"/>
        <v>523.90952380952376</v>
      </c>
      <c r="AI5">
        <f t="shared" si="5"/>
        <v>20.352632876487185</v>
      </c>
      <c r="AJ5">
        <f t="shared" si="6"/>
        <v>20.478638409773648</v>
      </c>
      <c r="AK5">
        <f t="shared" si="7"/>
        <v>19.251454085592457</v>
      </c>
      <c r="AL5">
        <f t="shared" si="8"/>
        <v>20.363589879381664</v>
      </c>
      <c r="AM5">
        <f t="shared" si="9"/>
        <v>20.012052703183926</v>
      </c>
    </row>
    <row r="6" spans="1:39" x14ac:dyDescent="0.3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105.2</v>
      </c>
      <c r="V6">
        <v>104.7</v>
      </c>
      <c r="W6">
        <v>104.4</v>
      </c>
      <c r="X6">
        <v>103.3</v>
      </c>
      <c r="Y6">
        <v>103.7</v>
      </c>
      <c r="Z6">
        <v>104.3</v>
      </c>
      <c r="AA6">
        <v>104.3</v>
      </c>
      <c r="AB6">
        <v>104.7</v>
      </c>
      <c r="AC6" s="10">
        <f t="shared" si="1"/>
        <v>106.9</v>
      </c>
      <c r="AD6">
        <f t="shared" si="2"/>
        <v>106.16666666666667</v>
      </c>
      <c r="AE6">
        <v>100.4</v>
      </c>
      <c r="AF6">
        <v>105.7</v>
      </c>
      <c r="AG6" s="1">
        <f t="shared" si="3"/>
        <v>104.26666666666667</v>
      </c>
      <c r="AH6" s="1">
        <f t="shared" si="4"/>
        <v>523.43333333333339</v>
      </c>
      <c r="AI6">
        <f t="shared" si="5"/>
        <v>20.497813164838981</v>
      </c>
      <c r="AJ6">
        <f t="shared" si="6"/>
        <v>20.357198294359886</v>
      </c>
      <c r="AK6">
        <f t="shared" si="7"/>
        <v>19.251454085592457</v>
      </c>
      <c r="AL6">
        <f t="shared" si="8"/>
        <v>20.267716104055005</v>
      </c>
      <c r="AM6">
        <f t="shared" si="9"/>
        <v>19.992877948118593</v>
      </c>
    </row>
    <row r="7" spans="1:39" x14ac:dyDescent="0.3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105.2</v>
      </c>
      <c r="V7">
        <v>104.5</v>
      </c>
      <c r="W7">
        <v>104.2</v>
      </c>
      <c r="X7">
        <v>103.6</v>
      </c>
      <c r="Y7">
        <v>103.9</v>
      </c>
      <c r="Z7">
        <v>104.5</v>
      </c>
      <c r="AA7">
        <v>104.4</v>
      </c>
      <c r="AB7">
        <v>105.3</v>
      </c>
      <c r="AC7" s="10">
        <f t="shared" si="1"/>
        <v>106.42142857142858</v>
      </c>
      <c r="AD7">
        <f t="shared" si="2"/>
        <v>106.56666666666666</v>
      </c>
      <c r="AE7">
        <v>100.4</v>
      </c>
      <c r="AF7">
        <v>106</v>
      </c>
      <c r="AG7" s="1">
        <f t="shared" si="3"/>
        <v>104.31666666666666</v>
      </c>
      <c r="AH7" s="1">
        <f t="shared" si="4"/>
        <v>523.70476190476188</v>
      </c>
      <c r="AI7">
        <f t="shared" si="5"/>
        <v>20.406048265597754</v>
      </c>
      <c r="AJ7">
        <f t="shared" si="6"/>
        <v>20.433897314621209</v>
      </c>
      <c r="AK7">
        <f t="shared" si="7"/>
        <v>19.251454085592457</v>
      </c>
      <c r="AL7">
        <f t="shared" si="8"/>
        <v>20.325240369250999</v>
      </c>
      <c r="AM7">
        <f t="shared" si="9"/>
        <v>20.002465325651258</v>
      </c>
    </row>
    <row r="8" spans="1:39" x14ac:dyDescent="0.3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>
        <v>105.6</v>
      </c>
      <c r="V8">
        <v>104.7</v>
      </c>
      <c r="W8">
        <v>104.6</v>
      </c>
      <c r="X8">
        <v>104</v>
      </c>
      <c r="Y8">
        <v>104.3</v>
      </c>
      <c r="Z8">
        <v>104.3</v>
      </c>
      <c r="AA8">
        <v>104.6</v>
      </c>
      <c r="AB8">
        <v>106</v>
      </c>
      <c r="AC8" s="10">
        <f t="shared" si="1"/>
        <v>106.33571428571429</v>
      </c>
      <c r="AD8">
        <f t="shared" si="2"/>
        <v>107.3</v>
      </c>
      <c r="AE8">
        <v>100.4</v>
      </c>
      <c r="AF8">
        <v>106.1</v>
      </c>
      <c r="AG8" s="1">
        <f t="shared" si="3"/>
        <v>104.58333333333331</v>
      </c>
      <c r="AH8" s="1">
        <f t="shared" si="4"/>
        <v>524.71904761904761</v>
      </c>
      <c r="AI8">
        <f t="shared" si="5"/>
        <v>20.389612761256039</v>
      </c>
      <c r="AJ8">
        <f t="shared" si="6"/>
        <v>20.574512185100303</v>
      </c>
      <c r="AK8">
        <f t="shared" si="7"/>
        <v>19.251454085592457</v>
      </c>
      <c r="AL8">
        <f t="shared" si="8"/>
        <v>20.344415124316328</v>
      </c>
      <c r="AM8">
        <f t="shared" si="9"/>
        <v>20.053598005825471</v>
      </c>
    </row>
    <row r="9" spans="1:39" x14ac:dyDescent="0.3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105.7</v>
      </c>
      <c r="V9">
        <v>105.2</v>
      </c>
      <c r="W9">
        <v>105.5</v>
      </c>
      <c r="X9">
        <v>103.5</v>
      </c>
      <c r="Y9">
        <v>103.8</v>
      </c>
      <c r="Z9">
        <v>104.2</v>
      </c>
      <c r="AA9">
        <v>104.9</v>
      </c>
      <c r="AB9">
        <v>105</v>
      </c>
      <c r="AC9" s="10">
        <f t="shared" si="1"/>
        <v>106.68571428571428</v>
      </c>
      <c r="AD9">
        <f t="shared" si="2"/>
        <v>106.73333333333333</v>
      </c>
      <c r="AE9">
        <v>100.4</v>
      </c>
      <c r="AF9">
        <v>106</v>
      </c>
      <c r="AG9" s="1">
        <f t="shared" si="3"/>
        <v>104.64999999999999</v>
      </c>
      <c r="AH9" s="1">
        <f t="shared" si="4"/>
        <v>524.46904761904761</v>
      </c>
      <c r="AI9">
        <f t="shared" si="5"/>
        <v>20.456724403984698</v>
      </c>
      <c r="AJ9">
        <f t="shared" si="6"/>
        <v>20.465855239730093</v>
      </c>
      <c r="AK9">
        <f t="shared" si="7"/>
        <v>19.251454085592457</v>
      </c>
      <c r="AL9">
        <f t="shared" si="8"/>
        <v>20.325240369250999</v>
      </c>
      <c r="AM9">
        <f t="shared" si="9"/>
        <v>20.066381175869026</v>
      </c>
    </row>
    <row r="10" spans="1:39" x14ac:dyDescent="0.3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105.6</v>
      </c>
      <c r="V10">
        <v>104.9</v>
      </c>
      <c r="W10">
        <v>105.1</v>
      </c>
      <c r="X10">
        <v>103.7</v>
      </c>
      <c r="Y10">
        <v>104</v>
      </c>
      <c r="Z10">
        <v>104.3</v>
      </c>
      <c r="AA10">
        <v>104.7</v>
      </c>
      <c r="AB10">
        <v>105.5</v>
      </c>
      <c r="AC10" s="10">
        <f t="shared" si="1"/>
        <v>106.47142857142858</v>
      </c>
      <c r="AD10">
        <f t="shared" si="2"/>
        <v>107.06666666666666</v>
      </c>
      <c r="AE10">
        <v>100.4</v>
      </c>
      <c r="AF10">
        <v>106.1</v>
      </c>
      <c r="AG10" s="1">
        <f t="shared" si="3"/>
        <v>104.59999999999998</v>
      </c>
      <c r="AH10" s="1">
        <f t="shared" si="4"/>
        <v>524.63809523809527</v>
      </c>
      <c r="AI10">
        <f t="shared" si="5"/>
        <v>20.415635643130418</v>
      </c>
      <c r="AJ10">
        <f t="shared" si="6"/>
        <v>20.529771089947864</v>
      </c>
      <c r="AK10">
        <f t="shared" si="7"/>
        <v>19.251454085592457</v>
      </c>
      <c r="AL10">
        <f t="shared" si="8"/>
        <v>20.344415124316328</v>
      </c>
      <c r="AM10">
        <f t="shared" si="9"/>
        <v>20.056793798336358</v>
      </c>
    </row>
    <row r="11" spans="1:39" x14ac:dyDescent="0.3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>
        <v>106.1</v>
      </c>
      <c r="V11">
        <v>105.1</v>
      </c>
      <c r="W11">
        <v>104.4</v>
      </c>
      <c r="X11">
        <v>104.5</v>
      </c>
      <c r="Y11">
        <v>104.8</v>
      </c>
      <c r="Z11">
        <v>102.7</v>
      </c>
      <c r="AA11">
        <v>104.6</v>
      </c>
      <c r="AB11">
        <v>106.4</v>
      </c>
      <c r="AC11" s="10">
        <f t="shared" si="1"/>
        <v>106.63571428571427</v>
      </c>
      <c r="AD11">
        <f t="shared" si="2"/>
        <v>107.83333333333333</v>
      </c>
      <c r="AE11">
        <v>100.5</v>
      </c>
      <c r="AF11">
        <v>106.5</v>
      </c>
      <c r="AG11" s="1">
        <f t="shared" si="3"/>
        <v>104.60000000000001</v>
      </c>
      <c r="AH11" s="1">
        <f t="shared" si="4"/>
        <v>526.06904761904764</v>
      </c>
      <c r="AI11">
        <f t="shared" si="5"/>
        <v>20.44713702645203</v>
      </c>
      <c r="AJ11">
        <f t="shared" si="6"/>
        <v>20.676777545448736</v>
      </c>
      <c r="AK11">
        <f t="shared" si="7"/>
        <v>19.270628840657789</v>
      </c>
      <c r="AL11">
        <f t="shared" si="8"/>
        <v>20.421114144577654</v>
      </c>
      <c r="AM11">
        <f t="shared" si="9"/>
        <v>20.056793798336365</v>
      </c>
    </row>
    <row r="12" spans="1:39" x14ac:dyDescent="0.3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106.5</v>
      </c>
      <c r="V12">
        <v>105.7</v>
      </c>
      <c r="W12">
        <v>105</v>
      </c>
      <c r="X12">
        <v>104</v>
      </c>
      <c r="Y12">
        <v>105.2</v>
      </c>
      <c r="Z12">
        <v>103.2</v>
      </c>
      <c r="AA12">
        <v>105.1</v>
      </c>
      <c r="AB12">
        <v>105.7</v>
      </c>
      <c r="AC12" s="10">
        <f t="shared" si="1"/>
        <v>107.58571428571427</v>
      </c>
      <c r="AD12">
        <f t="shared" si="2"/>
        <v>107.33333333333333</v>
      </c>
      <c r="AE12">
        <v>100.5</v>
      </c>
      <c r="AF12">
        <v>106.4</v>
      </c>
      <c r="AG12" s="1">
        <f t="shared" si="3"/>
        <v>104.93333333333334</v>
      </c>
      <c r="AH12" s="1">
        <f t="shared" si="4"/>
        <v>526.75238095238092</v>
      </c>
      <c r="AI12">
        <f t="shared" si="5"/>
        <v>20.629297199572676</v>
      </c>
      <c r="AJ12">
        <f t="shared" si="6"/>
        <v>20.580903770122081</v>
      </c>
      <c r="AK12">
        <f t="shared" si="7"/>
        <v>19.270628840657789</v>
      </c>
      <c r="AL12">
        <f t="shared" si="8"/>
        <v>20.401939389512325</v>
      </c>
      <c r="AM12">
        <f t="shared" si="9"/>
        <v>20.120709648554136</v>
      </c>
    </row>
    <row r="13" spans="1:39" x14ac:dyDescent="0.3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106.3</v>
      </c>
      <c r="V13">
        <v>105.3</v>
      </c>
      <c r="W13">
        <v>104.7</v>
      </c>
      <c r="X13">
        <v>104.2</v>
      </c>
      <c r="Y13">
        <v>105</v>
      </c>
      <c r="Z13">
        <v>102.9</v>
      </c>
      <c r="AA13">
        <v>104.8</v>
      </c>
      <c r="AB13">
        <v>106.1</v>
      </c>
      <c r="AC13" s="10">
        <f t="shared" si="1"/>
        <v>106.97857142857143</v>
      </c>
      <c r="AD13">
        <f t="shared" si="2"/>
        <v>107.63333333333333</v>
      </c>
      <c r="AE13">
        <v>100.5</v>
      </c>
      <c r="AF13">
        <v>106.5</v>
      </c>
      <c r="AG13" s="1">
        <f t="shared" si="3"/>
        <v>104.73333333333333</v>
      </c>
      <c r="AH13" s="1">
        <f t="shared" si="4"/>
        <v>526.34523809523807</v>
      </c>
      <c r="AI13">
        <f t="shared" si="5"/>
        <v>20.512879043818881</v>
      </c>
      <c r="AJ13">
        <f t="shared" si="6"/>
        <v>20.638428035318075</v>
      </c>
      <c r="AK13">
        <f t="shared" si="7"/>
        <v>19.270628840657789</v>
      </c>
      <c r="AL13">
        <f t="shared" si="8"/>
        <v>20.421114144577654</v>
      </c>
      <c r="AM13">
        <f t="shared" si="9"/>
        <v>20.082360138423471</v>
      </c>
    </row>
    <row r="14" spans="1:39" x14ac:dyDescent="0.3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>
        <v>106.8</v>
      </c>
      <c r="V14">
        <v>105.7</v>
      </c>
      <c r="W14">
        <v>104.1</v>
      </c>
      <c r="X14">
        <v>105</v>
      </c>
      <c r="Y14">
        <v>105.5</v>
      </c>
      <c r="Z14">
        <v>102.1</v>
      </c>
      <c r="AA14">
        <v>104.8</v>
      </c>
      <c r="AB14">
        <v>107.2</v>
      </c>
      <c r="AC14" s="10">
        <f t="shared" si="1"/>
        <v>107.29285714285713</v>
      </c>
      <c r="AD14">
        <f t="shared" si="2"/>
        <v>108.43333333333332</v>
      </c>
      <c r="AE14">
        <v>100.5</v>
      </c>
      <c r="AF14">
        <v>107.5</v>
      </c>
      <c r="AG14" s="1">
        <f t="shared" si="3"/>
        <v>104.86666666666667</v>
      </c>
      <c r="AH14" s="1">
        <f t="shared" si="4"/>
        <v>528.59285714285716</v>
      </c>
      <c r="AI14">
        <f t="shared" si="5"/>
        <v>20.573142559738493</v>
      </c>
      <c r="AJ14">
        <f t="shared" si="6"/>
        <v>20.791826075840721</v>
      </c>
      <c r="AK14">
        <f t="shared" si="7"/>
        <v>19.270628840657789</v>
      </c>
      <c r="AL14">
        <f t="shared" si="8"/>
        <v>20.612861695230965</v>
      </c>
      <c r="AM14">
        <f t="shared" si="9"/>
        <v>20.107926478510581</v>
      </c>
    </row>
    <row r="15" spans="1:39" x14ac:dyDescent="0.3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107.1</v>
      </c>
      <c r="V15">
        <v>106.2</v>
      </c>
      <c r="W15">
        <v>103.9</v>
      </c>
      <c r="X15">
        <v>104.6</v>
      </c>
      <c r="Y15">
        <v>105.7</v>
      </c>
      <c r="Z15">
        <v>102.6</v>
      </c>
      <c r="AA15">
        <v>104.9</v>
      </c>
      <c r="AB15">
        <v>106.6</v>
      </c>
      <c r="AC15" s="10">
        <f t="shared" si="1"/>
        <v>109.07142857142856</v>
      </c>
      <c r="AD15">
        <f t="shared" si="2"/>
        <v>107.83333333333333</v>
      </c>
      <c r="AE15">
        <v>100.5</v>
      </c>
      <c r="AF15">
        <v>107.2</v>
      </c>
      <c r="AG15" s="1">
        <f t="shared" si="3"/>
        <v>105.01666666666669</v>
      </c>
      <c r="AH15" s="1">
        <f t="shared" si="4"/>
        <v>529.62142857142851</v>
      </c>
      <c r="AI15">
        <f t="shared" si="5"/>
        <v>20.914179274829024</v>
      </c>
      <c r="AJ15">
        <f t="shared" si="6"/>
        <v>20.676777545448736</v>
      </c>
      <c r="AK15">
        <f t="shared" si="7"/>
        <v>19.270628840657789</v>
      </c>
      <c r="AL15">
        <f t="shared" si="8"/>
        <v>20.555337430034974</v>
      </c>
      <c r="AM15">
        <f t="shared" si="9"/>
        <v>20.136688611108582</v>
      </c>
    </row>
    <row r="16" spans="1:39" x14ac:dyDescent="0.3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106.9</v>
      </c>
      <c r="V16">
        <v>105.9</v>
      </c>
      <c r="W16">
        <v>104</v>
      </c>
      <c r="X16">
        <v>104.8</v>
      </c>
      <c r="Y16">
        <v>105.6</v>
      </c>
      <c r="Z16">
        <v>102.3</v>
      </c>
      <c r="AA16">
        <v>104.8</v>
      </c>
      <c r="AB16">
        <v>106.9</v>
      </c>
      <c r="AC16" s="10">
        <f t="shared" si="1"/>
        <v>107.9142857142857</v>
      </c>
      <c r="AD16">
        <f t="shared" si="2"/>
        <v>108.2</v>
      </c>
      <c r="AE16">
        <v>100.5</v>
      </c>
      <c r="AF16">
        <v>107.4</v>
      </c>
      <c r="AG16" s="1">
        <f t="shared" si="3"/>
        <v>104.91666666666667</v>
      </c>
      <c r="AH16" s="1">
        <f t="shared" si="4"/>
        <v>528.93095238095236</v>
      </c>
      <c r="AI16">
        <f t="shared" si="5"/>
        <v>20.692299966215906</v>
      </c>
      <c r="AJ16">
        <f t="shared" si="6"/>
        <v>20.747084980688285</v>
      </c>
      <c r="AK16">
        <f t="shared" si="7"/>
        <v>19.270628840657789</v>
      </c>
      <c r="AL16">
        <f t="shared" si="8"/>
        <v>20.593686940165636</v>
      </c>
      <c r="AM16">
        <f t="shared" si="9"/>
        <v>20.117513856043246</v>
      </c>
    </row>
    <row r="17" spans="1:39" x14ac:dyDescent="0.3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>
        <v>107.5</v>
      </c>
      <c r="V17">
        <v>106.3</v>
      </c>
      <c r="W17">
        <v>105</v>
      </c>
      <c r="X17">
        <v>105.6</v>
      </c>
      <c r="Y17">
        <v>106.5</v>
      </c>
      <c r="Z17">
        <v>102.5</v>
      </c>
      <c r="AA17">
        <v>105.5</v>
      </c>
      <c r="AB17">
        <v>108.9</v>
      </c>
      <c r="AC17" s="10">
        <f t="shared" si="1"/>
        <v>109.21428571428571</v>
      </c>
      <c r="AD17">
        <f t="shared" si="2"/>
        <v>109.33333333333333</v>
      </c>
      <c r="AE17">
        <v>106.6</v>
      </c>
      <c r="AF17">
        <v>108.5</v>
      </c>
      <c r="AG17" s="1">
        <f t="shared" si="3"/>
        <v>105.56666666666666</v>
      </c>
      <c r="AH17" s="1">
        <f t="shared" si="4"/>
        <v>539.21428571428578</v>
      </c>
      <c r="AI17">
        <f t="shared" si="5"/>
        <v>20.941571782065214</v>
      </c>
      <c r="AJ17">
        <f t="shared" si="6"/>
        <v>20.964398871428703</v>
      </c>
      <c r="AK17">
        <f t="shared" si="7"/>
        <v>20.440288899642987</v>
      </c>
      <c r="AL17">
        <f t="shared" si="8"/>
        <v>20.804609245884279</v>
      </c>
      <c r="AM17">
        <f t="shared" si="9"/>
        <v>20.242149763967898</v>
      </c>
    </row>
    <row r="18" spans="1:39" x14ac:dyDescent="0.3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107.7</v>
      </c>
      <c r="V18">
        <v>106.5</v>
      </c>
      <c r="W18">
        <v>105.2</v>
      </c>
      <c r="X18">
        <v>105.2</v>
      </c>
      <c r="Y18">
        <v>108.1</v>
      </c>
      <c r="Z18">
        <v>103.3</v>
      </c>
      <c r="AA18">
        <v>106.1</v>
      </c>
      <c r="AB18">
        <v>109.7</v>
      </c>
      <c r="AC18" s="10">
        <f t="shared" si="1"/>
        <v>112.53571428571431</v>
      </c>
      <c r="AD18">
        <f t="shared" si="2"/>
        <v>108.43333333333334</v>
      </c>
      <c r="AE18">
        <v>106.6</v>
      </c>
      <c r="AF18">
        <v>108</v>
      </c>
      <c r="AG18" s="1">
        <f t="shared" si="3"/>
        <v>105.99999999999999</v>
      </c>
      <c r="AH18" s="1">
        <f t="shared" si="4"/>
        <v>541.56904761904764</v>
      </c>
      <c r="AI18">
        <f t="shared" si="5"/>
        <v>21.578447575306573</v>
      </c>
      <c r="AJ18">
        <f t="shared" si="6"/>
        <v>20.791826075840724</v>
      </c>
      <c r="AK18">
        <f t="shared" si="7"/>
        <v>20.440288899642987</v>
      </c>
      <c r="AL18">
        <f t="shared" si="8"/>
        <v>20.70873547055762</v>
      </c>
      <c r="AM18">
        <f t="shared" si="9"/>
        <v>20.325240369250995</v>
      </c>
    </row>
    <row r="19" spans="1:39" x14ac:dyDescent="0.3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107.6</v>
      </c>
      <c r="V19">
        <v>106.4</v>
      </c>
      <c r="W19">
        <v>105.1</v>
      </c>
      <c r="X19">
        <v>105.4</v>
      </c>
      <c r="Y19">
        <v>107.4</v>
      </c>
      <c r="Z19">
        <v>102.8</v>
      </c>
      <c r="AA19">
        <v>105.8</v>
      </c>
      <c r="AB19">
        <v>109.3</v>
      </c>
      <c r="AC19" s="10">
        <f t="shared" si="1"/>
        <v>110.39285714285714</v>
      </c>
      <c r="AD19">
        <f t="shared" si="2"/>
        <v>108.96666666666665</v>
      </c>
      <c r="AE19">
        <v>106.6</v>
      </c>
      <c r="AF19">
        <v>108.3</v>
      </c>
      <c r="AG19" s="1">
        <f t="shared" si="3"/>
        <v>105.78333333333332</v>
      </c>
      <c r="AH19" s="1">
        <f t="shared" si="4"/>
        <v>540.0428571428572</v>
      </c>
      <c r="AI19">
        <f t="shared" si="5"/>
        <v>21.167559966763761</v>
      </c>
      <c r="AJ19">
        <f t="shared" si="6"/>
        <v>20.894091436189154</v>
      </c>
      <c r="AK19">
        <f t="shared" si="7"/>
        <v>20.440288899642987</v>
      </c>
      <c r="AL19">
        <f t="shared" si="8"/>
        <v>20.766259735753614</v>
      </c>
      <c r="AM19">
        <f t="shared" si="9"/>
        <v>20.283695066609443</v>
      </c>
    </row>
    <row r="20" spans="1:39" x14ac:dyDescent="0.3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>
        <v>108.3</v>
      </c>
      <c r="V20">
        <v>106.9</v>
      </c>
      <c r="W20">
        <v>106.8</v>
      </c>
      <c r="X20">
        <v>106.4</v>
      </c>
      <c r="Y20">
        <v>107.8</v>
      </c>
      <c r="Z20">
        <v>102.5</v>
      </c>
      <c r="AA20">
        <v>106.5</v>
      </c>
      <c r="AB20">
        <v>110.7</v>
      </c>
      <c r="AC20" s="10">
        <f t="shared" si="1"/>
        <v>111.12142857142854</v>
      </c>
      <c r="AD20">
        <f t="shared" si="2"/>
        <v>110.10000000000001</v>
      </c>
      <c r="AE20">
        <v>107.7</v>
      </c>
      <c r="AF20">
        <v>109.5</v>
      </c>
      <c r="AG20" s="1">
        <f t="shared" si="3"/>
        <v>106.44999999999999</v>
      </c>
      <c r="AH20" s="1">
        <f t="shared" si="4"/>
        <v>544.87142857142851</v>
      </c>
      <c r="AI20">
        <f t="shared" si="5"/>
        <v>21.307261753668307</v>
      </c>
      <c r="AJ20">
        <f t="shared" si="6"/>
        <v>21.111405326929578</v>
      </c>
      <c r="AK20">
        <f t="shared" si="7"/>
        <v>20.65121120536163</v>
      </c>
      <c r="AL20">
        <f t="shared" si="8"/>
        <v>20.996356796537587</v>
      </c>
      <c r="AM20">
        <f t="shared" si="9"/>
        <v>20.41152676704499</v>
      </c>
    </row>
    <row r="21" spans="1:39" x14ac:dyDescent="0.3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108.1</v>
      </c>
      <c r="V21">
        <v>107.1</v>
      </c>
      <c r="W21">
        <v>107.3</v>
      </c>
      <c r="X21">
        <v>105.9</v>
      </c>
      <c r="Y21">
        <v>110.1</v>
      </c>
      <c r="Z21">
        <v>103.2</v>
      </c>
      <c r="AA21">
        <v>107.3</v>
      </c>
      <c r="AB21">
        <v>111.4</v>
      </c>
      <c r="AC21" s="10">
        <f t="shared" si="1"/>
        <v>114.36428571428573</v>
      </c>
      <c r="AD21">
        <f t="shared" si="2"/>
        <v>109.03333333333335</v>
      </c>
      <c r="AE21">
        <v>107.7</v>
      </c>
      <c r="AF21">
        <v>108.6</v>
      </c>
      <c r="AG21" s="1">
        <f t="shared" si="3"/>
        <v>106.95</v>
      </c>
      <c r="AH21" s="1">
        <f t="shared" si="4"/>
        <v>546.64761904761906</v>
      </c>
      <c r="AI21">
        <f t="shared" si="5"/>
        <v>21.929071667929769</v>
      </c>
      <c r="AJ21">
        <f t="shared" si="6"/>
        <v>20.906874606232712</v>
      </c>
      <c r="AK21">
        <f t="shared" si="7"/>
        <v>20.65121120536163</v>
      </c>
      <c r="AL21">
        <f t="shared" si="8"/>
        <v>20.823784000949608</v>
      </c>
      <c r="AM21">
        <f t="shared" si="9"/>
        <v>20.507400542371645</v>
      </c>
    </row>
    <row r="22" spans="1:39" x14ac:dyDescent="0.3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108.2</v>
      </c>
      <c r="V22">
        <v>107</v>
      </c>
      <c r="W22">
        <v>107.1</v>
      </c>
      <c r="X22">
        <v>106.1</v>
      </c>
      <c r="Y22">
        <v>109.1</v>
      </c>
      <c r="Z22">
        <v>102.8</v>
      </c>
      <c r="AA22">
        <v>106.9</v>
      </c>
      <c r="AB22">
        <v>111</v>
      </c>
      <c r="AC22" s="10">
        <f t="shared" si="1"/>
        <v>112.26428571428571</v>
      </c>
      <c r="AD22">
        <f t="shared" si="2"/>
        <v>109.66666666666667</v>
      </c>
      <c r="AE22">
        <v>107.7</v>
      </c>
      <c r="AF22">
        <v>109.2</v>
      </c>
      <c r="AG22" s="1">
        <f t="shared" si="3"/>
        <v>106.71666666666665</v>
      </c>
      <c r="AH22" s="1">
        <f t="shared" si="4"/>
        <v>545.54761904761904</v>
      </c>
      <c r="AI22">
        <f t="shared" si="5"/>
        <v>21.526401811557815</v>
      </c>
      <c r="AJ22">
        <f t="shared" si="6"/>
        <v>21.028314721646474</v>
      </c>
      <c r="AK22">
        <f t="shared" si="7"/>
        <v>20.65121120536163</v>
      </c>
      <c r="AL22">
        <f t="shared" si="8"/>
        <v>20.938832531341596</v>
      </c>
      <c r="AM22">
        <f t="shared" si="9"/>
        <v>20.462659447219202</v>
      </c>
    </row>
    <row r="23" spans="1:39" x14ac:dyDescent="0.3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>
        <v>108.7</v>
      </c>
      <c r="V23">
        <v>107.5</v>
      </c>
      <c r="W23">
        <v>107.8</v>
      </c>
      <c r="X23">
        <v>106.8</v>
      </c>
      <c r="Y23">
        <v>108.7</v>
      </c>
      <c r="Z23">
        <v>105</v>
      </c>
      <c r="AA23">
        <v>107.5</v>
      </c>
      <c r="AB23">
        <v>112.1</v>
      </c>
      <c r="AC23" s="10">
        <f t="shared" si="1"/>
        <v>112.37142857142858</v>
      </c>
      <c r="AD23">
        <f t="shared" si="2"/>
        <v>110.86666666666667</v>
      </c>
      <c r="AE23">
        <v>108.9</v>
      </c>
      <c r="AF23">
        <v>109.9</v>
      </c>
      <c r="AG23" s="1">
        <f t="shared" si="3"/>
        <v>107.41666666666667</v>
      </c>
      <c r="AH23" s="1">
        <f t="shared" si="4"/>
        <v>549.45476190476188</v>
      </c>
      <c r="AI23">
        <f t="shared" si="5"/>
        <v>21.546946191984954</v>
      </c>
      <c r="AJ23">
        <f t="shared" si="6"/>
        <v>21.25841178243045</v>
      </c>
      <c r="AK23">
        <f t="shared" si="7"/>
        <v>20.881308266145602</v>
      </c>
      <c r="AL23">
        <f t="shared" si="8"/>
        <v>21.073055816798913</v>
      </c>
      <c r="AM23">
        <f t="shared" si="9"/>
        <v>20.596882732676526</v>
      </c>
    </row>
    <row r="24" spans="1:39" x14ac:dyDescent="0.3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108.7</v>
      </c>
      <c r="V24">
        <v>107.6</v>
      </c>
      <c r="W24">
        <v>108.1</v>
      </c>
      <c r="X24">
        <v>106.5</v>
      </c>
      <c r="Y24">
        <v>110.8</v>
      </c>
      <c r="Z24">
        <v>106</v>
      </c>
      <c r="AA24">
        <v>108.3</v>
      </c>
      <c r="AB24">
        <v>112.7</v>
      </c>
      <c r="AC24" s="10">
        <f t="shared" si="1"/>
        <v>115.60714285714288</v>
      </c>
      <c r="AD24">
        <f t="shared" si="2"/>
        <v>109.69999999999999</v>
      </c>
      <c r="AE24">
        <v>108.9</v>
      </c>
      <c r="AF24">
        <v>109.3</v>
      </c>
      <c r="AG24" s="1">
        <f t="shared" si="3"/>
        <v>107.94999999999999</v>
      </c>
      <c r="AH24" s="1">
        <f t="shared" si="4"/>
        <v>551.45714285714291</v>
      </c>
      <c r="AI24">
        <f t="shared" si="5"/>
        <v>22.167386480884602</v>
      </c>
      <c r="AJ24">
        <f t="shared" si="6"/>
        <v>21.034706306668248</v>
      </c>
      <c r="AK24">
        <f t="shared" si="7"/>
        <v>20.881308266145602</v>
      </c>
      <c r="AL24">
        <f t="shared" si="8"/>
        <v>20.958007286406925</v>
      </c>
      <c r="AM24">
        <f t="shared" si="9"/>
        <v>20.699148093024956</v>
      </c>
    </row>
    <row r="25" spans="1:39" x14ac:dyDescent="0.3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108.7</v>
      </c>
      <c r="V25">
        <v>107.5</v>
      </c>
      <c r="W25">
        <v>108</v>
      </c>
      <c r="X25">
        <v>106.6</v>
      </c>
      <c r="Y25">
        <v>109.9</v>
      </c>
      <c r="Z25">
        <v>105.4</v>
      </c>
      <c r="AA25">
        <v>107.9</v>
      </c>
      <c r="AB25">
        <v>112.4</v>
      </c>
      <c r="AC25" s="10">
        <f t="shared" si="1"/>
        <v>113.47142857142858</v>
      </c>
      <c r="AD25">
        <f t="shared" si="2"/>
        <v>110.36666666666667</v>
      </c>
      <c r="AE25">
        <v>108.9</v>
      </c>
      <c r="AF25">
        <v>109.7</v>
      </c>
      <c r="AG25" s="1">
        <f t="shared" si="3"/>
        <v>107.68333333333332</v>
      </c>
      <c r="AH25" s="1">
        <f t="shared" si="4"/>
        <v>550.12142857142862</v>
      </c>
      <c r="AI25">
        <f t="shared" si="5"/>
        <v>21.757868497703598</v>
      </c>
      <c r="AJ25">
        <f t="shared" si="6"/>
        <v>21.162538007103791</v>
      </c>
      <c r="AK25">
        <f t="shared" si="7"/>
        <v>20.881308266145602</v>
      </c>
      <c r="AL25">
        <f t="shared" si="8"/>
        <v>21.034706306668252</v>
      </c>
      <c r="AM25">
        <f t="shared" si="9"/>
        <v>20.648015412850736</v>
      </c>
    </row>
    <row r="26" spans="1:39" x14ac:dyDescent="0.3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>
        <v>109.6</v>
      </c>
      <c r="V26">
        <v>108.3</v>
      </c>
      <c r="W26">
        <v>109.3</v>
      </c>
      <c r="X26">
        <v>107.7</v>
      </c>
      <c r="Y26">
        <v>109.8</v>
      </c>
      <c r="Z26">
        <v>106.7</v>
      </c>
      <c r="AA26">
        <v>108.7</v>
      </c>
      <c r="AB26">
        <v>114.2</v>
      </c>
      <c r="AC26" s="10">
        <f t="shared" si="1"/>
        <v>114.30000000000003</v>
      </c>
      <c r="AD26">
        <f t="shared" si="2"/>
        <v>112.2</v>
      </c>
      <c r="AE26">
        <v>109.7</v>
      </c>
      <c r="AF26">
        <v>111.1</v>
      </c>
      <c r="AG26" s="1">
        <f t="shared" si="3"/>
        <v>108.56666666666666</v>
      </c>
      <c r="AH26" s="1">
        <f t="shared" si="4"/>
        <v>555.86666666666679</v>
      </c>
      <c r="AI26">
        <f t="shared" si="5"/>
        <v>21.916745039673486</v>
      </c>
      <c r="AJ26">
        <f t="shared" si="6"/>
        <v>21.514075183301532</v>
      </c>
      <c r="AK26">
        <f t="shared" si="7"/>
        <v>21.034706306668252</v>
      </c>
      <c r="AL26">
        <f t="shared" si="8"/>
        <v>21.303152877582889</v>
      </c>
      <c r="AM26">
        <f t="shared" si="9"/>
        <v>20.817392415927831</v>
      </c>
    </row>
    <row r="27" spans="1:39" x14ac:dyDescent="0.3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109.6</v>
      </c>
      <c r="V27">
        <v>107.9</v>
      </c>
      <c r="W27">
        <v>110.4</v>
      </c>
      <c r="X27">
        <v>107.4</v>
      </c>
      <c r="Y27">
        <v>111.2</v>
      </c>
      <c r="Z27">
        <v>106.9</v>
      </c>
      <c r="AA27">
        <v>109.4</v>
      </c>
      <c r="AB27">
        <v>113.2</v>
      </c>
      <c r="AC27" s="10">
        <f t="shared" si="1"/>
        <v>115.23571428571429</v>
      </c>
      <c r="AD27">
        <f t="shared" si="2"/>
        <v>110.5</v>
      </c>
      <c r="AE27">
        <v>109.7</v>
      </c>
      <c r="AF27">
        <v>109.5</v>
      </c>
      <c r="AG27" s="1">
        <f t="shared" si="3"/>
        <v>108.89999999999999</v>
      </c>
      <c r="AH27" s="1">
        <f t="shared" si="4"/>
        <v>553.83571428571429</v>
      </c>
      <c r="AI27">
        <f t="shared" si="5"/>
        <v>22.096165962070515</v>
      </c>
      <c r="AJ27">
        <f t="shared" si="6"/>
        <v>21.188104347190901</v>
      </c>
      <c r="AK27">
        <f t="shared" si="7"/>
        <v>21.034706306668252</v>
      </c>
      <c r="AL27">
        <f t="shared" si="8"/>
        <v>20.996356796537587</v>
      </c>
      <c r="AM27">
        <f t="shared" si="9"/>
        <v>20.881308266145602</v>
      </c>
    </row>
    <row r="28" spans="1:39" x14ac:dyDescent="0.3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109.6</v>
      </c>
      <c r="V28">
        <v>108.1</v>
      </c>
      <c r="W28">
        <v>109.9</v>
      </c>
      <c r="X28">
        <v>107.5</v>
      </c>
      <c r="Y28">
        <v>110.6</v>
      </c>
      <c r="Z28">
        <v>106.8</v>
      </c>
      <c r="AA28">
        <v>109</v>
      </c>
      <c r="AB28">
        <v>113.7</v>
      </c>
      <c r="AC28" s="10">
        <f t="shared" si="1"/>
        <v>114.54999999999998</v>
      </c>
      <c r="AD28">
        <f t="shared" si="2"/>
        <v>111.5</v>
      </c>
      <c r="AE28">
        <v>109.7</v>
      </c>
      <c r="AF28">
        <v>110.5</v>
      </c>
      <c r="AG28" s="1">
        <f t="shared" si="3"/>
        <v>108.75</v>
      </c>
      <c r="AH28" s="1">
        <f t="shared" si="4"/>
        <v>555</v>
      </c>
      <c r="AI28">
        <f t="shared" si="5"/>
        <v>21.964681927336809</v>
      </c>
      <c r="AJ28">
        <f t="shared" si="6"/>
        <v>21.379851897844212</v>
      </c>
      <c r="AK28">
        <f t="shared" si="7"/>
        <v>21.034706306668252</v>
      </c>
      <c r="AL28">
        <f t="shared" si="8"/>
        <v>21.188104347190901</v>
      </c>
      <c r="AM28">
        <f t="shared" si="9"/>
        <v>20.852546133547605</v>
      </c>
    </row>
    <row r="29" spans="1:39" x14ac:dyDescent="0.3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>
        <v>110.4</v>
      </c>
      <c r="V29">
        <v>108.9</v>
      </c>
      <c r="W29">
        <v>109.3</v>
      </c>
      <c r="X29">
        <v>108.3</v>
      </c>
      <c r="Y29">
        <v>110.2</v>
      </c>
      <c r="Z29">
        <v>107.5</v>
      </c>
      <c r="AA29">
        <v>109.1</v>
      </c>
      <c r="AB29">
        <v>115.5</v>
      </c>
      <c r="AC29" s="10">
        <f t="shared" si="1"/>
        <v>115.72857142857143</v>
      </c>
      <c r="AD29">
        <f t="shared" si="2"/>
        <v>113.09999999999998</v>
      </c>
      <c r="AE29">
        <v>110.5</v>
      </c>
      <c r="AF29">
        <v>111.6</v>
      </c>
      <c r="AG29" s="1">
        <f t="shared" si="3"/>
        <v>109.10000000000001</v>
      </c>
      <c r="AH29" s="1">
        <f t="shared" si="4"/>
        <v>560.02857142857147</v>
      </c>
      <c r="AI29">
        <f t="shared" si="5"/>
        <v>22.190670112035356</v>
      </c>
      <c r="AJ29">
        <f t="shared" si="6"/>
        <v>21.686647978889507</v>
      </c>
      <c r="AK29">
        <f t="shared" si="7"/>
        <v>21.188104347190901</v>
      </c>
      <c r="AL29">
        <f t="shared" si="8"/>
        <v>21.399026652909541</v>
      </c>
      <c r="AM29">
        <f t="shared" si="9"/>
        <v>20.919657776276264</v>
      </c>
    </row>
    <row r="30" spans="1:39" x14ac:dyDescent="0.3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110.2</v>
      </c>
      <c r="V30">
        <v>108.2</v>
      </c>
      <c r="W30">
        <v>109.7</v>
      </c>
      <c r="X30">
        <v>108</v>
      </c>
      <c r="Y30">
        <v>111.3</v>
      </c>
      <c r="Z30">
        <v>107.3</v>
      </c>
      <c r="AA30">
        <v>109.4</v>
      </c>
      <c r="AB30">
        <v>114</v>
      </c>
      <c r="AC30" s="10">
        <f t="shared" si="1"/>
        <v>116.47857142857141</v>
      </c>
      <c r="AD30">
        <f t="shared" si="2"/>
        <v>111.39999999999999</v>
      </c>
      <c r="AE30">
        <v>110.5</v>
      </c>
      <c r="AF30">
        <v>109.7</v>
      </c>
      <c r="AG30" s="1">
        <f t="shared" si="3"/>
        <v>109.11666666666666</v>
      </c>
      <c r="AH30" s="1">
        <f t="shared" si="4"/>
        <v>557.19523809523798</v>
      </c>
      <c r="AI30">
        <f t="shared" si="5"/>
        <v>22.334480775025337</v>
      </c>
      <c r="AJ30">
        <f t="shared" si="6"/>
        <v>21.360677142778879</v>
      </c>
      <c r="AK30">
        <f t="shared" si="7"/>
        <v>21.188104347190901</v>
      </c>
      <c r="AL30">
        <f t="shared" si="8"/>
        <v>21.034706306668252</v>
      </c>
      <c r="AM30">
        <f t="shared" si="9"/>
        <v>20.922853568787154</v>
      </c>
    </row>
    <row r="31" spans="1:39" x14ac:dyDescent="0.3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110.3</v>
      </c>
      <c r="V31">
        <v>108.6</v>
      </c>
      <c r="W31">
        <v>109.5</v>
      </c>
      <c r="X31">
        <v>108.1</v>
      </c>
      <c r="Y31">
        <v>110.8</v>
      </c>
      <c r="Z31">
        <v>107.4</v>
      </c>
      <c r="AA31">
        <v>109.2</v>
      </c>
      <c r="AB31">
        <v>114.8</v>
      </c>
      <c r="AC31" s="10">
        <f t="shared" si="1"/>
        <v>115.90714285714287</v>
      </c>
      <c r="AD31">
        <f t="shared" si="2"/>
        <v>112.39999999999999</v>
      </c>
      <c r="AE31">
        <v>110.5</v>
      </c>
      <c r="AF31">
        <v>110.9</v>
      </c>
      <c r="AG31" s="1">
        <f t="shared" si="3"/>
        <v>109.11666666666666</v>
      </c>
      <c r="AH31" s="1">
        <f t="shared" si="4"/>
        <v>558.82380952380959</v>
      </c>
      <c r="AI31">
        <f t="shared" si="5"/>
        <v>22.224910746080596</v>
      </c>
      <c r="AJ31">
        <f t="shared" si="6"/>
        <v>21.55242469343219</v>
      </c>
      <c r="AK31">
        <f t="shared" si="7"/>
        <v>21.188104347190901</v>
      </c>
      <c r="AL31">
        <f t="shared" si="8"/>
        <v>21.264803367452227</v>
      </c>
      <c r="AM31">
        <f t="shared" si="9"/>
        <v>20.922853568787154</v>
      </c>
    </row>
    <row r="32" spans="1:39" x14ac:dyDescent="0.3">
      <c r="A32" t="s">
        <v>30</v>
      </c>
      <c r="B32">
        <v>2013</v>
      </c>
      <c r="C32" t="s">
        <v>45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>
        <v>111.3</v>
      </c>
      <c r="V32">
        <v>109.7</v>
      </c>
      <c r="W32">
        <v>109.6</v>
      </c>
      <c r="X32">
        <v>108.7</v>
      </c>
      <c r="Y32">
        <v>111</v>
      </c>
      <c r="Z32">
        <v>108.2</v>
      </c>
      <c r="AA32">
        <v>109.8</v>
      </c>
      <c r="AB32">
        <v>117.4</v>
      </c>
      <c r="AC32" s="10">
        <f t="shared" si="1"/>
        <v>117.82857142857142</v>
      </c>
      <c r="AD32">
        <f t="shared" si="2"/>
        <v>114.03333333333335</v>
      </c>
      <c r="AE32">
        <v>111.1</v>
      </c>
      <c r="AF32">
        <v>112.6</v>
      </c>
      <c r="AG32" s="1">
        <f t="shared" si="3"/>
        <v>109.75</v>
      </c>
      <c r="AH32" s="1">
        <f t="shared" si="4"/>
        <v>565.31190476190477</v>
      </c>
      <c r="AI32">
        <f t="shared" si="5"/>
        <v>22.593339968407307</v>
      </c>
      <c r="AJ32">
        <f t="shared" si="6"/>
        <v>21.86561235949927</v>
      </c>
      <c r="AK32">
        <f t="shared" si="7"/>
        <v>21.303152877582889</v>
      </c>
      <c r="AL32">
        <f t="shared" si="8"/>
        <v>21.590774203562855</v>
      </c>
      <c r="AM32">
        <f t="shared" si="9"/>
        <v>21.04429368420092</v>
      </c>
    </row>
    <row r="33" spans="1:39" x14ac:dyDescent="0.3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110.9</v>
      </c>
      <c r="V33">
        <v>108.6</v>
      </c>
      <c r="W33">
        <v>109.5</v>
      </c>
      <c r="X33">
        <v>108.5</v>
      </c>
      <c r="Y33">
        <v>111.3</v>
      </c>
      <c r="Z33">
        <v>107.9</v>
      </c>
      <c r="AA33">
        <v>109.6</v>
      </c>
      <c r="AB33">
        <v>115</v>
      </c>
      <c r="AC33" s="10">
        <f t="shared" si="1"/>
        <v>118.47857142857141</v>
      </c>
      <c r="AD33">
        <f t="shared" si="2"/>
        <v>112.26666666666667</v>
      </c>
      <c r="AE33">
        <v>111.1</v>
      </c>
      <c r="AF33">
        <v>110</v>
      </c>
      <c r="AG33" s="1">
        <f t="shared" si="3"/>
        <v>109.44999999999999</v>
      </c>
      <c r="AH33" s="1">
        <f t="shared" si="4"/>
        <v>561.29523809523812</v>
      </c>
      <c r="AI33">
        <f t="shared" si="5"/>
        <v>22.717975876331963</v>
      </c>
      <c r="AJ33">
        <f t="shared" si="6"/>
        <v>21.526858353345084</v>
      </c>
      <c r="AK33">
        <f t="shared" si="7"/>
        <v>21.303152877582889</v>
      </c>
      <c r="AL33">
        <f t="shared" si="8"/>
        <v>21.092230571864246</v>
      </c>
      <c r="AM33">
        <f t="shared" si="9"/>
        <v>20.986769419004922</v>
      </c>
    </row>
    <row r="34" spans="1:39" x14ac:dyDescent="0.3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109.3</v>
      </c>
      <c r="W34">
        <v>109.5</v>
      </c>
      <c r="X34">
        <v>108.6</v>
      </c>
      <c r="Y34">
        <v>111.2</v>
      </c>
      <c r="Z34">
        <v>108.1</v>
      </c>
      <c r="AA34">
        <v>109.7</v>
      </c>
      <c r="AB34">
        <v>116.3</v>
      </c>
      <c r="AC34" s="10">
        <f t="shared" si="1"/>
        <v>117.99285714285713</v>
      </c>
      <c r="AD34">
        <f t="shared" si="2"/>
        <v>113.30000000000001</v>
      </c>
      <c r="AE34">
        <v>111.1</v>
      </c>
      <c r="AF34">
        <v>111.6</v>
      </c>
      <c r="AG34" s="1">
        <f t="shared" si="3"/>
        <v>109.63333333333334</v>
      </c>
      <c r="AH34" s="1">
        <f t="shared" si="4"/>
        <v>563.62619047619046</v>
      </c>
      <c r="AI34">
        <f t="shared" si="5"/>
        <v>22.624841351728925</v>
      </c>
      <c r="AJ34">
        <f t="shared" si="6"/>
        <v>21.724997489020172</v>
      </c>
      <c r="AK34">
        <f t="shared" si="7"/>
        <v>21.303152877582889</v>
      </c>
      <c r="AL34">
        <f t="shared" si="8"/>
        <v>21.399026652909541</v>
      </c>
      <c r="AM34">
        <f t="shared" si="9"/>
        <v>21.0219231366247</v>
      </c>
    </row>
    <row r="35" spans="1:39" x14ac:dyDescent="0.3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>
        <v>112.1</v>
      </c>
      <c r="V35">
        <v>110.1</v>
      </c>
      <c r="W35">
        <v>109.9</v>
      </c>
      <c r="X35">
        <v>109.2</v>
      </c>
      <c r="Y35">
        <v>111.6</v>
      </c>
      <c r="Z35">
        <v>108.1</v>
      </c>
      <c r="AA35">
        <v>110.1</v>
      </c>
      <c r="AB35">
        <v>115.5</v>
      </c>
      <c r="AC35" s="10">
        <f t="shared" si="1"/>
        <v>115.89999999999999</v>
      </c>
      <c r="AD35">
        <f t="shared" si="2"/>
        <v>115.10000000000001</v>
      </c>
      <c r="AE35">
        <v>110.7</v>
      </c>
      <c r="AF35">
        <v>112.8</v>
      </c>
      <c r="AG35" s="1">
        <f t="shared" si="3"/>
        <v>110.16666666666667</v>
      </c>
      <c r="AH35" s="1">
        <f t="shared" si="4"/>
        <v>564.66666666666663</v>
      </c>
      <c r="AI35">
        <f t="shared" si="5"/>
        <v>22.223541120718778</v>
      </c>
      <c r="AJ35">
        <f t="shared" si="6"/>
        <v>22.070143080196132</v>
      </c>
      <c r="AK35">
        <f t="shared" si="7"/>
        <v>21.226453857321566</v>
      </c>
      <c r="AL35">
        <f t="shared" si="8"/>
        <v>21.629123713693517</v>
      </c>
      <c r="AM35">
        <f t="shared" si="9"/>
        <v>21.124188496973133</v>
      </c>
    </row>
    <row r="36" spans="1:39" x14ac:dyDescent="0.3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111.3</v>
      </c>
      <c r="V36">
        <v>109</v>
      </c>
      <c r="W36">
        <v>109.7</v>
      </c>
      <c r="X36">
        <v>108.9</v>
      </c>
      <c r="Y36">
        <v>111.4</v>
      </c>
      <c r="Z36">
        <v>107.7</v>
      </c>
      <c r="AA36">
        <v>109.8</v>
      </c>
      <c r="AB36">
        <v>113.3</v>
      </c>
      <c r="AC36" s="10">
        <f t="shared" si="1"/>
        <v>115.67142857142858</v>
      </c>
      <c r="AD36">
        <f t="shared" si="2"/>
        <v>112.93333333333334</v>
      </c>
      <c r="AE36">
        <v>110.7</v>
      </c>
      <c r="AF36">
        <v>110.4</v>
      </c>
      <c r="AG36" s="1">
        <f t="shared" si="3"/>
        <v>109.66666666666667</v>
      </c>
      <c r="AH36" s="1">
        <f t="shared" si="4"/>
        <v>559.37142857142851</v>
      </c>
      <c r="AI36">
        <f t="shared" si="5"/>
        <v>22.179713109140884</v>
      </c>
      <c r="AJ36">
        <f t="shared" si="6"/>
        <v>21.654690053780627</v>
      </c>
      <c r="AK36">
        <f t="shared" si="7"/>
        <v>21.226453857321566</v>
      </c>
      <c r="AL36">
        <f t="shared" si="8"/>
        <v>21.168929592125572</v>
      </c>
      <c r="AM36">
        <f t="shared" si="9"/>
        <v>21.028314721646474</v>
      </c>
    </row>
    <row r="37" spans="1:39" x14ac:dyDescent="0.3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111.7</v>
      </c>
      <c r="V37">
        <v>109.7</v>
      </c>
      <c r="W37">
        <v>109.8</v>
      </c>
      <c r="X37">
        <v>109</v>
      </c>
      <c r="Y37">
        <v>111.5</v>
      </c>
      <c r="Z37">
        <v>107.9</v>
      </c>
      <c r="AA37">
        <v>110</v>
      </c>
      <c r="AB37">
        <v>114.5</v>
      </c>
      <c r="AC37" s="10">
        <f t="shared" si="1"/>
        <v>115.80714285714286</v>
      </c>
      <c r="AD37">
        <f t="shared" si="2"/>
        <v>114.23333333333333</v>
      </c>
      <c r="AE37">
        <v>110.7</v>
      </c>
      <c r="AF37">
        <v>111.9</v>
      </c>
      <c r="AG37" s="1">
        <f t="shared" si="3"/>
        <v>109.93333333333334</v>
      </c>
      <c r="AH37" s="1">
        <f t="shared" si="4"/>
        <v>562.57380952380959</v>
      </c>
      <c r="AI37">
        <f t="shared" si="5"/>
        <v>22.20573599101526</v>
      </c>
      <c r="AJ37">
        <f t="shared" si="6"/>
        <v>21.903961869629928</v>
      </c>
      <c r="AK37">
        <f t="shared" si="7"/>
        <v>21.226453857321566</v>
      </c>
      <c r="AL37">
        <f t="shared" si="8"/>
        <v>21.456550918105538</v>
      </c>
      <c r="AM37">
        <f t="shared" si="9"/>
        <v>21.079447401820691</v>
      </c>
    </row>
    <row r="38" spans="1:39" x14ac:dyDescent="0.3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>
        <v>112.6</v>
      </c>
      <c r="V38">
        <v>110.6</v>
      </c>
      <c r="W38">
        <v>110.5</v>
      </c>
      <c r="X38">
        <v>109.6</v>
      </c>
      <c r="Y38">
        <v>111.8</v>
      </c>
      <c r="Z38">
        <v>108.3</v>
      </c>
      <c r="AA38">
        <v>110.6</v>
      </c>
      <c r="AB38">
        <v>114.2</v>
      </c>
      <c r="AC38" s="10">
        <f t="shared" si="1"/>
        <v>114.32857142857144</v>
      </c>
      <c r="AD38">
        <f t="shared" si="2"/>
        <v>115.73333333333333</v>
      </c>
      <c r="AE38">
        <v>111.6</v>
      </c>
      <c r="AF38">
        <v>113</v>
      </c>
      <c r="AG38" s="1">
        <f t="shared" si="3"/>
        <v>110.56666666666665</v>
      </c>
      <c r="AH38" s="1">
        <f t="shared" si="4"/>
        <v>565.2285714285714</v>
      </c>
      <c r="AI38">
        <f t="shared" si="5"/>
        <v>21.922223541120722</v>
      </c>
      <c r="AJ38">
        <f t="shared" si="6"/>
        <v>22.191583195609894</v>
      </c>
      <c r="AK38">
        <f t="shared" si="7"/>
        <v>21.399026652909541</v>
      </c>
      <c r="AL38">
        <f t="shared" si="8"/>
        <v>21.667473223824178</v>
      </c>
      <c r="AM38">
        <f t="shared" si="9"/>
        <v>21.200887517234452</v>
      </c>
    </row>
    <row r="39" spans="1:39" x14ac:dyDescent="0.3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111.9</v>
      </c>
      <c r="V39">
        <v>109.7</v>
      </c>
      <c r="W39">
        <v>110.8</v>
      </c>
      <c r="X39">
        <v>109.8</v>
      </c>
      <c r="Y39">
        <v>111.5</v>
      </c>
      <c r="Z39">
        <v>108</v>
      </c>
      <c r="AA39">
        <v>110.5</v>
      </c>
      <c r="AB39">
        <v>112.9</v>
      </c>
      <c r="AC39" s="10">
        <f t="shared" si="1"/>
        <v>114.28571428571429</v>
      </c>
      <c r="AD39">
        <f t="shared" si="2"/>
        <v>113.46666666666665</v>
      </c>
      <c r="AE39">
        <v>111.6</v>
      </c>
      <c r="AF39">
        <v>111</v>
      </c>
      <c r="AG39" s="1">
        <f t="shared" si="3"/>
        <v>110.28333333333335</v>
      </c>
      <c r="AH39" s="1">
        <f t="shared" si="4"/>
        <v>560.63571428571424</v>
      </c>
      <c r="AI39">
        <f t="shared" si="5"/>
        <v>21.914005788949869</v>
      </c>
      <c r="AJ39">
        <f t="shared" si="6"/>
        <v>21.756955414129056</v>
      </c>
      <c r="AK39">
        <f t="shared" si="7"/>
        <v>21.399026652909541</v>
      </c>
      <c r="AL39">
        <f t="shared" si="8"/>
        <v>21.283978122517556</v>
      </c>
      <c r="AM39">
        <f t="shared" si="9"/>
        <v>21.146559044549353</v>
      </c>
    </row>
    <row r="40" spans="1:39" x14ac:dyDescent="0.3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112.3</v>
      </c>
      <c r="V40">
        <v>110.3</v>
      </c>
      <c r="W40">
        <v>110.7</v>
      </c>
      <c r="X40">
        <v>109.7</v>
      </c>
      <c r="Y40">
        <v>111.6</v>
      </c>
      <c r="Z40">
        <v>108.2</v>
      </c>
      <c r="AA40">
        <v>110.6</v>
      </c>
      <c r="AB40">
        <v>113.6</v>
      </c>
      <c r="AC40" s="10">
        <f t="shared" si="1"/>
        <v>114.30714285714284</v>
      </c>
      <c r="AD40">
        <f t="shared" si="2"/>
        <v>114.8</v>
      </c>
      <c r="AE40">
        <v>111.6</v>
      </c>
      <c r="AF40">
        <v>112.2</v>
      </c>
      <c r="AG40" s="1">
        <f t="shared" si="3"/>
        <v>110.46666666666668</v>
      </c>
      <c r="AH40" s="1">
        <f t="shared" si="4"/>
        <v>563.37380952380943</v>
      </c>
      <c r="AI40">
        <f t="shared" si="5"/>
        <v>21.918114665035286</v>
      </c>
      <c r="AJ40">
        <f t="shared" si="6"/>
        <v>22.012618815000138</v>
      </c>
      <c r="AK40">
        <f t="shared" si="7"/>
        <v>21.399026652909541</v>
      </c>
      <c r="AL40">
        <f t="shared" si="8"/>
        <v>21.514075183301532</v>
      </c>
      <c r="AM40">
        <f t="shared" si="9"/>
        <v>21.181712762169127</v>
      </c>
    </row>
    <row r="41" spans="1:39" x14ac:dyDescent="0.3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>
        <v>112.9</v>
      </c>
      <c r="V41">
        <v>110.9</v>
      </c>
      <c r="W41">
        <v>110.8</v>
      </c>
      <c r="X41">
        <v>109.9</v>
      </c>
      <c r="Y41">
        <v>112</v>
      </c>
      <c r="Z41">
        <v>108.7</v>
      </c>
      <c r="AA41">
        <v>110.9</v>
      </c>
      <c r="AB41">
        <v>114</v>
      </c>
      <c r="AC41" s="10">
        <f t="shared" si="1"/>
        <v>114.02857142857144</v>
      </c>
      <c r="AD41">
        <f t="shared" si="2"/>
        <v>116.10000000000001</v>
      </c>
      <c r="AE41">
        <v>112.5</v>
      </c>
      <c r="AF41">
        <v>113.2</v>
      </c>
      <c r="AG41" s="1">
        <f t="shared" si="3"/>
        <v>110.86666666666667</v>
      </c>
      <c r="AH41" s="1">
        <f t="shared" si="4"/>
        <v>566.6952380952381</v>
      </c>
      <c r="AI41">
        <f t="shared" si="5"/>
        <v>21.864699275924728</v>
      </c>
      <c r="AJ41">
        <f t="shared" si="6"/>
        <v>22.261890630849447</v>
      </c>
      <c r="AK41">
        <f t="shared" si="7"/>
        <v>21.571599448497523</v>
      </c>
      <c r="AL41">
        <f t="shared" si="8"/>
        <v>21.70582273395484</v>
      </c>
      <c r="AM41">
        <f t="shared" si="9"/>
        <v>21.25841178243045</v>
      </c>
    </row>
    <row r="42" spans="1:39" x14ac:dyDescent="0.3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112.6</v>
      </c>
      <c r="V42">
        <v>110.4</v>
      </c>
      <c r="W42">
        <v>111.3</v>
      </c>
      <c r="X42">
        <v>110.3</v>
      </c>
      <c r="Y42">
        <v>111.6</v>
      </c>
      <c r="Z42">
        <v>108.7</v>
      </c>
      <c r="AA42">
        <v>111</v>
      </c>
      <c r="AB42">
        <v>113.1</v>
      </c>
      <c r="AC42" s="10">
        <f t="shared" si="1"/>
        <v>113.72857142857143</v>
      </c>
      <c r="AD42">
        <f t="shared" si="2"/>
        <v>113.89999999999999</v>
      </c>
      <c r="AE42">
        <v>112.5</v>
      </c>
      <c r="AF42">
        <v>111.1</v>
      </c>
      <c r="AG42" s="1">
        <f t="shared" si="3"/>
        <v>110.81666666666668</v>
      </c>
      <c r="AH42" s="1">
        <f t="shared" si="4"/>
        <v>562.04523809523812</v>
      </c>
      <c r="AI42">
        <f t="shared" si="5"/>
        <v>21.807175010728734</v>
      </c>
      <c r="AJ42">
        <f t="shared" si="6"/>
        <v>21.840046019412156</v>
      </c>
      <c r="AK42">
        <f t="shared" si="7"/>
        <v>21.571599448497523</v>
      </c>
      <c r="AL42">
        <f t="shared" si="8"/>
        <v>21.303152877582889</v>
      </c>
      <c r="AM42">
        <f t="shared" si="9"/>
        <v>21.248824404897785</v>
      </c>
    </row>
    <row r="43" spans="1:39" x14ac:dyDescent="0.3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112.8</v>
      </c>
      <c r="V43">
        <v>110.7</v>
      </c>
      <c r="W43">
        <v>111.1</v>
      </c>
      <c r="X43">
        <v>110.1</v>
      </c>
      <c r="Y43">
        <v>111.8</v>
      </c>
      <c r="Z43">
        <v>108.7</v>
      </c>
      <c r="AA43">
        <v>110.9</v>
      </c>
      <c r="AB43">
        <v>113.6</v>
      </c>
      <c r="AC43" s="10">
        <f t="shared" si="1"/>
        <v>113.91428571428571</v>
      </c>
      <c r="AD43">
        <f t="shared" si="2"/>
        <v>115.2</v>
      </c>
      <c r="AE43">
        <v>112.5</v>
      </c>
      <c r="AF43">
        <v>112.4</v>
      </c>
      <c r="AG43" s="1">
        <f t="shared" si="3"/>
        <v>110.86666666666667</v>
      </c>
      <c r="AH43" s="1">
        <f t="shared" si="4"/>
        <v>564.88095238095241</v>
      </c>
      <c r="AI43">
        <f t="shared" si="5"/>
        <v>21.842785270135778</v>
      </c>
      <c r="AJ43">
        <f t="shared" si="6"/>
        <v>22.089317835261461</v>
      </c>
      <c r="AK43">
        <f t="shared" si="7"/>
        <v>21.571599448497523</v>
      </c>
      <c r="AL43">
        <f t="shared" si="8"/>
        <v>21.552424693432194</v>
      </c>
      <c r="AM43">
        <f t="shared" si="9"/>
        <v>21.25841178243045</v>
      </c>
    </row>
    <row r="44" spans="1:39" x14ac:dyDescent="0.3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>
        <v>113.4</v>
      </c>
      <c r="V44">
        <v>111.4</v>
      </c>
      <c r="W44">
        <v>111.2</v>
      </c>
      <c r="X44">
        <v>110.2</v>
      </c>
      <c r="Y44">
        <v>112.4</v>
      </c>
      <c r="Z44">
        <v>108.9</v>
      </c>
      <c r="AA44">
        <v>111.3</v>
      </c>
      <c r="AB44">
        <v>114.6</v>
      </c>
      <c r="AC44" s="10">
        <f t="shared" si="1"/>
        <v>114.71428571428571</v>
      </c>
      <c r="AD44">
        <f t="shared" si="2"/>
        <v>116.53333333333335</v>
      </c>
      <c r="AE44">
        <v>113.2</v>
      </c>
      <c r="AF44">
        <v>113.4</v>
      </c>
      <c r="AG44" s="1">
        <f t="shared" si="3"/>
        <v>111.25</v>
      </c>
      <c r="AH44" s="1">
        <f t="shared" si="4"/>
        <v>569.09761904761911</v>
      </c>
      <c r="AI44">
        <f t="shared" si="5"/>
        <v>21.996183310658427</v>
      </c>
      <c r="AJ44">
        <f t="shared" si="6"/>
        <v>22.344981236132547</v>
      </c>
      <c r="AK44">
        <f t="shared" si="7"/>
        <v>21.70582273395484</v>
      </c>
      <c r="AL44">
        <f t="shared" si="8"/>
        <v>21.744172244085505</v>
      </c>
      <c r="AM44">
        <f t="shared" si="9"/>
        <v>21.331915010180886</v>
      </c>
    </row>
    <row r="45" spans="1:39" x14ac:dyDescent="0.3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</v>
      </c>
      <c r="V45">
        <v>110.8</v>
      </c>
      <c r="W45">
        <v>111.6</v>
      </c>
      <c r="X45">
        <v>110.9</v>
      </c>
      <c r="Y45">
        <v>111.8</v>
      </c>
      <c r="Z45">
        <v>109.2</v>
      </c>
      <c r="AA45">
        <v>111.4</v>
      </c>
      <c r="AB45">
        <v>113.7</v>
      </c>
      <c r="AC45" s="10">
        <f t="shared" si="1"/>
        <v>114.26428571428572</v>
      </c>
      <c r="AD45">
        <f t="shared" si="2"/>
        <v>114.36666666666666</v>
      </c>
      <c r="AE45">
        <v>113.2</v>
      </c>
      <c r="AF45">
        <v>110.9</v>
      </c>
      <c r="AG45" s="1">
        <f t="shared" si="3"/>
        <v>111.21666666666665</v>
      </c>
      <c r="AH45" s="1">
        <f t="shared" si="4"/>
        <v>563.94761904761913</v>
      </c>
      <c r="AI45">
        <f t="shared" si="5"/>
        <v>21.909896912864436</v>
      </c>
      <c r="AJ45">
        <f t="shared" si="6"/>
        <v>21.929528209717038</v>
      </c>
      <c r="AK45">
        <f t="shared" si="7"/>
        <v>21.70582273395484</v>
      </c>
      <c r="AL45">
        <f t="shared" si="8"/>
        <v>21.264803367452227</v>
      </c>
      <c r="AM45">
        <f t="shared" si="9"/>
        <v>21.325523425159105</v>
      </c>
    </row>
    <row r="46" spans="1:39" x14ac:dyDescent="0.3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111.2</v>
      </c>
      <c r="W46">
        <v>111.4</v>
      </c>
      <c r="X46">
        <v>110.6</v>
      </c>
      <c r="Y46">
        <v>112</v>
      </c>
      <c r="Z46">
        <v>109</v>
      </c>
      <c r="AA46">
        <v>111.3</v>
      </c>
      <c r="AB46">
        <v>114.2</v>
      </c>
      <c r="AC46" s="10">
        <f t="shared" si="1"/>
        <v>114.53571428571426</v>
      </c>
      <c r="AD46">
        <f t="shared" si="2"/>
        <v>115.63333333333333</v>
      </c>
      <c r="AE46">
        <v>113.2</v>
      </c>
      <c r="AF46">
        <v>112.5</v>
      </c>
      <c r="AG46" s="1">
        <f t="shared" si="3"/>
        <v>111.23333333333333</v>
      </c>
      <c r="AH46" s="1">
        <f t="shared" si="4"/>
        <v>567.10238095238094</v>
      </c>
      <c r="AI46">
        <f t="shared" si="5"/>
        <v>21.961942676613187</v>
      </c>
      <c r="AJ46">
        <f t="shared" si="6"/>
        <v>22.172408440544565</v>
      </c>
      <c r="AK46">
        <f t="shared" si="7"/>
        <v>21.70582273395484</v>
      </c>
      <c r="AL46">
        <f t="shared" si="8"/>
        <v>21.571599448497523</v>
      </c>
      <c r="AM46">
        <f t="shared" si="9"/>
        <v>21.328719217669995</v>
      </c>
    </row>
    <row r="47" spans="1:39" x14ac:dyDescent="0.3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>
        <v>113.7</v>
      </c>
      <c r="V47">
        <v>111.8</v>
      </c>
      <c r="W47">
        <v>111.2</v>
      </c>
      <c r="X47">
        <v>110.5</v>
      </c>
      <c r="Y47">
        <v>113</v>
      </c>
      <c r="Z47">
        <v>108.9</v>
      </c>
      <c r="AA47">
        <v>111.5</v>
      </c>
      <c r="AB47">
        <v>115.4</v>
      </c>
      <c r="AC47" s="10">
        <f t="shared" si="1"/>
        <v>115.67857142857144</v>
      </c>
      <c r="AD47">
        <f t="shared" si="2"/>
        <v>117.33333333333333</v>
      </c>
      <c r="AE47">
        <v>113.9</v>
      </c>
      <c r="AF47">
        <v>113.4</v>
      </c>
      <c r="AG47" s="1">
        <f t="shared" si="3"/>
        <v>111.51666666666667</v>
      </c>
      <c r="AH47" s="1">
        <f t="shared" si="4"/>
        <v>571.82857142857142</v>
      </c>
      <c r="AI47">
        <f t="shared" si="5"/>
        <v>22.181082734502695</v>
      </c>
      <c r="AJ47">
        <f t="shared" si="6"/>
        <v>22.498379276655193</v>
      </c>
      <c r="AK47">
        <f t="shared" si="7"/>
        <v>21.84004601941216</v>
      </c>
      <c r="AL47">
        <f t="shared" si="8"/>
        <v>21.744172244085505</v>
      </c>
      <c r="AM47">
        <f t="shared" si="9"/>
        <v>21.383047690355099</v>
      </c>
    </row>
    <row r="48" spans="1:39" x14ac:dyDescent="0.3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113.4</v>
      </c>
      <c r="V48">
        <v>111</v>
      </c>
      <c r="W48">
        <v>111.2</v>
      </c>
      <c r="X48">
        <v>111.2</v>
      </c>
      <c r="Y48">
        <v>112.5</v>
      </c>
      <c r="Z48">
        <v>109.1</v>
      </c>
      <c r="AA48">
        <v>111.4</v>
      </c>
      <c r="AB48">
        <v>114.7</v>
      </c>
      <c r="AC48" s="10">
        <f t="shared" si="1"/>
        <v>115.82857142857144</v>
      </c>
      <c r="AD48">
        <f t="shared" si="2"/>
        <v>114.83333333333333</v>
      </c>
      <c r="AE48">
        <v>113.9</v>
      </c>
      <c r="AF48">
        <v>110.9</v>
      </c>
      <c r="AG48" s="1">
        <f t="shared" si="3"/>
        <v>111.39999999999999</v>
      </c>
      <c r="AH48" s="1">
        <f t="shared" si="4"/>
        <v>566.86190476190473</v>
      </c>
      <c r="AI48">
        <f t="shared" si="5"/>
        <v>22.209844867100689</v>
      </c>
      <c r="AJ48">
        <f t="shared" si="6"/>
        <v>22.019010400021916</v>
      </c>
      <c r="AK48">
        <f t="shared" si="7"/>
        <v>21.84004601941216</v>
      </c>
      <c r="AL48">
        <f t="shared" si="8"/>
        <v>21.264803367452227</v>
      </c>
      <c r="AM48">
        <f t="shared" si="9"/>
        <v>21.360677142778879</v>
      </c>
    </row>
    <row r="49" spans="1:39" x14ac:dyDescent="0.3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113.6</v>
      </c>
      <c r="V49">
        <v>111.5</v>
      </c>
      <c r="W49">
        <v>111.2</v>
      </c>
      <c r="X49">
        <v>110.9</v>
      </c>
      <c r="Y49">
        <v>112.7</v>
      </c>
      <c r="Z49">
        <v>109</v>
      </c>
      <c r="AA49">
        <v>111.5</v>
      </c>
      <c r="AB49">
        <v>115.1</v>
      </c>
      <c r="AC49" s="10">
        <f t="shared" si="1"/>
        <v>115.72142857142856</v>
      </c>
      <c r="AD49">
        <f t="shared" si="2"/>
        <v>116.33333333333333</v>
      </c>
      <c r="AE49">
        <v>113.9</v>
      </c>
      <c r="AF49">
        <v>112.5</v>
      </c>
      <c r="AG49" s="1">
        <f t="shared" si="3"/>
        <v>111.48333333333335</v>
      </c>
      <c r="AH49" s="1">
        <f t="shared" si="4"/>
        <v>569.93809523809523</v>
      </c>
      <c r="AI49">
        <f t="shared" si="5"/>
        <v>22.189300486673545</v>
      </c>
      <c r="AJ49">
        <f t="shared" si="6"/>
        <v>22.306631726001882</v>
      </c>
      <c r="AK49">
        <f t="shared" si="7"/>
        <v>21.84004601941216</v>
      </c>
      <c r="AL49">
        <f t="shared" si="8"/>
        <v>21.571599448497523</v>
      </c>
      <c r="AM49">
        <f t="shared" si="9"/>
        <v>21.376656105333325</v>
      </c>
    </row>
    <row r="50" spans="1:39" x14ac:dyDescent="0.3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>
        <v>114.1</v>
      </c>
      <c r="V50">
        <v>112.1</v>
      </c>
      <c r="W50">
        <v>111.4</v>
      </c>
      <c r="X50">
        <v>110.9</v>
      </c>
      <c r="Y50">
        <v>113.1</v>
      </c>
      <c r="Z50">
        <v>108.9</v>
      </c>
      <c r="AA50">
        <v>111.8</v>
      </c>
      <c r="AB50">
        <v>116</v>
      </c>
      <c r="AC50" s="10">
        <f t="shared" si="1"/>
        <v>116.44285714285714</v>
      </c>
      <c r="AD50">
        <f t="shared" si="2"/>
        <v>118</v>
      </c>
      <c r="AE50">
        <v>114.3</v>
      </c>
      <c r="AF50">
        <v>113.4</v>
      </c>
      <c r="AG50" s="1">
        <f t="shared" si="3"/>
        <v>111.75</v>
      </c>
      <c r="AH50" s="1">
        <f t="shared" si="4"/>
        <v>573.89285714285711</v>
      </c>
      <c r="AI50">
        <f t="shared" si="5"/>
        <v>22.327632648216291</v>
      </c>
      <c r="AJ50">
        <f t="shared" si="6"/>
        <v>22.626210977090736</v>
      </c>
      <c r="AK50">
        <f t="shared" si="7"/>
        <v>21.916745039673483</v>
      </c>
      <c r="AL50">
        <f t="shared" si="8"/>
        <v>21.744172244085505</v>
      </c>
      <c r="AM50">
        <f t="shared" si="9"/>
        <v>21.427788785507541</v>
      </c>
    </row>
    <row r="51" spans="1:39" x14ac:dyDescent="0.3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114.1</v>
      </c>
      <c r="V51">
        <v>111.2</v>
      </c>
      <c r="W51">
        <v>111.3</v>
      </c>
      <c r="X51">
        <v>111.5</v>
      </c>
      <c r="Y51">
        <v>112.9</v>
      </c>
      <c r="Z51">
        <v>109.3</v>
      </c>
      <c r="AA51">
        <v>111.7</v>
      </c>
      <c r="AB51">
        <v>115.6</v>
      </c>
      <c r="AC51" s="10">
        <f t="shared" si="1"/>
        <v>117.4</v>
      </c>
      <c r="AD51">
        <f t="shared" si="2"/>
        <v>115.3</v>
      </c>
      <c r="AE51">
        <v>114.3</v>
      </c>
      <c r="AF51">
        <v>111.1</v>
      </c>
      <c r="AG51" s="1">
        <f t="shared" si="3"/>
        <v>111.71666666666665</v>
      </c>
      <c r="AH51" s="1">
        <f t="shared" si="4"/>
        <v>569.81666666666672</v>
      </c>
      <c r="AI51">
        <f t="shared" si="5"/>
        <v>22.511162446698748</v>
      </c>
      <c r="AJ51">
        <f t="shared" si="6"/>
        <v>22.108492590326794</v>
      </c>
      <c r="AK51">
        <f t="shared" si="7"/>
        <v>21.916745039673483</v>
      </c>
      <c r="AL51">
        <f t="shared" si="8"/>
        <v>21.303152877582889</v>
      </c>
      <c r="AM51">
        <f t="shared" si="9"/>
        <v>21.42139720048576</v>
      </c>
    </row>
    <row r="52" spans="1:39" x14ac:dyDescent="0.3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114.1</v>
      </c>
      <c r="V52">
        <v>111.8</v>
      </c>
      <c r="W52">
        <v>111.3</v>
      </c>
      <c r="X52">
        <v>111.2</v>
      </c>
      <c r="Y52">
        <v>113</v>
      </c>
      <c r="Z52">
        <v>109.1</v>
      </c>
      <c r="AA52">
        <v>111.8</v>
      </c>
      <c r="AB52">
        <v>115.8</v>
      </c>
      <c r="AC52" s="10">
        <f t="shared" si="1"/>
        <v>116.80714285714289</v>
      </c>
      <c r="AD52">
        <f t="shared" si="2"/>
        <v>116.93333333333332</v>
      </c>
      <c r="AE52">
        <v>114.3</v>
      </c>
      <c r="AF52">
        <v>112.5</v>
      </c>
      <c r="AG52" s="1">
        <f t="shared" si="3"/>
        <v>111.75</v>
      </c>
      <c r="AH52" s="1">
        <f t="shared" si="4"/>
        <v>572.29047619047628</v>
      </c>
      <c r="AI52">
        <f t="shared" si="5"/>
        <v>22.397483541668578</v>
      </c>
      <c r="AJ52">
        <f t="shared" si="6"/>
        <v>22.421680256393866</v>
      </c>
      <c r="AK52">
        <f t="shared" si="7"/>
        <v>21.916745039673483</v>
      </c>
      <c r="AL52">
        <f t="shared" si="8"/>
        <v>21.571599448497523</v>
      </c>
      <c r="AM52">
        <f t="shared" si="9"/>
        <v>21.427788785507541</v>
      </c>
    </row>
    <row r="53" spans="1:39" x14ac:dyDescent="0.3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>
        <v>114.9</v>
      </c>
      <c r="V53">
        <v>112.8</v>
      </c>
      <c r="W53">
        <v>112.2</v>
      </c>
      <c r="X53">
        <v>111.4</v>
      </c>
      <c r="Y53">
        <v>114.3</v>
      </c>
      <c r="Z53">
        <v>108</v>
      </c>
      <c r="AA53">
        <v>112.3</v>
      </c>
      <c r="AB53">
        <v>117</v>
      </c>
      <c r="AC53" s="10">
        <f t="shared" si="1"/>
        <v>117.35714285714285</v>
      </c>
      <c r="AD53">
        <f t="shared" si="2"/>
        <v>118.76666666666667</v>
      </c>
      <c r="AE53">
        <v>113.9</v>
      </c>
      <c r="AF53">
        <v>114.4</v>
      </c>
      <c r="AG53" s="1">
        <f t="shared" si="3"/>
        <v>112.26666666666665</v>
      </c>
      <c r="AH53" s="1">
        <f t="shared" si="4"/>
        <v>576.69047619047615</v>
      </c>
      <c r="AI53">
        <f t="shared" si="5"/>
        <v>22.502944694527891</v>
      </c>
      <c r="AJ53">
        <f t="shared" si="6"/>
        <v>22.773217432591608</v>
      </c>
      <c r="AK53">
        <f t="shared" si="7"/>
        <v>21.84004601941216</v>
      </c>
      <c r="AL53">
        <f t="shared" si="8"/>
        <v>21.935919794738815</v>
      </c>
      <c r="AM53">
        <f t="shared" si="9"/>
        <v>21.52685835334508</v>
      </c>
    </row>
    <row r="54" spans="1:39" x14ac:dyDescent="0.3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114.3</v>
      </c>
      <c r="V54">
        <v>111.4</v>
      </c>
      <c r="W54">
        <v>111.5</v>
      </c>
      <c r="X54">
        <v>111.8</v>
      </c>
      <c r="Y54">
        <v>115.1</v>
      </c>
      <c r="Z54">
        <v>108.7</v>
      </c>
      <c r="AA54">
        <v>112.2</v>
      </c>
      <c r="AB54">
        <v>116.4</v>
      </c>
      <c r="AC54" s="10">
        <f t="shared" si="1"/>
        <v>119</v>
      </c>
      <c r="AD54">
        <f t="shared" si="2"/>
        <v>115.76666666666667</v>
      </c>
      <c r="AE54">
        <v>113.9</v>
      </c>
      <c r="AF54">
        <v>111.2</v>
      </c>
      <c r="AG54" s="1">
        <f t="shared" si="3"/>
        <v>112.13333333333334</v>
      </c>
      <c r="AH54" s="1">
        <f t="shared" si="4"/>
        <v>572</v>
      </c>
      <c r="AI54">
        <f t="shared" si="5"/>
        <v>22.817958527744047</v>
      </c>
      <c r="AJ54">
        <f t="shared" si="6"/>
        <v>22.197974780631675</v>
      </c>
      <c r="AK54">
        <f t="shared" si="7"/>
        <v>21.84004601941216</v>
      </c>
      <c r="AL54">
        <f t="shared" si="8"/>
        <v>21.322327632648218</v>
      </c>
      <c r="AM54">
        <f t="shared" si="9"/>
        <v>21.501292013257977</v>
      </c>
    </row>
    <row r="55" spans="1:39" x14ac:dyDescent="0.3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114.6</v>
      </c>
      <c r="V55">
        <v>112.3</v>
      </c>
      <c r="W55">
        <v>111.8</v>
      </c>
      <c r="X55">
        <v>111.6</v>
      </c>
      <c r="Y55">
        <v>114.8</v>
      </c>
      <c r="Z55">
        <v>108.3</v>
      </c>
      <c r="AA55">
        <v>112.3</v>
      </c>
      <c r="AB55">
        <v>116.7</v>
      </c>
      <c r="AC55" s="10">
        <f t="shared" si="1"/>
        <v>117.96428571428574</v>
      </c>
      <c r="AD55">
        <f t="shared" si="2"/>
        <v>117.56666666666666</v>
      </c>
      <c r="AE55">
        <v>113.9</v>
      </c>
      <c r="AF55">
        <v>113.2</v>
      </c>
      <c r="AG55" s="1">
        <f t="shared" si="3"/>
        <v>112.23333333333331</v>
      </c>
      <c r="AH55" s="1">
        <f t="shared" si="4"/>
        <v>574.86428571428564</v>
      </c>
      <c r="AI55">
        <f t="shared" si="5"/>
        <v>22.619362850281693</v>
      </c>
      <c r="AJ55">
        <f t="shared" si="6"/>
        <v>22.543120371807632</v>
      </c>
      <c r="AK55">
        <f t="shared" si="7"/>
        <v>21.84004601941216</v>
      </c>
      <c r="AL55">
        <f t="shared" si="8"/>
        <v>21.70582273395484</v>
      </c>
      <c r="AM55">
        <f t="shared" si="9"/>
        <v>21.520466768323303</v>
      </c>
    </row>
    <row r="56" spans="1:39" x14ac:dyDescent="0.3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>
        <v>115.4</v>
      </c>
      <c r="V56">
        <v>113.4</v>
      </c>
      <c r="W56">
        <v>113.2</v>
      </c>
      <c r="X56">
        <v>111.8</v>
      </c>
      <c r="Y56">
        <v>115.5</v>
      </c>
      <c r="Z56">
        <v>108.8</v>
      </c>
      <c r="AA56">
        <v>113.1</v>
      </c>
      <c r="AB56">
        <v>119.5</v>
      </c>
      <c r="AC56" s="10">
        <f t="shared" si="1"/>
        <v>120.08571428571429</v>
      </c>
      <c r="AD56">
        <f t="shared" si="2"/>
        <v>119.76666666666667</v>
      </c>
      <c r="AE56">
        <v>114.8</v>
      </c>
      <c r="AF56">
        <v>115.3</v>
      </c>
      <c r="AG56" s="1">
        <f t="shared" si="3"/>
        <v>113.01666666666665</v>
      </c>
      <c r="AH56" s="1">
        <f t="shared" si="4"/>
        <v>582.96904761904761</v>
      </c>
      <c r="AI56">
        <f t="shared" si="5"/>
        <v>23.026141582739072</v>
      </c>
      <c r="AJ56">
        <f t="shared" si="6"/>
        <v>22.964964983244919</v>
      </c>
      <c r="AK56">
        <f t="shared" si="7"/>
        <v>22.012618815000138</v>
      </c>
      <c r="AL56">
        <f t="shared" si="8"/>
        <v>22.108492590326794</v>
      </c>
      <c r="AM56">
        <f t="shared" si="9"/>
        <v>21.670669016335065</v>
      </c>
    </row>
    <row r="57" spans="1:39" x14ac:dyDescent="0.3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114.9</v>
      </c>
      <c r="V57">
        <v>111.5</v>
      </c>
      <c r="W57">
        <v>113</v>
      </c>
      <c r="X57">
        <v>112.4</v>
      </c>
      <c r="Y57">
        <v>117.8</v>
      </c>
      <c r="Z57">
        <v>109.7</v>
      </c>
      <c r="AA57">
        <v>113.5</v>
      </c>
      <c r="AB57">
        <v>118.9</v>
      </c>
      <c r="AC57" s="10">
        <f t="shared" si="1"/>
        <v>122.89285714285714</v>
      </c>
      <c r="AD57">
        <f t="shared" si="2"/>
        <v>116.33333333333333</v>
      </c>
      <c r="AE57">
        <v>114.8</v>
      </c>
      <c r="AF57">
        <v>111.6</v>
      </c>
      <c r="AG57" s="1">
        <f t="shared" si="3"/>
        <v>113.21666666666665</v>
      </c>
      <c r="AH57" s="1">
        <f t="shared" si="4"/>
        <v>578.84285714285716</v>
      </c>
      <c r="AI57">
        <f t="shared" si="5"/>
        <v>23.56440434993015</v>
      </c>
      <c r="AJ57">
        <f t="shared" si="6"/>
        <v>22.306631726001882</v>
      </c>
      <c r="AK57">
        <f t="shared" si="7"/>
        <v>22.012618815000138</v>
      </c>
      <c r="AL57">
        <f t="shared" si="8"/>
        <v>21.399026652909541</v>
      </c>
      <c r="AM57">
        <f t="shared" si="9"/>
        <v>21.709018526465726</v>
      </c>
    </row>
    <row r="58" spans="1:39" x14ac:dyDescent="0.3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115.2</v>
      </c>
      <c r="V58">
        <v>112.7</v>
      </c>
      <c r="W58">
        <v>113.1</v>
      </c>
      <c r="X58">
        <v>112.1</v>
      </c>
      <c r="Y58">
        <v>116.8</v>
      </c>
      <c r="Z58">
        <v>109.2</v>
      </c>
      <c r="AA58">
        <v>113.3</v>
      </c>
      <c r="AB58">
        <v>119.2</v>
      </c>
      <c r="AC58" s="10">
        <f t="shared" si="1"/>
        <v>121.07857142857142</v>
      </c>
      <c r="AD58">
        <f t="shared" si="2"/>
        <v>118.33333333333333</v>
      </c>
      <c r="AE58">
        <v>114.8</v>
      </c>
      <c r="AF58">
        <v>113.9</v>
      </c>
      <c r="AG58" s="1">
        <f t="shared" si="3"/>
        <v>113.18333333333334</v>
      </c>
      <c r="AH58" s="1">
        <f t="shared" si="4"/>
        <v>581.29523809523812</v>
      </c>
      <c r="AI58">
        <f t="shared" si="5"/>
        <v>23.216519508030569</v>
      </c>
      <c r="AJ58">
        <f t="shared" si="6"/>
        <v>22.690126827308504</v>
      </c>
      <c r="AK58">
        <f t="shared" si="7"/>
        <v>22.012618815000138</v>
      </c>
      <c r="AL58">
        <f t="shared" si="8"/>
        <v>21.84004601941216</v>
      </c>
      <c r="AM58">
        <f t="shared" si="9"/>
        <v>21.702626941443953</v>
      </c>
    </row>
    <row r="59" spans="1:39" x14ac:dyDescent="0.3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>
        <v>115.9</v>
      </c>
      <c r="V59">
        <v>114</v>
      </c>
      <c r="W59">
        <v>113.2</v>
      </c>
      <c r="X59">
        <v>112.2</v>
      </c>
      <c r="Y59">
        <v>116.2</v>
      </c>
      <c r="Z59">
        <v>109.4</v>
      </c>
      <c r="AA59">
        <v>113.5</v>
      </c>
      <c r="AB59">
        <v>120.7</v>
      </c>
      <c r="AC59" s="10">
        <f t="shared" si="1"/>
        <v>121.50714285714284</v>
      </c>
      <c r="AD59">
        <f t="shared" si="2"/>
        <v>120.13333333333333</v>
      </c>
      <c r="AE59">
        <v>115.5</v>
      </c>
      <c r="AF59">
        <v>115.4</v>
      </c>
      <c r="AG59" s="1">
        <f t="shared" si="3"/>
        <v>113.48333333333333</v>
      </c>
      <c r="AH59" s="1">
        <f t="shared" si="4"/>
        <v>586.02380952380952</v>
      </c>
      <c r="AI59">
        <f t="shared" si="5"/>
        <v>23.298697029739131</v>
      </c>
      <c r="AJ59">
        <f t="shared" si="6"/>
        <v>23.035272418484464</v>
      </c>
      <c r="AK59">
        <f t="shared" si="7"/>
        <v>22.146842100457455</v>
      </c>
      <c r="AL59">
        <f t="shared" si="8"/>
        <v>22.127667345392126</v>
      </c>
      <c r="AM59">
        <f t="shared" si="9"/>
        <v>21.760151206639947</v>
      </c>
    </row>
    <row r="60" spans="1:39" x14ac:dyDescent="0.3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115.3</v>
      </c>
      <c r="V60">
        <v>112.2</v>
      </c>
      <c r="W60">
        <v>112.5</v>
      </c>
      <c r="X60">
        <v>112.9</v>
      </c>
      <c r="Y60">
        <v>119.2</v>
      </c>
      <c r="Z60">
        <v>110.5</v>
      </c>
      <c r="AA60">
        <v>113.9</v>
      </c>
      <c r="AB60">
        <v>119.9</v>
      </c>
      <c r="AC60" s="10">
        <f t="shared" si="1"/>
        <v>124.28571428571429</v>
      </c>
      <c r="AD60">
        <f t="shared" si="2"/>
        <v>116.86666666666667</v>
      </c>
      <c r="AE60">
        <v>115.5</v>
      </c>
      <c r="AF60">
        <v>111.8</v>
      </c>
      <c r="AG60" s="1">
        <f t="shared" si="3"/>
        <v>113.76666666666667</v>
      </c>
      <c r="AH60" s="1">
        <f t="shared" si="4"/>
        <v>582.21904761904761</v>
      </c>
      <c r="AI60">
        <f t="shared" si="5"/>
        <v>23.831481295482977</v>
      </c>
      <c r="AJ60">
        <f t="shared" si="6"/>
        <v>22.408897086350319</v>
      </c>
      <c r="AK60">
        <f t="shared" si="7"/>
        <v>22.146842100457455</v>
      </c>
      <c r="AL60">
        <f t="shared" si="8"/>
        <v>21.437376163040202</v>
      </c>
      <c r="AM60">
        <f t="shared" si="9"/>
        <v>21.81447967932505</v>
      </c>
    </row>
    <row r="61" spans="1:39" x14ac:dyDescent="0.3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115.6</v>
      </c>
      <c r="V61">
        <v>113.3</v>
      </c>
      <c r="W61">
        <v>112.8</v>
      </c>
      <c r="X61">
        <v>112.6</v>
      </c>
      <c r="Y61">
        <v>118</v>
      </c>
      <c r="Z61">
        <v>109.9</v>
      </c>
      <c r="AA61">
        <v>113.7</v>
      </c>
      <c r="AB61">
        <v>120.3</v>
      </c>
      <c r="AC61" s="10">
        <f t="shared" si="1"/>
        <v>122.45714285714284</v>
      </c>
      <c r="AD61">
        <f t="shared" si="2"/>
        <v>118.8</v>
      </c>
      <c r="AE61">
        <v>115.5</v>
      </c>
      <c r="AF61">
        <v>114</v>
      </c>
      <c r="AG61" s="1">
        <f t="shared" si="3"/>
        <v>113.69999999999999</v>
      </c>
      <c r="AH61" s="1">
        <f t="shared" si="4"/>
        <v>584.4571428571428</v>
      </c>
      <c r="AI61">
        <f t="shared" si="5"/>
        <v>23.480857202859777</v>
      </c>
      <c r="AJ61">
        <f t="shared" si="6"/>
        <v>22.779609017613385</v>
      </c>
      <c r="AK61">
        <f t="shared" si="7"/>
        <v>22.146842100457455</v>
      </c>
      <c r="AL61">
        <f t="shared" si="8"/>
        <v>21.859220774477489</v>
      </c>
      <c r="AM61">
        <f t="shared" si="9"/>
        <v>21.801696509281495</v>
      </c>
    </row>
    <row r="62" spans="1:39" x14ac:dyDescent="0.3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>
        <v>116.7</v>
      </c>
      <c r="V62">
        <v>114.5</v>
      </c>
      <c r="W62">
        <v>112.8</v>
      </c>
      <c r="X62">
        <v>112.6</v>
      </c>
      <c r="Y62">
        <v>116.6</v>
      </c>
      <c r="Z62">
        <v>109.1</v>
      </c>
      <c r="AA62">
        <v>113.7</v>
      </c>
      <c r="AB62">
        <v>120.9</v>
      </c>
      <c r="AC62" s="10">
        <f t="shared" si="1"/>
        <v>121.62142857142858</v>
      </c>
      <c r="AD62">
        <f t="shared" si="2"/>
        <v>120.73333333333333</v>
      </c>
      <c r="AE62">
        <v>116.1</v>
      </c>
      <c r="AF62">
        <v>115.8</v>
      </c>
      <c r="AG62" s="1">
        <f t="shared" si="3"/>
        <v>113.71666666666668</v>
      </c>
      <c r="AH62" s="1">
        <f t="shared" si="4"/>
        <v>587.97142857142853</v>
      </c>
      <c r="AI62">
        <f t="shared" si="5"/>
        <v>23.320611035528085</v>
      </c>
      <c r="AJ62">
        <f t="shared" si="6"/>
        <v>23.150320948876455</v>
      </c>
      <c r="AK62">
        <f t="shared" si="7"/>
        <v>22.261890630849443</v>
      </c>
      <c r="AL62">
        <f t="shared" si="8"/>
        <v>22.204366365653449</v>
      </c>
      <c r="AM62">
        <f t="shared" si="9"/>
        <v>21.804892301792389</v>
      </c>
    </row>
    <row r="63" spans="1:39" x14ac:dyDescent="0.3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115.5</v>
      </c>
      <c r="V63">
        <v>112.3</v>
      </c>
      <c r="W63">
        <v>111.2</v>
      </c>
      <c r="X63">
        <v>113.4</v>
      </c>
      <c r="Y63">
        <v>120</v>
      </c>
      <c r="Z63">
        <v>110</v>
      </c>
      <c r="AA63">
        <v>113.6</v>
      </c>
      <c r="AB63">
        <v>119.2</v>
      </c>
      <c r="AC63" s="10">
        <f t="shared" si="1"/>
        <v>122.71428571428574</v>
      </c>
      <c r="AD63">
        <f t="shared" si="2"/>
        <v>117.36666666666667</v>
      </c>
      <c r="AE63">
        <v>116.1</v>
      </c>
      <c r="AF63">
        <v>111.8</v>
      </c>
      <c r="AG63" s="1">
        <f t="shared" si="3"/>
        <v>113.73333333333333</v>
      </c>
      <c r="AH63" s="1">
        <f t="shared" si="4"/>
        <v>581.71428571428567</v>
      </c>
      <c r="AI63">
        <f t="shared" si="5"/>
        <v>23.530163715884921</v>
      </c>
      <c r="AJ63">
        <f t="shared" si="6"/>
        <v>22.504770861676974</v>
      </c>
      <c r="AK63">
        <f t="shared" si="7"/>
        <v>22.261890630849443</v>
      </c>
      <c r="AL63">
        <f t="shared" si="8"/>
        <v>21.437376163040202</v>
      </c>
      <c r="AM63">
        <f t="shared" si="9"/>
        <v>21.808088094303272</v>
      </c>
    </row>
    <row r="64" spans="1:39" x14ac:dyDescent="0.3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113.7</v>
      </c>
      <c r="W64">
        <v>112</v>
      </c>
      <c r="X64">
        <v>113.1</v>
      </c>
      <c r="Y64">
        <v>118.6</v>
      </c>
      <c r="Z64">
        <v>109.5</v>
      </c>
      <c r="AA64">
        <v>113.7</v>
      </c>
      <c r="AB64">
        <v>120.1</v>
      </c>
      <c r="AC64" s="10">
        <f t="shared" si="1"/>
        <v>121.92142857142855</v>
      </c>
      <c r="AD64">
        <f t="shared" si="2"/>
        <v>119.33333333333333</v>
      </c>
      <c r="AE64">
        <v>116.1</v>
      </c>
      <c r="AF64">
        <v>114.3</v>
      </c>
      <c r="AG64" s="1">
        <f t="shared" si="3"/>
        <v>113.83333333333333</v>
      </c>
      <c r="AH64" s="1">
        <f t="shared" si="4"/>
        <v>585.48809523809518</v>
      </c>
      <c r="AI64">
        <f t="shared" si="5"/>
        <v>23.378135300724072</v>
      </c>
      <c r="AJ64">
        <f t="shared" si="6"/>
        <v>22.881874377961818</v>
      </c>
      <c r="AK64">
        <f t="shared" si="7"/>
        <v>22.261890630849443</v>
      </c>
      <c r="AL64">
        <f t="shared" si="8"/>
        <v>21.916745039673483</v>
      </c>
      <c r="AM64">
        <f t="shared" si="9"/>
        <v>21.827262849368605</v>
      </c>
    </row>
    <row r="65" spans="1:39" x14ac:dyDescent="0.3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>
        <v>117.5</v>
      </c>
      <c r="V65">
        <v>115.3</v>
      </c>
      <c r="W65">
        <v>112.6</v>
      </c>
      <c r="X65">
        <v>113</v>
      </c>
      <c r="Y65">
        <v>116.9</v>
      </c>
      <c r="Z65">
        <v>109.3</v>
      </c>
      <c r="AA65">
        <v>114</v>
      </c>
      <c r="AB65">
        <v>121</v>
      </c>
      <c r="AC65" s="10">
        <f t="shared" si="1"/>
        <v>121.51428571428571</v>
      </c>
      <c r="AD65">
        <f t="shared" si="2"/>
        <v>121.76666666666667</v>
      </c>
      <c r="AE65">
        <v>116.7</v>
      </c>
      <c r="AF65">
        <v>116.4</v>
      </c>
      <c r="AG65" s="1">
        <f t="shared" si="3"/>
        <v>114.09999999999998</v>
      </c>
      <c r="AH65" s="1">
        <f t="shared" si="4"/>
        <v>590.48095238095243</v>
      </c>
      <c r="AI65">
        <f t="shared" si="5"/>
        <v>23.300066655100942</v>
      </c>
      <c r="AJ65">
        <f t="shared" si="6"/>
        <v>23.348460084551544</v>
      </c>
      <c r="AK65">
        <f t="shared" si="7"/>
        <v>22.376939161241431</v>
      </c>
      <c r="AL65">
        <f t="shared" si="8"/>
        <v>22.319414896045441</v>
      </c>
      <c r="AM65">
        <f t="shared" si="9"/>
        <v>21.878395529542818</v>
      </c>
    </row>
    <row r="66" spans="1:39" x14ac:dyDescent="0.3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115.8</v>
      </c>
      <c r="V66">
        <v>112.6</v>
      </c>
      <c r="W66">
        <v>111</v>
      </c>
      <c r="X66">
        <v>113.6</v>
      </c>
      <c r="Y66">
        <v>120.2</v>
      </c>
      <c r="Z66">
        <v>110.1</v>
      </c>
      <c r="AA66">
        <v>113.7</v>
      </c>
      <c r="AB66">
        <v>119.1</v>
      </c>
      <c r="AC66" s="10">
        <f t="shared" ref="AC66:AC129" si="10">AVERAGE(D66:Q66)</f>
        <v>122.27142857142857</v>
      </c>
      <c r="AD66">
        <f t="shared" si="2"/>
        <v>117.8</v>
      </c>
      <c r="AE66">
        <v>116.7</v>
      </c>
      <c r="AF66">
        <v>112</v>
      </c>
      <c r="AG66" s="1">
        <f t="shared" ref="AG66:AG129" si="11">AVERAGE(U66:Z66)</f>
        <v>113.88333333333334</v>
      </c>
      <c r="AH66" s="1">
        <f t="shared" si="4"/>
        <v>582.65476190476193</v>
      </c>
      <c r="AI66">
        <f t="shared" si="5"/>
        <v>23.445246943452737</v>
      </c>
      <c r="AJ66">
        <f t="shared" si="6"/>
        <v>22.587861466960071</v>
      </c>
      <c r="AK66">
        <f t="shared" si="7"/>
        <v>22.376939161241431</v>
      </c>
      <c r="AL66">
        <f t="shared" si="8"/>
        <v>21.475725673170867</v>
      </c>
      <c r="AM66">
        <f t="shared" si="9"/>
        <v>21.836850226901273</v>
      </c>
    </row>
    <row r="67" spans="1:39" x14ac:dyDescent="0.3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114.3</v>
      </c>
      <c r="W67">
        <v>111.8</v>
      </c>
      <c r="X67">
        <v>113.3</v>
      </c>
      <c r="Y67">
        <v>118.8</v>
      </c>
      <c r="Z67">
        <v>109.6</v>
      </c>
      <c r="AA67">
        <v>113.9</v>
      </c>
      <c r="AB67">
        <v>120.1</v>
      </c>
      <c r="AC67" s="10">
        <f t="shared" si="10"/>
        <v>121.7</v>
      </c>
      <c r="AD67">
        <f t="shared" ref="AD67:AD130" si="12">AVERAGE(R67:T67)</f>
        <v>120.2</v>
      </c>
      <c r="AE67">
        <v>116.7</v>
      </c>
      <c r="AF67">
        <v>114.7</v>
      </c>
      <c r="AG67" s="1">
        <f t="shared" si="11"/>
        <v>114.08333333333333</v>
      </c>
      <c r="AH67" s="1">
        <f t="shared" ref="AH67:AH130" si="13">SUM(AC67:AG67)</f>
        <v>587.38333333333333</v>
      </c>
      <c r="AI67">
        <f t="shared" ref="AI67:AI130" si="14">AC67/$AH$2*100</f>
        <v>23.335676914507989</v>
      </c>
      <c r="AJ67">
        <f t="shared" ref="AJ67:AJ130" si="15">AD67/$AH$2*100</f>
        <v>23.048055588528022</v>
      </c>
      <c r="AK67">
        <f t="shared" ref="AK67:AK130" si="16">AE67/$AH$2*100</f>
        <v>22.376939161241431</v>
      </c>
      <c r="AL67">
        <f t="shared" ref="AL67:AL130" si="17">AF67/$AH$2*100</f>
        <v>21.993444059934809</v>
      </c>
      <c r="AM67">
        <f t="shared" ref="AM67:AM130" si="18">AG67/$AH$2*100</f>
        <v>21.875199737031931</v>
      </c>
    </row>
    <row r="68" spans="1:39" x14ac:dyDescent="0.3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>
        <v>118.1</v>
      </c>
      <c r="V68">
        <v>115.9</v>
      </c>
      <c r="W68">
        <v>112</v>
      </c>
      <c r="X68">
        <v>113.3</v>
      </c>
      <c r="Y68">
        <v>117.2</v>
      </c>
      <c r="Z68">
        <v>108.8</v>
      </c>
      <c r="AA68">
        <v>114.1</v>
      </c>
      <c r="AB68">
        <v>121.1</v>
      </c>
      <c r="AC68" s="10">
        <f t="shared" si="10"/>
        <v>121.62857142857142</v>
      </c>
      <c r="AD68">
        <f t="shared" si="12"/>
        <v>122.23333333333335</v>
      </c>
      <c r="AE68">
        <v>117.1</v>
      </c>
      <c r="AF68">
        <v>117.3</v>
      </c>
      <c r="AG68" s="1">
        <f t="shared" si="11"/>
        <v>114.21666666666665</v>
      </c>
      <c r="AH68" s="1">
        <f t="shared" si="13"/>
        <v>592.4785714285714</v>
      </c>
      <c r="AI68">
        <f t="shared" si="14"/>
        <v>23.321980660889892</v>
      </c>
      <c r="AJ68">
        <f t="shared" si="15"/>
        <v>23.437942274856422</v>
      </c>
      <c r="AK68">
        <f t="shared" si="16"/>
        <v>22.453638181502754</v>
      </c>
      <c r="AL68">
        <f t="shared" si="17"/>
        <v>22.491987691633415</v>
      </c>
      <c r="AM68">
        <f t="shared" si="18"/>
        <v>21.900766077119037</v>
      </c>
    </row>
    <row r="69" spans="1:39" x14ac:dyDescent="0.3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116.4</v>
      </c>
      <c r="V69">
        <v>113</v>
      </c>
      <c r="W69">
        <v>109.7</v>
      </c>
      <c r="X69">
        <v>114</v>
      </c>
      <c r="Y69">
        <v>120.3</v>
      </c>
      <c r="Z69">
        <v>109.6</v>
      </c>
      <c r="AA69">
        <v>113.4</v>
      </c>
      <c r="AB69">
        <v>119</v>
      </c>
      <c r="AC69" s="10">
        <f t="shared" si="10"/>
        <v>122.39999999999999</v>
      </c>
      <c r="AD69">
        <f t="shared" si="12"/>
        <v>118.39999999999999</v>
      </c>
      <c r="AE69">
        <v>117.1</v>
      </c>
      <c r="AF69">
        <v>112.6</v>
      </c>
      <c r="AG69" s="1">
        <f t="shared" si="11"/>
        <v>113.83333333333333</v>
      </c>
      <c r="AH69" s="1">
        <f t="shared" si="13"/>
        <v>584.33333333333337</v>
      </c>
      <c r="AI69">
        <f t="shared" si="14"/>
        <v>23.469900199965306</v>
      </c>
      <c r="AJ69">
        <f t="shared" si="15"/>
        <v>22.702909997352059</v>
      </c>
      <c r="AK69">
        <f t="shared" si="16"/>
        <v>22.453638181502754</v>
      </c>
      <c r="AL69">
        <f t="shared" si="17"/>
        <v>21.590774203562855</v>
      </c>
      <c r="AM69">
        <f t="shared" si="18"/>
        <v>21.827262849368605</v>
      </c>
    </row>
    <row r="70" spans="1:39" x14ac:dyDescent="0.3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117.3</v>
      </c>
      <c r="V70">
        <v>114.8</v>
      </c>
      <c r="W70">
        <v>110.8</v>
      </c>
      <c r="X70">
        <v>113.7</v>
      </c>
      <c r="Y70">
        <v>119</v>
      </c>
      <c r="Z70">
        <v>109.1</v>
      </c>
      <c r="AA70">
        <v>113.8</v>
      </c>
      <c r="AB70">
        <v>120.1</v>
      </c>
      <c r="AC70" s="10">
        <f t="shared" si="10"/>
        <v>121.80714285714285</v>
      </c>
      <c r="AD70">
        <f t="shared" si="12"/>
        <v>120.7</v>
      </c>
      <c r="AE70">
        <v>117.1</v>
      </c>
      <c r="AF70">
        <v>115.5</v>
      </c>
      <c r="AG70" s="1">
        <f t="shared" si="11"/>
        <v>114.11666666666666</v>
      </c>
      <c r="AH70" s="1">
        <f t="shared" si="13"/>
        <v>589.22380952380956</v>
      </c>
      <c r="AI70">
        <f t="shared" si="14"/>
        <v>23.356221294935125</v>
      </c>
      <c r="AJ70">
        <f t="shared" si="15"/>
        <v>23.143929363854674</v>
      </c>
      <c r="AK70">
        <f t="shared" si="16"/>
        <v>22.453638181502754</v>
      </c>
      <c r="AL70">
        <f t="shared" si="17"/>
        <v>22.146842100457455</v>
      </c>
      <c r="AM70">
        <f t="shared" si="18"/>
        <v>21.881591322053708</v>
      </c>
    </row>
    <row r="71" spans="1:39" x14ac:dyDescent="0.3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>
        <v>118.2</v>
      </c>
      <c r="V71">
        <v>116.2</v>
      </c>
      <c r="W71">
        <v>111.5</v>
      </c>
      <c r="X71">
        <v>113.3</v>
      </c>
      <c r="Y71">
        <v>117.7</v>
      </c>
      <c r="Z71">
        <v>109.4</v>
      </c>
      <c r="AA71">
        <v>114.2</v>
      </c>
      <c r="AB71">
        <v>120.3</v>
      </c>
      <c r="AC71" s="10">
        <f t="shared" si="10"/>
        <v>120.80714285714285</v>
      </c>
      <c r="AD71">
        <f t="shared" si="12"/>
        <v>122.56666666666666</v>
      </c>
      <c r="AE71">
        <v>116.5</v>
      </c>
      <c r="AF71">
        <v>117.4</v>
      </c>
      <c r="AG71" s="1">
        <f t="shared" si="11"/>
        <v>114.38333333333333</v>
      </c>
      <c r="AH71" s="1">
        <f t="shared" si="13"/>
        <v>591.65714285714284</v>
      </c>
      <c r="AI71">
        <f t="shared" si="14"/>
        <v>23.164473744281818</v>
      </c>
      <c r="AJ71">
        <f t="shared" si="15"/>
        <v>23.50185812507419</v>
      </c>
      <c r="AK71">
        <f t="shared" si="16"/>
        <v>22.33858965111077</v>
      </c>
      <c r="AL71">
        <f t="shared" si="17"/>
        <v>22.511162446698748</v>
      </c>
      <c r="AM71">
        <f t="shared" si="18"/>
        <v>21.932724002227925</v>
      </c>
    </row>
    <row r="72" spans="1:39" x14ac:dyDescent="0.3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116.8</v>
      </c>
      <c r="V72">
        <v>113.2</v>
      </c>
      <c r="W72">
        <v>108.8</v>
      </c>
      <c r="X72">
        <v>114.3</v>
      </c>
      <c r="Y72">
        <v>120.7</v>
      </c>
      <c r="Z72">
        <v>110.4</v>
      </c>
      <c r="AA72">
        <v>113.4</v>
      </c>
      <c r="AB72">
        <v>118.4</v>
      </c>
      <c r="AC72" s="10">
        <f t="shared" si="10"/>
        <v>121.68571428571428</v>
      </c>
      <c r="AD72">
        <f t="shared" si="12"/>
        <v>118.83333333333333</v>
      </c>
      <c r="AE72">
        <v>116.5</v>
      </c>
      <c r="AF72">
        <v>113</v>
      </c>
      <c r="AG72" s="1">
        <f t="shared" si="11"/>
        <v>114.03333333333335</v>
      </c>
      <c r="AH72" s="1">
        <f t="shared" si="13"/>
        <v>584.05238095238099</v>
      </c>
      <c r="AI72">
        <f t="shared" si="14"/>
        <v>23.332937663784367</v>
      </c>
      <c r="AJ72">
        <f t="shared" si="15"/>
        <v>22.786000602635159</v>
      </c>
      <c r="AK72">
        <f t="shared" si="16"/>
        <v>22.33858965111077</v>
      </c>
      <c r="AL72">
        <f t="shared" si="17"/>
        <v>21.667473223824178</v>
      </c>
      <c r="AM72">
        <f t="shared" si="18"/>
        <v>21.86561235949927</v>
      </c>
    </row>
    <row r="73" spans="1:39" x14ac:dyDescent="0.3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117.5</v>
      </c>
      <c r="V73">
        <v>115.1</v>
      </c>
      <c r="W73">
        <v>110.1</v>
      </c>
      <c r="X73">
        <v>113.9</v>
      </c>
      <c r="Y73">
        <v>119.5</v>
      </c>
      <c r="Z73">
        <v>109.8</v>
      </c>
      <c r="AA73">
        <v>113.8</v>
      </c>
      <c r="AB73">
        <v>119.4</v>
      </c>
      <c r="AC73" s="10">
        <f t="shared" si="10"/>
        <v>121.04999999999998</v>
      </c>
      <c r="AD73">
        <f t="shared" si="12"/>
        <v>121.06666666666666</v>
      </c>
      <c r="AE73">
        <v>116.5</v>
      </c>
      <c r="AF73">
        <v>115.7</v>
      </c>
      <c r="AG73" s="1">
        <f t="shared" si="11"/>
        <v>114.31666666666666</v>
      </c>
      <c r="AH73" s="1">
        <f t="shared" si="13"/>
        <v>588.63333333333333</v>
      </c>
      <c r="AI73">
        <f t="shared" si="14"/>
        <v>23.211041006583333</v>
      </c>
      <c r="AJ73">
        <f t="shared" si="15"/>
        <v>23.214236799094223</v>
      </c>
      <c r="AK73">
        <f t="shared" si="16"/>
        <v>22.33858965111077</v>
      </c>
      <c r="AL73">
        <f t="shared" si="17"/>
        <v>22.18519161058812</v>
      </c>
      <c r="AM73">
        <f t="shared" si="18"/>
        <v>21.91994083218437</v>
      </c>
    </row>
    <row r="74" spans="1:39" x14ac:dyDescent="0.3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>
        <v>118.9</v>
      </c>
      <c r="V74">
        <v>116.6</v>
      </c>
      <c r="W74">
        <v>111</v>
      </c>
      <c r="X74">
        <v>114</v>
      </c>
      <c r="Y74">
        <v>118.2</v>
      </c>
      <c r="Z74">
        <v>110.2</v>
      </c>
      <c r="AA74">
        <v>114.5</v>
      </c>
      <c r="AB74">
        <v>120.3</v>
      </c>
      <c r="AC74" s="10">
        <f t="shared" si="10"/>
        <v>120.77142857142857</v>
      </c>
      <c r="AD74">
        <f t="shared" si="12"/>
        <v>123.33333333333333</v>
      </c>
      <c r="AE74">
        <v>117.3</v>
      </c>
      <c r="AF74">
        <v>118.4</v>
      </c>
      <c r="AG74" s="1">
        <f t="shared" si="11"/>
        <v>114.81666666666668</v>
      </c>
      <c r="AH74" s="1">
        <f t="shared" si="13"/>
        <v>594.62142857142862</v>
      </c>
      <c r="AI74">
        <f t="shared" si="14"/>
        <v>23.157625617472767</v>
      </c>
      <c r="AJ74">
        <f t="shared" si="15"/>
        <v>23.648864580575061</v>
      </c>
      <c r="AK74">
        <f t="shared" si="16"/>
        <v>22.491987691633415</v>
      </c>
      <c r="AL74">
        <f t="shared" si="17"/>
        <v>22.702909997352062</v>
      </c>
      <c r="AM74">
        <f t="shared" si="18"/>
        <v>22.015814607511032</v>
      </c>
    </row>
    <row r="75" spans="1:39" x14ac:dyDescent="0.3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117.2</v>
      </c>
      <c r="V75">
        <v>113.7</v>
      </c>
      <c r="W75">
        <v>107.9</v>
      </c>
      <c r="X75">
        <v>114.6</v>
      </c>
      <c r="Y75">
        <v>120.8</v>
      </c>
      <c r="Z75">
        <v>111.4</v>
      </c>
      <c r="AA75">
        <v>113.4</v>
      </c>
      <c r="AB75">
        <v>118.5</v>
      </c>
      <c r="AC75" s="10">
        <f t="shared" si="10"/>
        <v>121.59285714285714</v>
      </c>
      <c r="AD75">
        <f t="shared" si="12"/>
        <v>119.10000000000001</v>
      </c>
      <c r="AE75">
        <v>117.3</v>
      </c>
      <c r="AF75">
        <v>113.4</v>
      </c>
      <c r="AG75" s="1">
        <f t="shared" si="11"/>
        <v>114.26666666666665</v>
      </c>
      <c r="AH75" s="1">
        <f t="shared" si="13"/>
        <v>585.65952380952376</v>
      </c>
      <c r="AI75">
        <f t="shared" si="14"/>
        <v>23.315132534080846</v>
      </c>
      <c r="AJ75">
        <f t="shared" si="15"/>
        <v>22.837133282809379</v>
      </c>
      <c r="AK75">
        <f t="shared" si="16"/>
        <v>22.491987691633415</v>
      </c>
      <c r="AL75">
        <f t="shared" si="17"/>
        <v>21.744172244085505</v>
      </c>
      <c r="AM75">
        <f t="shared" si="18"/>
        <v>21.910353454651705</v>
      </c>
    </row>
    <row r="76" spans="1:39" x14ac:dyDescent="0.3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118.1</v>
      </c>
      <c r="V76">
        <v>115.5</v>
      </c>
      <c r="W76">
        <v>109.4</v>
      </c>
      <c r="X76">
        <v>114.3</v>
      </c>
      <c r="Y76">
        <v>119.7</v>
      </c>
      <c r="Z76">
        <v>110.7</v>
      </c>
      <c r="AA76">
        <v>114</v>
      </c>
      <c r="AB76">
        <v>119.5</v>
      </c>
      <c r="AC76" s="10">
        <f t="shared" si="10"/>
        <v>120.95</v>
      </c>
      <c r="AD76">
        <f t="shared" si="12"/>
        <v>121.63333333333333</v>
      </c>
      <c r="AE76">
        <v>117.3</v>
      </c>
      <c r="AF76">
        <v>116.5</v>
      </c>
      <c r="AG76" s="1">
        <f t="shared" si="11"/>
        <v>114.61666666666667</v>
      </c>
      <c r="AH76" s="1">
        <f t="shared" si="13"/>
        <v>591</v>
      </c>
      <c r="AI76">
        <f t="shared" si="14"/>
        <v>23.191866251518004</v>
      </c>
      <c r="AJ76">
        <f t="shared" si="15"/>
        <v>23.32289374446443</v>
      </c>
      <c r="AK76">
        <f t="shared" si="16"/>
        <v>22.491987691633415</v>
      </c>
      <c r="AL76">
        <f t="shared" si="17"/>
        <v>22.33858965111077</v>
      </c>
      <c r="AM76">
        <f t="shared" si="18"/>
        <v>21.977465097380367</v>
      </c>
    </row>
    <row r="77" spans="1:39" x14ac:dyDescent="0.3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>
        <v>119.6</v>
      </c>
      <c r="V77">
        <v>117.7</v>
      </c>
      <c r="W77">
        <v>110.9</v>
      </c>
      <c r="X77">
        <v>114.8</v>
      </c>
      <c r="Y77">
        <v>118.7</v>
      </c>
      <c r="Z77">
        <v>110.8</v>
      </c>
      <c r="AA77">
        <v>115</v>
      </c>
      <c r="AB77">
        <v>120.6</v>
      </c>
      <c r="AC77" s="10">
        <f t="shared" si="10"/>
        <v>121.05714285714284</v>
      </c>
      <c r="AD77">
        <f t="shared" si="12"/>
        <v>124.36666666666667</v>
      </c>
      <c r="AE77">
        <v>118.1</v>
      </c>
      <c r="AF77">
        <v>120</v>
      </c>
      <c r="AG77" s="1">
        <f t="shared" si="11"/>
        <v>115.41666666666667</v>
      </c>
      <c r="AH77" s="1">
        <f t="shared" si="13"/>
        <v>598.94047619047615</v>
      </c>
      <c r="AI77">
        <f t="shared" si="14"/>
        <v>23.21241063194514</v>
      </c>
      <c r="AJ77">
        <f t="shared" si="15"/>
        <v>23.84700371625015</v>
      </c>
      <c r="AK77">
        <f t="shared" si="16"/>
        <v>22.645385732156065</v>
      </c>
      <c r="AL77">
        <f t="shared" si="17"/>
        <v>23.009706078397357</v>
      </c>
      <c r="AM77">
        <f t="shared" si="18"/>
        <v>22.130863137903013</v>
      </c>
    </row>
    <row r="78" spans="1:39" x14ac:dyDescent="0.3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117.7</v>
      </c>
      <c r="V78">
        <v>114.1</v>
      </c>
      <c r="W78">
        <v>106.8</v>
      </c>
      <c r="X78">
        <v>114.9</v>
      </c>
      <c r="Y78">
        <v>120.4</v>
      </c>
      <c r="Z78">
        <v>111.7</v>
      </c>
      <c r="AA78">
        <v>113.2</v>
      </c>
      <c r="AB78">
        <v>118.7</v>
      </c>
      <c r="AC78" s="10">
        <f t="shared" si="10"/>
        <v>121.37142857142858</v>
      </c>
      <c r="AD78">
        <f t="shared" si="12"/>
        <v>119.46666666666665</v>
      </c>
      <c r="AE78">
        <v>118.1</v>
      </c>
      <c r="AF78">
        <v>114</v>
      </c>
      <c r="AG78" s="1">
        <f t="shared" si="11"/>
        <v>114.26666666666667</v>
      </c>
      <c r="AH78" s="1">
        <f t="shared" si="13"/>
        <v>587.20476190476188</v>
      </c>
      <c r="AI78">
        <f t="shared" si="14"/>
        <v>23.272674147864759</v>
      </c>
      <c r="AJ78">
        <f t="shared" si="15"/>
        <v>22.907440718048921</v>
      </c>
      <c r="AK78">
        <f t="shared" si="16"/>
        <v>22.645385732156065</v>
      </c>
      <c r="AL78">
        <f t="shared" si="17"/>
        <v>21.859220774477489</v>
      </c>
      <c r="AM78">
        <f t="shared" si="18"/>
        <v>21.910353454651705</v>
      </c>
    </row>
    <row r="79" spans="1:39" x14ac:dyDescent="0.3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118.7</v>
      </c>
      <c r="V79">
        <v>116.3</v>
      </c>
      <c r="W79">
        <v>108.7</v>
      </c>
      <c r="X79">
        <v>114.9</v>
      </c>
      <c r="Y79">
        <v>119.7</v>
      </c>
      <c r="Z79">
        <v>111.2</v>
      </c>
      <c r="AA79">
        <v>114.1</v>
      </c>
      <c r="AB79">
        <v>119.7</v>
      </c>
      <c r="AC79" s="10">
        <f t="shared" si="10"/>
        <v>121.04285714285712</v>
      </c>
      <c r="AD79">
        <f t="shared" si="12"/>
        <v>122.39999999999999</v>
      </c>
      <c r="AE79">
        <v>118.1</v>
      </c>
      <c r="AF79">
        <v>117.7</v>
      </c>
      <c r="AG79" s="1">
        <f t="shared" si="11"/>
        <v>114.91666666666669</v>
      </c>
      <c r="AH79" s="1">
        <f t="shared" si="13"/>
        <v>594.15952380952376</v>
      </c>
      <c r="AI79">
        <f t="shared" si="14"/>
        <v>23.209671381221519</v>
      </c>
      <c r="AJ79">
        <f t="shared" si="15"/>
        <v>23.469900199965306</v>
      </c>
      <c r="AK79">
        <f t="shared" si="16"/>
        <v>22.645385732156065</v>
      </c>
      <c r="AL79">
        <f t="shared" si="17"/>
        <v>22.568686711894742</v>
      </c>
      <c r="AM79">
        <f t="shared" si="18"/>
        <v>22.034989362576361</v>
      </c>
    </row>
    <row r="80" spans="1:39" x14ac:dyDescent="0.3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>
        <v>120.2</v>
      </c>
      <c r="V80">
        <v>118.2</v>
      </c>
      <c r="W80">
        <v>111.6</v>
      </c>
      <c r="X80">
        <v>115.5</v>
      </c>
      <c r="Y80">
        <v>119.4</v>
      </c>
      <c r="Z80">
        <v>110.8</v>
      </c>
      <c r="AA80">
        <v>115.5</v>
      </c>
      <c r="AB80">
        <v>121.1</v>
      </c>
      <c r="AC80" s="10">
        <f t="shared" si="10"/>
        <v>121.15714285714286</v>
      </c>
      <c r="AD80">
        <f t="shared" si="12"/>
        <v>124.8</v>
      </c>
      <c r="AE80">
        <v>118.6</v>
      </c>
      <c r="AF80">
        <v>120.6</v>
      </c>
      <c r="AG80" s="1">
        <f t="shared" si="11"/>
        <v>115.94999999999999</v>
      </c>
      <c r="AH80" s="1">
        <f t="shared" si="13"/>
        <v>601.10714285714289</v>
      </c>
      <c r="AI80">
        <f t="shared" si="14"/>
        <v>23.231585387010476</v>
      </c>
      <c r="AJ80">
        <f t="shared" si="15"/>
        <v>23.93009432153325</v>
      </c>
      <c r="AK80">
        <f t="shared" si="16"/>
        <v>22.741259507482724</v>
      </c>
      <c r="AL80">
        <f t="shared" si="17"/>
        <v>23.124754608789345</v>
      </c>
      <c r="AM80">
        <f t="shared" si="18"/>
        <v>22.233128498251446</v>
      </c>
    </row>
    <row r="81" spans="1:39" x14ac:dyDescent="0.3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</v>
      </c>
      <c r="V81">
        <v>114.3</v>
      </c>
      <c r="W81">
        <v>108.4</v>
      </c>
      <c r="X81">
        <v>115.4</v>
      </c>
      <c r="Y81">
        <v>120.6</v>
      </c>
      <c r="Z81">
        <v>111.3</v>
      </c>
      <c r="AA81">
        <v>113.8</v>
      </c>
      <c r="AB81">
        <v>119.1</v>
      </c>
      <c r="AC81" s="10">
        <f t="shared" si="10"/>
        <v>121.20000000000002</v>
      </c>
      <c r="AD81">
        <f t="shared" si="12"/>
        <v>119.83333333333333</v>
      </c>
      <c r="AE81">
        <v>118.6</v>
      </c>
      <c r="AF81">
        <v>114.4</v>
      </c>
      <c r="AG81" s="1">
        <f t="shared" si="11"/>
        <v>114.66666666666667</v>
      </c>
      <c r="AH81" s="1">
        <f t="shared" si="13"/>
        <v>588.69999999999993</v>
      </c>
      <c r="AI81">
        <f t="shared" si="14"/>
        <v>23.239803139181333</v>
      </c>
      <c r="AJ81">
        <f t="shared" si="15"/>
        <v>22.97774815328847</v>
      </c>
      <c r="AK81">
        <f t="shared" si="16"/>
        <v>22.741259507482724</v>
      </c>
      <c r="AL81">
        <f t="shared" si="17"/>
        <v>21.935919794738815</v>
      </c>
      <c r="AM81">
        <f t="shared" si="18"/>
        <v>21.987052474913032</v>
      </c>
    </row>
    <row r="82" spans="1:39" x14ac:dyDescent="0.3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119.2</v>
      </c>
      <c r="V82">
        <v>116.7</v>
      </c>
      <c r="W82">
        <v>109.9</v>
      </c>
      <c r="X82">
        <v>115.4</v>
      </c>
      <c r="Y82">
        <v>120.1</v>
      </c>
      <c r="Z82">
        <v>111</v>
      </c>
      <c r="AA82">
        <v>114.7</v>
      </c>
      <c r="AB82">
        <v>120.2</v>
      </c>
      <c r="AC82" s="10">
        <f t="shared" si="10"/>
        <v>121.0642857142857</v>
      </c>
      <c r="AD82">
        <f t="shared" si="12"/>
        <v>122.8</v>
      </c>
      <c r="AE82">
        <v>118.6</v>
      </c>
      <c r="AF82">
        <v>118.3</v>
      </c>
      <c r="AG82" s="1">
        <f t="shared" si="11"/>
        <v>115.38333333333334</v>
      </c>
      <c r="AH82" s="1">
        <f t="shared" si="13"/>
        <v>596.14761904761906</v>
      </c>
      <c r="AI82">
        <f t="shared" si="14"/>
        <v>23.213780257306951</v>
      </c>
      <c r="AJ82">
        <f t="shared" si="15"/>
        <v>23.546599220226629</v>
      </c>
      <c r="AK82">
        <f t="shared" si="16"/>
        <v>22.741259507482724</v>
      </c>
      <c r="AL82">
        <f t="shared" si="17"/>
        <v>22.68373524228673</v>
      </c>
      <c r="AM82">
        <f t="shared" si="18"/>
        <v>22.124471552881239</v>
      </c>
    </row>
    <row r="83" spans="1:39" x14ac:dyDescent="0.3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>
        <v>120.9</v>
      </c>
      <c r="V83">
        <v>118.6</v>
      </c>
      <c r="W83">
        <v>111.9</v>
      </c>
      <c r="X83">
        <v>116.2</v>
      </c>
      <c r="Y83">
        <v>119.9</v>
      </c>
      <c r="Z83">
        <v>111.6</v>
      </c>
      <c r="AA83">
        <v>116</v>
      </c>
      <c r="AB83">
        <v>121.5</v>
      </c>
      <c r="AC83" s="10">
        <f t="shared" si="10"/>
        <v>121.63571428571429</v>
      </c>
      <c r="AD83">
        <f t="shared" si="12"/>
        <v>125.23333333333333</v>
      </c>
      <c r="AE83">
        <v>119.2</v>
      </c>
      <c r="AF83">
        <v>121.2</v>
      </c>
      <c r="AG83" s="1">
        <f t="shared" si="11"/>
        <v>116.51666666666667</v>
      </c>
      <c r="AH83" s="1">
        <f t="shared" si="13"/>
        <v>603.78571428571433</v>
      </c>
      <c r="AI83">
        <f t="shared" si="14"/>
        <v>23.323350286251703</v>
      </c>
      <c r="AJ83">
        <f t="shared" si="15"/>
        <v>24.013184926816354</v>
      </c>
      <c r="AK83">
        <f t="shared" si="16"/>
        <v>22.856308037874708</v>
      </c>
      <c r="AL83">
        <f t="shared" si="17"/>
        <v>23.23980313918133</v>
      </c>
      <c r="AM83">
        <f t="shared" si="18"/>
        <v>22.341785443621657</v>
      </c>
    </row>
    <row r="84" spans="1:39" x14ac:dyDescent="0.3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118.4</v>
      </c>
      <c r="V84">
        <v>114.6</v>
      </c>
      <c r="W84">
        <v>108.4</v>
      </c>
      <c r="X84">
        <v>115.6</v>
      </c>
      <c r="Y84">
        <v>121.7</v>
      </c>
      <c r="Z84">
        <v>111.8</v>
      </c>
      <c r="AA84">
        <v>114.2</v>
      </c>
      <c r="AB84">
        <v>119.7</v>
      </c>
      <c r="AC84" s="10">
        <f t="shared" si="10"/>
        <v>121.87142857142855</v>
      </c>
      <c r="AD84">
        <f t="shared" si="12"/>
        <v>120.2</v>
      </c>
      <c r="AE84">
        <v>119.2</v>
      </c>
      <c r="AF84">
        <v>114.7</v>
      </c>
      <c r="AG84" s="1">
        <f t="shared" si="11"/>
        <v>115.08333333333333</v>
      </c>
      <c r="AH84" s="1">
        <f t="shared" si="13"/>
        <v>591.0547619047619</v>
      </c>
      <c r="AI84">
        <f t="shared" si="14"/>
        <v>23.368547923191407</v>
      </c>
      <c r="AJ84">
        <f t="shared" si="15"/>
        <v>23.048055588528022</v>
      </c>
      <c r="AK84">
        <f t="shared" si="16"/>
        <v>22.856308037874708</v>
      </c>
      <c r="AL84">
        <f t="shared" si="17"/>
        <v>21.993444059934809</v>
      </c>
      <c r="AM84">
        <f t="shared" si="18"/>
        <v>22.066947287685242</v>
      </c>
    </row>
    <row r="85" spans="1:39" x14ac:dyDescent="0.3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119.7</v>
      </c>
      <c r="V85">
        <v>117.1</v>
      </c>
      <c r="W85">
        <v>110.1</v>
      </c>
      <c r="X85">
        <v>115.9</v>
      </c>
      <c r="Y85">
        <v>121</v>
      </c>
      <c r="Z85">
        <v>111.7</v>
      </c>
      <c r="AA85">
        <v>115.1</v>
      </c>
      <c r="AB85">
        <v>120.7</v>
      </c>
      <c r="AC85" s="10">
        <f t="shared" si="10"/>
        <v>121.61428571428573</v>
      </c>
      <c r="AD85">
        <f t="shared" si="12"/>
        <v>123.2</v>
      </c>
      <c r="AE85">
        <v>119.2</v>
      </c>
      <c r="AF85">
        <v>118.7</v>
      </c>
      <c r="AG85" s="1">
        <f t="shared" si="11"/>
        <v>115.91666666666667</v>
      </c>
      <c r="AH85" s="1">
        <f t="shared" si="13"/>
        <v>598.63095238095241</v>
      </c>
      <c r="AI85">
        <f t="shared" si="14"/>
        <v>23.319241410166278</v>
      </c>
      <c r="AJ85">
        <f t="shared" si="15"/>
        <v>23.623298240487955</v>
      </c>
      <c r="AK85">
        <f t="shared" si="16"/>
        <v>22.856308037874708</v>
      </c>
      <c r="AL85">
        <f t="shared" si="17"/>
        <v>22.760434262548053</v>
      </c>
      <c r="AM85">
        <f t="shared" si="18"/>
        <v>22.226736913229672</v>
      </c>
    </row>
    <row r="86" spans="1:39" x14ac:dyDescent="0.3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>
        <v>121.5</v>
      </c>
      <c r="V86">
        <v>119.4</v>
      </c>
      <c r="W86">
        <v>113.3</v>
      </c>
      <c r="X86">
        <v>116.7</v>
      </c>
      <c r="Y86">
        <v>120.5</v>
      </c>
      <c r="Z86">
        <v>112.3</v>
      </c>
      <c r="AA86">
        <v>116.9</v>
      </c>
      <c r="AB86">
        <v>122.4</v>
      </c>
      <c r="AC86" s="10">
        <f t="shared" si="10"/>
        <v>122.45714285714287</v>
      </c>
      <c r="AD86">
        <f t="shared" si="12"/>
        <v>126.06666666666666</v>
      </c>
      <c r="AE86">
        <v>119.6</v>
      </c>
      <c r="AF86">
        <v>121.9</v>
      </c>
      <c r="AG86" s="1">
        <f t="shared" si="11"/>
        <v>117.28333333333332</v>
      </c>
      <c r="AH86" s="1">
        <f t="shared" si="13"/>
        <v>607.30714285714282</v>
      </c>
      <c r="AI86">
        <f t="shared" si="14"/>
        <v>23.480857202859781</v>
      </c>
      <c r="AJ86">
        <f t="shared" si="15"/>
        <v>24.172974552360778</v>
      </c>
      <c r="AK86">
        <f t="shared" si="16"/>
        <v>22.933007058136031</v>
      </c>
      <c r="AL86">
        <f t="shared" si="17"/>
        <v>23.37402642463865</v>
      </c>
      <c r="AM86">
        <f t="shared" si="18"/>
        <v>22.488791899122525</v>
      </c>
    </row>
    <row r="87" spans="1:39" x14ac:dyDescent="0.3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118.7</v>
      </c>
      <c r="V87">
        <v>114.9</v>
      </c>
      <c r="W87">
        <v>110.8</v>
      </c>
      <c r="X87">
        <v>116</v>
      </c>
      <c r="Y87">
        <v>122</v>
      </c>
      <c r="Z87">
        <v>112.4</v>
      </c>
      <c r="AA87">
        <v>115.2</v>
      </c>
      <c r="AB87">
        <v>120.7</v>
      </c>
      <c r="AC87" s="10">
        <f t="shared" si="10"/>
        <v>123.58571428571429</v>
      </c>
      <c r="AD87">
        <f t="shared" si="12"/>
        <v>120.46666666666665</v>
      </c>
      <c r="AE87">
        <v>119.6</v>
      </c>
      <c r="AF87">
        <v>114.9</v>
      </c>
      <c r="AG87" s="1">
        <f t="shared" si="11"/>
        <v>115.80000000000001</v>
      </c>
      <c r="AH87" s="1">
        <f t="shared" si="13"/>
        <v>594.35238095238083</v>
      </c>
      <c r="AI87">
        <f t="shared" si="14"/>
        <v>23.69725801002566</v>
      </c>
      <c r="AJ87">
        <f t="shared" si="15"/>
        <v>23.099188268702235</v>
      </c>
      <c r="AK87">
        <f t="shared" si="16"/>
        <v>22.933007058136031</v>
      </c>
      <c r="AL87">
        <f t="shared" si="17"/>
        <v>22.031793570065471</v>
      </c>
      <c r="AM87">
        <f t="shared" si="18"/>
        <v>22.204366365653453</v>
      </c>
    </row>
    <row r="88" spans="1:39" x14ac:dyDescent="0.3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120.2</v>
      </c>
      <c r="V88">
        <v>117.7</v>
      </c>
      <c r="W88">
        <v>112</v>
      </c>
      <c r="X88">
        <v>116.3</v>
      </c>
      <c r="Y88">
        <v>121.4</v>
      </c>
      <c r="Z88">
        <v>112.3</v>
      </c>
      <c r="AA88">
        <v>116.1</v>
      </c>
      <c r="AB88">
        <v>121.6</v>
      </c>
      <c r="AC88" s="10">
        <f t="shared" si="10"/>
        <v>122.73571428571429</v>
      </c>
      <c r="AD88">
        <f t="shared" si="12"/>
        <v>123.8</v>
      </c>
      <c r="AE88">
        <v>119.6</v>
      </c>
      <c r="AF88">
        <v>119.2</v>
      </c>
      <c r="AG88" s="1">
        <f t="shared" si="11"/>
        <v>116.64999999999999</v>
      </c>
      <c r="AH88" s="1">
        <f t="shared" si="13"/>
        <v>601.98571428571427</v>
      </c>
      <c r="AI88">
        <f t="shared" si="14"/>
        <v>23.53427259197035</v>
      </c>
      <c r="AJ88">
        <f t="shared" si="15"/>
        <v>23.738346770879939</v>
      </c>
      <c r="AK88">
        <f t="shared" si="16"/>
        <v>22.933007058136031</v>
      </c>
      <c r="AL88">
        <f t="shared" si="17"/>
        <v>22.856308037874708</v>
      </c>
      <c r="AM88">
        <f t="shared" si="18"/>
        <v>22.367351783708763</v>
      </c>
    </row>
    <row r="89" spans="1:39" x14ac:dyDescent="0.3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>
        <v>122.8</v>
      </c>
      <c r="V89">
        <v>120.4</v>
      </c>
      <c r="W89">
        <v>114.2</v>
      </c>
      <c r="X89">
        <v>117.9</v>
      </c>
      <c r="Y89">
        <v>122</v>
      </c>
      <c r="Z89">
        <v>113</v>
      </c>
      <c r="AA89">
        <v>117.9</v>
      </c>
      <c r="AB89">
        <v>124.1</v>
      </c>
      <c r="AC89" s="10">
        <f t="shared" si="10"/>
        <v>124.72142857142856</v>
      </c>
      <c r="AD89">
        <f t="shared" si="12"/>
        <v>127.16666666666667</v>
      </c>
      <c r="AE89">
        <v>119</v>
      </c>
      <c r="AF89">
        <v>122.6</v>
      </c>
      <c r="AG89" s="1">
        <f t="shared" si="11"/>
        <v>118.38333333333333</v>
      </c>
      <c r="AH89" s="1">
        <f t="shared" si="13"/>
        <v>611.87142857142851</v>
      </c>
      <c r="AI89">
        <f t="shared" si="14"/>
        <v>23.915028442553346</v>
      </c>
      <c r="AJ89">
        <f t="shared" si="15"/>
        <v>24.383896858079424</v>
      </c>
      <c r="AK89">
        <f t="shared" si="16"/>
        <v>22.817958527744047</v>
      </c>
      <c r="AL89">
        <f t="shared" si="17"/>
        <v>23.508249710095967</v>
      </c>
      <c r="AM89">
        <f t="shared" si="18"/>
        <v>22.699714204841172</v>
      </c>
    </row>
    <row r="90" spans="1:39" x14ac:dyDescent="0.3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119.2</v>
      </c>
      <c r="V90">
        <v>115.4</v>
      </c>
      <c r="W90">
        <v>111.7</v>
      </c>
      <c r="X90">
        <v>116.2</v>
      </c>
      <c r="Y90">
        <v>123.8</v>
      </c>
      <c r="Z90">
        <v>112.5</v>
      </c>
      <c r="AA90">
        <v>116</v>
      </c>
      <c r="AB90">
        <v>121.7</v>
      </c>
      <c r="AC90" s="10">
        <f t="shared" si="10"/>
        <v>126.33571428571427</v>
      </c>
      <c r="AD90">
        <f t="shared" si="12"/>
        <v>121.03333333333335</v>
      </c>
      <c r="AE90">
        <v>119</v>
      </c>
      <c r="AF90">
        <v>115.1</v>
      </c>
      <c r="AG90" s="1">
        <f t="shared" si="11"/>
        <v>116.46666666666665</v>
      </c>
      <c r="AH90" s="1">
        <f t="shared" si="13"/>
        <v>597.93571428571431</v>
      </c>
      <c r="AI90">
        <f t="shared" si="14"/>
        <v>24.224563774322263</v>
      </c>
      <c r="AJ90">
        <f t="shared" si="15"/>
        <v>23.207845214072449</v>
      </c>
      <c r="AK90">
        <f t="shared" si="16"/>
        <v>22.817958527744047</v>
      </c>
      <c r="AL90">
        <f t="shared" si="17"/>
        <v>22.070143080196132</v>
      </c>
      <c r="AM90">
        <f t="shared" si="18"/>
        <v>22.332198066088988</v>
      </c>
    </row>
    <row r="91" spans="1:39" x14ac:dyDescent="0.3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121.1</v>
      </c>
      <c r="V91">
        <v>118.5</v>
      </c>
      <c r="W91">
        <v>112.9</v>
      </c>
      <c r="X91">
        <v>116.9</v>
      </c>
      <c r="Y91">
        <v>123.1</v>
      </c>
      <c r="Z91">
        <v>112.8</v>
      </c>
      <c r="AA91">
        <v>117</v>
      </c>
      <c r="AB91">
        <v>123</v>
      </c>
      <c r="AC91" s="10">
        <f t="shared" si="10"/>
        <v>125.19285714285715</v>
      </c>
      <c r="AD91">
        <f t="shared" si="12"/>
        <v>124.7</v>
      </c>
      <c r="AE91">
        <v>119</v>
      </c>
      <c r="AF91">
        <v>119.8</v>
      </c>
      <c r="AG91" s="1">
        <f t="shared" si="11"/>
        <v>117.55</v>
      </c>
      <c r="AH91" s="1">
        <f t="shared" si="13"/>
        <v>606.24285714285713</v>
      </c>
      <c r="AI91">
        <f t="shared" si="14"/>
        <v>24.00542371643277</v>
      </c>
      <c r="AJ91">
        <f t="shared" si="15"/>
        <v>23.910919566467921</v>
      </c>
      <c r="AK91">
        <f t="shared" si="16"/>
        <v>22.817958527744047</v>
      </c>
      <c r="AL91">
        <f t="shared" si="17"/>
        <v>22.971356568266696</v>
      </c>
      <c r="AM91">
        <f t="shared" si="18"/>
        <v>22.539924579296745</v>
      </c>
    </row>
    <row r="92" spans="1:39" x14ac:dyDescent="0.3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>
        <v>123</v>
      </c>
      <c r="V92">
        <v>120.8</v>
      </c>
      <c r="W92">
        <v>114.1</v>
      </c>
      <c r="X92">
        <v>118</v>
      </c>
      <c r="Y92">
        <v>122.9</v>
      </c>
      <c r="Z92">
        <v>112.7</v>
      </c>
      <c r="AA92">
        <v>118.1</v>
      </c>
      <c r="AB92">
        <v>124.7</v>
      </c>
      <c r="AC92" s="10">
        <f t="shared" si="10"/>
        <v>125.33571428571429</v>
      </c>
      <c r="AD92">
        <f t="shared" si="12"/>
        <v>127.53333333333335</v>
      </c>
      <c r="AE92">
        <v>119.9</v>
      </c>
      <c r="AF92">
        <v>123</v>
      </c>
      <c r="AG92" s="1">
        <f t="shared" si="11"/>
        <v>118.58333333333333</v>
      </c>
      <c r="AH92" s="1">
        <f t="shared" si="13"/>
        <v>614.35238095238105</v>
      </c>
      <c r="AI92">
        <f t="shared" si="14"/>
        <v>24.032816223668956</v>
      </c>
      <c r="AJ92">
        <f t="shared" si="15"/>
        <v>24.454204293318973</v>
      </c>
      <c r="AK92">
        <f t="shared" si="16"/>
        <v>22.990531323332029</v>
      </c>
      <c r="AL92">
        <f t="shared" si="17"/>
        <v>23.58494873035729</v>
      </c>
      <c r="AM92">
        <f t="shared" si="18"/>
        <v>22.738063714971833</v>
      </c>
    </row>
    <row r="93" spans="1:39" x14ac:dyDescent="0.3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119.5</v>
      </c>
      <c r="V93">
        <v>116</v>
      </c>
      <c r="W93">
        <v>111.5</v>
      </c>
      <c r="X93">
        <v>116.6</v>
      </c>
      <c r="Y93">
        <v>125.4</v>
      </c>
      <c r="Z93">
        <v>111.7</v>
      </c>
      <c r="AA93">
        <v>116.3</v>
      </c>
      <c r="AB93">
        <v>122.4</v>
      </c>
      <c r="AC93" s="10">
        <f t="shared" si="10"/>
        <v>126.85714285714285</v>
      </c>
      <c r="AD93">
        <f t="shared" si="12"/>
        <v>121.36666666666667</v>
      </c>
      <c r="AE93">
        <v>119.9</v>
      </c>
      <c r="AF93">
        <v>115.3</v>
      </c>
      <c r="AG93" s="1">
        <f t="shared" si="11"/>
        <v>116.78333333333335</v>
      </c>
      <c r="AH93" s="1">
        <f t="shared" si="13"/>
        <v>600.20714285714291</v>
      </c>
      <c r="AI93">
        <f t="shared" si="14"/>
        <v>24.324546425734347</v>
      </c>
      <c r="AJ93">
        <f t="shared" si="15"/>
        <v>23.271761064290221</v>
      </c>
      <c r="AK93">
        <f t="shared" si="16"/>
        <v>22.990531323332029</v>
      </c>
      <c r="AL93">
        <f t="shared" si="17"/>
        <v>22.108492590326794</v>
      </c>
      <c r="AM93">
        <f t="shared" si="18"/>
        <v>22.392918123795877</v>
      </c>
    </row>
    <row r="94" spans="1:39" x14ac:dyDescent="0.3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121.3</v>
      </c>
      <c r="V94">
        <v>119</v>
      </c>
      <c r="W94">
        <v>112.7</v>
      </c>
      <c r="X94">
        <v>117.2</v>
      </c>
      <c r="Y94">
        <v>124.4</v>
      </c>
      <c r="Z94">
        <v>112.3</v>
      </c>
      <c r="AA94">
        <v>117.2</v>
      </c>
      <c r="AB94">
        <v>123.6</v>
      </c>
      <c r="AC94" s="10">
        <f t="shared" si="10"/>
        <v>125.78571428571431</v>
      </c>
      <c r="AD94">
        <f t="shared" si="12"/>
        <v>125.03333333333335</v>
      </c>
      <c r="AE94">
        <v>119.9</v>
      </c>
      <c r="AF94">
        <v>120.1</v>
      </c>
      <c r="AG94" s="1">
        <f t="shared" si="11"/>
        <v>117.81666666666666</v>
      </c>
      <c r="AH94" s="1">
        <f t="shared" si="13"/>
        <v>608.63571428571436</v>
      </c>
      <c r="AI94">
        <f t="shared" si="14"/>
        <v>24.119102621462947</v>
      </c>
      <c r="AJ94">
        <f t="shared" si="15"/>
        <v>23.974835416685693</v>
      </c>
      <c r="AK94">
        <f t="shared" si="16"/>
        <v>22.990531323332029</v>
      </c>
      <c r="AL94">
        <f t="shared" si="17"/>
        <v>23.02888083346269</v>
      </c>
      <c r="AM94">
        <f t="shared" si="18"/>
        <v>22.591057259470961</v>
      </c>
    </row>
    <row r="95" spans="1:39" x14ac:dyDescent="0.3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>
        <v>123.7</v>
      </c>
      <c r="V95">
        <v>121.1</v>
      </c>
      <c r="W95">
        <v>113.6</v>
      </c>
      <c r="X95">
        <v>118.5</v>
      </c>
      <c r="Y95">
        <v>123.6</v>
      </c>
      <c r="Z95">
        <v>112.5</v>
      </c>
      <c r="AA95">
        <v>118.2</v>
      </c>
      <c r="AB95">
        <v>126.1</v>
      </c>
      <c r="AC95" s="10">
        <f t="shared" si="10"/>
        <v>126.90714285714284</v>
      </c>
      <c r="AD95">
        <f t="shared" si="12"/>
        <v>128.26666666666668</v>
      </c>
      <c r="AE95">
        <v>120.9</v>
      </c>
      <c r="AF95">
        <v>123.8</v>
      </c>
      <c r="AG95" s="1">
        <f t="shared" si="11"/>
        <v>118.83333333333333</v>
      </c>
      <c r="AH95" s="1">
        <f t="shared" si="13"/>
        <v>618.70714285714291</v>
      </c>
      <c r="AI95">
        <f t="shared" si="14"/>
        <v>24.334133803267015</v>
      </c>
      <c r="AJ95">
        <f t="shared" si="15"/>
        <v>24.594819163798068</v>
      </c>
      <c r="AK95">
        <f t="shared" si="16"/>
        <v>23.182278873985339</v>
      </c>
      <c r="AL95">
        <f t="shared" si="17"/>
        <v>23.738346770879939</v>
      </c>
      <c r="AM95">
        <f t="shared" si="18"/>
        <v>22.786000602635159</v>
      </c>
    </row>
    <row r="96" spans="1:39" x14ac:dyDescent="0.3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</v>
      </c>
      <c r="V96">
        <v>116.6</v>
      </c>
      <c r="W96">
        <v>109.9</v>
      </c>
      <c r="X96">
        <v>117.2</v>
      </c>
      <c r="Y96">
        <v>126.2</v>
      </c>
      <c r="Z96">
        <v>112</v>
      </c>
      <c r="AA96">
        <v>116.2</v>
      </c>
      <c r="AB96">
        <v>123.2</v>
      </c>
      <c r="AC96" s="10">
        <f t="shared" si="10"/>
        <v>128.07857142857142</v>
      </c>
      <c r="AD96">
        <f t="shared" si="12"/>
        <v>121.60000000000001</v>
      </c>
      <c r="AE96">
        <v>120.9</v>
      </c>
      <c r="AF96">
        <v>115.3</v>
      </c>
      <c r="AG96" s="1">
        <f t="shared" si="11"/>
        <v>116.98333333333333</v>
      </c>
      <c r="AH96" s="1">
        <f t="shared" si="13"/>
        <v>602.86190476190473</v>
      </c>
      <c r="AI96">
        <f t="shared" si="14"/>
        <v>24.558752362603752</v>
      </c>
      <c r="AJ96">
        <f t="shared" si="15"/>
        <v>23.316502159442656</v>
      </c>
      <c r="AK96">
        <f t="shared" si="16"/>
        <v>23.182278873985339</v>
      </c>
      <c r="AL96">
        <f t="shared" si="17"/>
        <v>22.108492590326794</v>
      </c>
      <c r="AM96">
        <f t="shared" si="18"/>
        <v>22.431267633926534</v>
      </c>
    </row>
    <row r="97" spans="1:39" x14ac:dyDescent="0.3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122</v>
      </c>
      <c r="V97">
        <v>119.4</v>
      </c>
      <c r="W97">
        <v>111.7</v>
      </c>
      <c r="X97">
        <v>117.8</v>
      </c>
      <c r="Y97">
        <v>125.1</v>
      </c>
      <c r="Z97">
        <v>112.3</v>
      </c>
      <c r="AA97">
        <v>117.2</v>
      </c>
      <c r="AB97">
        <v>124.8</v>
      </c>
      <c r="AC97" s="10">
        <f t="shared" si="10"/>
        <v>127.2</v>
      </c>
      <c r="AD97">
        <f t="shared" si="12"/>
        <v>125.56666666666668</v>
      </c>
      <c r="AE97">
        <v>120.9</v>
      </c>
      <c r="AF97">
        <v>120.6</v>
      </c>
      <c r="AG97" s="1">
        <f t="shared" si="11"/>
        <v>118.05</v>
      </c>
      <c r="AH97" s="1">
        <f t="shared" si="13"/>
        <v>612.31666666666661</v>
      </c>
      <c r="AI97">
        <f t="shared" si="14"/>
        <v>24.390288443101198</v>
      </c>
      <c r="AJ97">
        <f t="shared" si="15"/>
        <v>24.077100777034126</v>
      </c>
      <c r="AK97">
        <f t="shared" si="16"/>
        <v>23.182278873985339</v>
      </c>
      <c r="AL97">
        <f t="shared" si="17"/>
        <v>23.124754608789345</v>
      </c>
      <c r="AM97">
        <f t="shared" si="18"/>
        <v>22.6357983546234</v>
      </c>
    </row>
    <row r="98" spans="1:39" x14ac:dyDescent="0.3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>
        <v>124.5</v>
      </c>
      <c r="V98">
        <v>121.4</v>
      </c>
      <c r="W98">
        <v>113.8</v>
      </c>
      <c r="X98">
        <v>119.6</v>
      </c>
      <c r="Y98">
        <v>124.5</v>
      </c>
      <c r="Z98">
        <v>113.7</v>
      </c>
      <c r="AA98">
        <v>118.8</v>
      </c>
      <c r="AB98">
        <v>127</v>
      </c>
      <c r="AC98" s="10">
        <f t="shared" si="10"/>
        <v>127.75714285714287</v>
      </c>
      <c r="AD98">
        <f t="shared" si="12"/>
        <v>129.03333333333333</v>
      </c>
      <c r="AE98">
        <v>121.6</v>
      </c>
      <c r="AF98">
        <v>123.7</v>
      </c>
      <c r="AG98" s="1">
        <f t="shared" si="11"/>
        <v>119.58333333333333</v>
      </c>
      <c r="AH98" s="1">
        <f t="shared" si="13"/>
        <v>621.6738095238095</v>
      </c>
      <c r="AI98">
        <f t="shared" si="14"/>
        <v>24.497119221322333</v>
      </c>
      <c r="AJ98">
        <f t="shared" si="15"/>
        <v>24.741825619298936</v>
      </c>
      <c r="AK98">
        <f t="shared" si="16"/>
        <v>23.316502159442653</v>
      </c>
      <c r="AL98">
        <f t="shared" si="17"/>
        <v>23.71917201581461</v>
      </c>
      <c r="AM98">
        <f t="shared" si="18"/>
        <v>22.929811265625144</v>
      </c>
    </row>
    <row r="99" spans="1:39" x14ac:dyDescent="0.3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120.4</v>
      </c>
      <c r="V99">
        <v>117.1</v>
      </c>
      <c r="W99">
        <v>109.1</v>
      </c>
      <c r="X99">
        <v>117.3</v>
      </c>
      <c r="Y99">
        <v>126.5</v>
      </c>
      <c r="Z99">
        <v>112.9</v>
      </c>
      <c r="AA99">
        <v>116.2</v>
      </c>
      <c r="AB99">
        <v>123.5</v>
      </c>
      <c r="AC99" s="10">
        <f t="shared" si="10"/>
        <v>128.53571428571428</v>
      </c>
      <c r="AD99">
        <f t="shared" si="12"/>
        <v>121.93333333333334</v>
      </c>
      <c r="AE99">
        <v>121.6</v>
      </c>
      <c r="AF99">
        <v>115.1</v>
      </c>
      <c r="AG99" s="1">
        <f t="shared" si="11"/>
        <v>117.21666666666668</v>
      </c>
      <c r="AH99" s="1">
        <f t="shared" si="13"/>
        <v>604.38571428571436</v>
      </c>
      <c r="AI99">
        <f t="shared" si="14"/>
        <v>24.64640838575955</v>
      </c>
      <c r="AJ99">
        <f t="shared" si="15"/>
        <v>23.380418009660428</v>
      </c>
      <c r="AK99">
        <f t="shared" si="16"/>
        <v>23.316502159442653</v>
      </c>
      <c r="AL99">
        <f t="shared" si="17"/>
        <v>22.070143080196132</v>
      </c>
      <c r="AM99">
        <f t="shared" si="18"/>
        <v>22.476008729078977</v>
      </c>
    </row>
    <row r="100" spans="1:39" x14ac:dyDescent="0.3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122.6</v>
      </c>
      <c r="V100">
        <v>119.8</v>
      </c>
      <c r="W100">
        <v>111.3</v>
      </c>
      <c r="X100">
        <v>118.3</v>
      </c>
      <c r="Y100">
        <v>125.7</v>
      </c>
      <c r="Z100">
        <v>113.4</v>
      </c>
      <c r="AA100">
        <v>117.5</v>
      </c>
      <c r="AB100">
        <v>125.4</v>
      </c>
      <c r="AC100" s="10">
        <f t="shared" si="10"/>
        <v>127.87857142857145</v>
      </c>
      <c r="AD100">
        <f t="shared" si="12"/>
        <v>126.16666666666667</v>
      </c>
      <c r="AE100">
        <v>121.6</v>
      </c>
      <c r="AF100">
        <v>120.4</v>
      </c>
      <c r="AG100" s="1">
        <f t="shared" si="11"/>
        <v>118.51666666666667</v>
      </c>
      <c r="AH100" s="1">
        <f t="shared" si="13"/>
        <v>614.56190476190477</v>
      </c>
      <c r="AI100">
        <f t="shared" si="14"/>
        <v>24.52040285247309</v>
      </c>
      <c r="AJ100">
        <f t="shared" si="15"/>
        <v>24.19214930742611</v>
      </c>
      <c r="AK100">
        <f t="shared" si="16"/>
        <v>23.316502159442653</v>
      </c>
      <c r="AL100">
        <f t="shared" si="17"/>
        <v>23.086405098658684</v>
      </c>
      <c r="AM100">
        <f t="shared" si="18"/>
        <v>22.725280544928278</v>
      </c>
    </row>
    <row r="101" spans="1:39" x14ac:dyDescent="0.3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>
        <v>125.1</v>
      </c>
      <c r="V101">
        <v>122</v>
      </c>
      <c r="W101">
        <v>113.8</v>
      </c>
      <c r="X101">
        <v>120.1</v>
      </c>
      <c r="Y101">
        <v>125.1</v>
      </c>
      <c r="Z101">
        <v>114.2</v>
      </c>
      <c r="AA101">
        <v>119.2</v>
      </c>
      <c r="AB101">
        <v>127.7</v>
      </c>
      <c r="AC101" s="10">
        <f t="shared" si="10"/>
        <v>129.00714285714284</v>
      </c>
      <c r="AD101">
        <f t="shared" si="12"/>
        <v>129.66666666666666</v>
      </c>
      <c r="AE101">
        <v>122.4</v>
      </c>
      <c r="AF101">
        <v>124.4</v>
      </c>
      <c r="AG101" s="1">
        <f t="shared" si="11"/>
        <v>120.05000000000001</v>
      </c>
      <c r="AH101" s="1">
        <f t="shared" si="13"/>
        <v>625.5238095238094</v>
      </c>
      <c r="AI101">
        <f t="shared" si="14"/>
        <v>24.736803659638966</v>
      </c>
      <c r="AJ101">
        <f t="shared" si="15"/>
        <v>24.863265734712702</v>
      </c>
      <c r="AK101">
        <f t="shared" si="16"/>
        <v>23.469900199965306</v>
      </c>
      <c r="AL101">
        <f t="shared" si="17"/>
        <v>23.853395301271931</v>
      </c>
      <c r="AM101">
        <f t="shared" si="18"/>
        <v>23.019293455930026</v>
      </c>
    </row>
    <row r="102" spans="1:39" x14ac:dyDescent="0.3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120.7</v>
      </c>
      <c r="V102">
        <v>117.7</v>
      </c>
      <c r="W102">
        <v>109.3</v>
      </c>
      <c r="X102">
        <v>117.7</v>
      </c>
      <c r="Y102">
        <v>126.5</v>
      </c>
      <c r="Z102">
        <v>113.5</v>
      </c>
      <c r="AA102">
        <v>116.5</v>
      </c>
      <c r="AB102">
        <v>124.2</v>
      </c>
      <c r="AC102" s="10">
        <f t="shared" si="10"/>
        <v>130.57857142857145</v>
      </c>
      <c r="AD102">
        <f t="shared" si="12"/>
        <v>122.26666666666665</v>
      </c>
      <c r="AE102">
        <v>122.4</v>
      </c>
      <c r="AF102">
        <v>114.9</v>
      </c>
      <c r="AG102" s="1">
        <f t="shared" si="11"/>
        <v>117.56666666666666</v>
      </c>
      <c r="AH102" s="1">
        <f t="shared" si="13"/>
        <v>607.71190476190486</v>
      </c>
      <c r="AI102">
        <f t="shared" si="14"/>
        <v>25.038121239237032</v>
      </c>
      <c r="AJ102">
        <f t="shared" si="15"/>
        <v>23.444333859878196</v>
      </c>
      <c r="AK102">
        <f t="shared" si="16"/>
        <v>23.469900199965306</v>
      </c>
      <c r="AL102">
        <f t="shared" si="17"/>
        <v>22.031793570065471</v>
      </c>
      <c r="AM102">
        <f t="shared" si="18"/>
        <v>22.543120371807632</v>
      </c>
    </row>
    <row r="103" spans="1:39" x14ac:dyDescent="0.3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123</v>
      </c>
      <c r="V103">
        <v>120.4</v>
      </c>
      <c r="W103">
        <v>111.4</v>
      </c>
      <c r="X103">
        <v>118.7</v>
      </c>
      <c r="Y103">
        <v>125.9</v>
      </c>
      <c r="Z103">
        <v>113.9</v>
      </c>
      <c r="AA103">
        <v>117.9</v>
      </c>
      <c r="AB103">
        <v>126.1</v>
      </c>
      <c r="AC103" s="10">
        <f t="shared" si="10"/>
        <v>129.39285714285714</v>
      </c>
      <c r="AD103">
        <f t="shared" si="12"/>
        <v>126.7</v>
      </c>
      <c r="AE103">
        <v>122.4</v>
      </c>
      <c r="AF103">
        <v>120.8</v>
      </c>
      <c r="AG103" s="1">
        <f t="shared" si="11"/>
        <v>118.88333333333333</v>
      </c>
      <c r="AH103" s="1">
        <f t="shared" si="13"/>
        <v>618.17619047619041</v>
      </c>
      <c r="AI103">
        <f t="shared" si="14"/>
        <v>24.810763429176674</v>
      </c>
      <c r="AJ103">
        <f t="shared" si="15"/>
        <v>24.294414667774543</v>
      </c>
      <c r="AK103">
        <f t="shared" si="16"/>
        <v>23.469900199965306</v>
      </c>
      <c r="AL103">
        <f t="shared" si="17"/>
        <v>23.163104118920007</v>
      </c>
      <c r="AM103">
        <f t="shared" si="18"/>
        <v>22.795587980167824</v>
      </c>
    </row>
    <row r="104" spans="1:39" x14ac:dyDescent="0.3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>
        <v>125.6</v>
      </c>
      <c r="V104">
        <v>122.6</v>
      </c>
      <c r="W104">
        <v>114</v>
      </c>
      <c r="X104">
        <v>120.9</v>
      </c>
      <c r="Y104">
        <v>125.8</v>
      </c>
      <c r="Z104">
        <v>114.2</v>
      </c>
      <c r="AA104">
        <v>119.6</v>
      </c>
      <c r="AB104">
        <v>128.30000000000001</v>
      </c>
      <c r="AC104" s="10">
        <f t="shared" si="10"/>
        <v>129.89285714285714</v>
      </c>
      <c r="AD104">
        <f t="shared" si="12"/>
        <v>130.6</v>
      </c>
      <c r="AE104">
        <v>122.9</v>
      </c>
      <c r="AF104">
        <v>125.6</v>
      </c>
      <c r="AG104" s="1">
        <f t="shared" si="11"/>
        <v>120.51666666666667</v>
      </c>
      <c r="AH104" s="1">
        <f t="shared" si="13"/>
        <v>629.50952380952378</v>
      </c>
      <c r="AI104">
        <f t="shared" si="14"/>
        <v>24.90663720450333</v>
      </c>
      <c r="AJ104">
        <f t="shared" si="15"/>
        <v>25.042230115322457</v>
      </c>
      <c r="AK104">
        <f t="shared" si="16"/>
        <v>23.565773975291961</v>
      </c>
      <c r="AL104">
        <f t="shared" si="17"/>
        <v>24.0834923620559</v>
      </c>
      <c r="AM104">
        <f t="shared" si="18"/>
        <v>23.108775646234903</v>
      </c>
    </row>
    <row r="105" spans="1:39" x14ac:dyDescent="0.3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121</v>
      </c>
      <c r="V105">
        <v>118.1</v>
      </c>
      <c r="W105">
        <v>109.3</v>
      </c>
      <c r="X105">
        <v>117.9</v>
      </c>
      <c r="Y105">
        <v>126.6</v>
      </c>
      <c r="Z105">
        <v>113.3</v>
      </c>
      <c r="AA105">
        <v>116.6</v>
      </c>
      <c r="AB105">
        <v>124.6</v>
      </c>
      <c r="AC105" s="10">
        <f t="shared" si="10"/>
        <v>131.8642857142857</v>
      </c>
      <c r="AD105">
        <f t="shared" si="12"/>
        <v>122.83333333333333</v>
      </c>
      <c r="AE105">
        <v>122.9</v>
      </c>
      <c r="AF105">
        <v>115.1</v>
      </c>
      <c r="AG105" s="1">
        <f t="shared" si="11"/>
        <v>117.69999999999999</v>
      </c>
      <c r="AH105" s="1">
        <f t="shared" si="13"/>
        <v>610.39761904761895</v>
      </c>
      <c r="AI105">
        <f t="shared" si="14"/>
        <v>25.284653804362712</v>
      </c>
      <c r="AJ105">
        <f t="shared" si="15"/>
        <v>23.552990805248406</v>
      </c>
      <c r="AK105">
        <f t="shared" si="16"/>
        <v>23.565773975291961</v>
      </c>
      <c r="AL105">
        <f t="shared" si="17"/>
        <v>22.070143080196132</v>
      </c>
      <c r="AM105">
        <f t="shared" si="18"/>
        <v>22.568686711894738</v>
      </c>
    </row>
    <row r="106" spans="1:39" x14ac:dyDescent="0.3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123.4</v>
      </c>
      <c r="V106">
        <v>120.9</v>
      </c>
      <c r="W106">
        <v>111.5</v>
      </c>
      <c r="X106">
        <v>119.2</v>
      </c>
      <c r="Y106">
        <v>126.3</v>
      </c>
      <c r="Z106">
        <v>113.8</v>
      </c>
      <c r="AA106">
        <v>118.1</v>
      </c>
      <c r="AB106">
        <v>126.6</v>
      </c>
      <c r="AC106" s="10">
        <f t="shared" si="10"/>
        <v>130.40714285714284</v>
      </c>
      <c r="AD106">
        <f t="shared" si="12"/>
        <v>127.46666666666665</v>
      </c>
      <c r="AE106">
        <v>122.9</v>
      </c>
      <c r="AF106">
        <v>121.6</v>
      </c>
      <c r="AG106" s="1">
        <f t="shared" si="11"/>
        <v>119.18333333333332</v>
      </c>
      <c r="AH106" s="1">
        <f t="shared" si="13"/>
        <v>621.55714285714282</v>
      </c>
      <c r="AI106">
        <f t="shared" si="14"/>
        <v>25.005250230553607</v>
      </c>
      <c r="AJ106">
        <f t="shared" si="15"/>
        <v>24.441421123275415</v>
      </c>
      <c r="AK106">
        <f t="shared" si="16"/>
        <v>23.565773975291961</v>
      </c>
      <c r="AL106">
        <f t="shared" si="17"/>
        <v>23.316502159442653</v>
      </c>
      <c r="AM106">
        <f t="shared" si="18"/>
        <v>22.853112245363818</v>
      </c>
    </row>
    <row r="107" spans="1:39" x14ac:dyDescent="0.3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>
        <v>126</v>
      </c>
      <c r="V107">
        <v>123.1</v>
      </c>
      <c r="W107">
        <v>114</v>
      </c>
      <c r="X107">
        <v>121.6</v>
      </c>
      <c r="Y107">
        <v>125.6</v>
      </c>
      <c r="Z107">
        <v>114.1</v>
      </c>
      <c r="AA107">
        <v>119.8</v>
      </c>
      <c r="AB107">
        <v>127.9</v>
      </c>
      <c r="AC107" s="10">
        <f t="shared" si="10"/>
        <v>129.67142857142858</v>
      </c>
      <c r="AD107">
        <f t="shared" si="12"/>
        <v>130.96666666666667</v>
      </c>
      <c r="AE107">
        <v>122.4</v>
      </c>
      <c r="AF107">
        <v>125.7</v>
      </c>
      <c r="AG107" s="1">
        <f t="shared" si="11"/>
        <v>120.73333333333335</v>
      </c>
      <c r="AH107" s="1">
        <f t="shared" si="13"/>
        <v>629.47142857142853</v>
      </c>
      <c r="AI107">
        <f t="shared" si="14"/>
        <v>24.864178818287243</v>
      </c>
      <c r="AJ107">
        <f t="shared" si="15"/>
        <v>25.112537550562003</v>
      </c>
      <c r="AK107">
        <f t="shared" si="16"/>
        <v>23.469900199965306</v>
      </c>
      <c r="AL107">
        <f t="shared" si="17"/>
        <v>24.102667117121232</v>
      </c>
      <c r="AM107">
        <f t="shared" si="18"/>
        <v>23.150320948876455</v>
      </c>
    </row>
    <row r="108" spans="1:39" x14ac:dyDescent="0.3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121</v>
      </c>
      <c r="V108">
        <v>118.6</v>
      </c>
      <c r="W108">
        <v>109.3</v>
      </c>
      <c r="X108">
        <v>118.1</v>
      </c>
      <c r="Y108">
        <v>126.6</v>
      </c>
      <c r="Z108">
        <v>113.2</v>
      </c>
      <c r="AA108">
        <v>116.7</v>
      </c>
      <c r="AB108">
        <v>124</v>
      </c>
      <c r="AC108" s="10">
        <f t="shared" si="10"/>
        <v>131.21428571428572</v>
      </c>
      <c r="AD108">
        <f t="shared" si="12"/>
        <v>123.13333333333333</v>
      </c>
      <c r="AE108">
        <v>122.4</v>
      </c>
      <c r="AF108">
        <v>116</v>
      </c>
      <c r="AG108" s="1">
        <f t="shared" si="11"/>
        <v>117.80000000000001</v>
      </c>
      <c r="AH108" s="1">
        <f t="shared" si="13"/>
        <v>610.54761904761904</v>
      </c>
      <c r="AI108">
        <f t="shared" si="14"/>
        <v>25.160017896438063</v>
      </c>
      <c r="AJ108">
        <f t="shared" si="15"/>
        <v>23.6105150704444</v>
      </c>
      <c r="AK108">
        <f t="shared" si="16"/>
        <v>23.469900199965306</v>
      </c>
      <c r="AL108">
        <f t="shared" si="17"/>
        <v>22.242715875784114</v>
      </c>
      <c r="AM108">
        <f t="shared" si="18"/>
        <v>22.587861466960074</v>
      </c>
    </row>
    <row r="109" spans="1:39" x14ac:dyDescent="0.3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123.6</v>
      </c>
      <c r="V109">
        <v>121.4</v>
      </c>
      <c r="W109">
        <v>111.5</v>
      </c>
      <c r="X109">
        <v>119.6</v>
      </c>
      <c r="Y109">
        <v>126.2</v>
      </c>
      <c r="Z109">
        <v>113.7</v>
      </c>
      <c r="AA109">
        <v>118.3</v>
      </c>
      <c r="AB109">
        <v>126.1</v>
      </c>
      <c r="AC109" s="10">
        <f t="shared" si="10"/>
        <v>130.04285714285714</v>
      </c>
      <c r="AD109">
        <f t="shared" si="12"/>
        <v>127.83333333333333</v>
      </c>
      <c r="AE109">
        <v>122.4</v>
      </c>
      <c r="AF109">
        <v>122</v>
      </c>
      <c r="AG109" s="1">
        <f t="shared" si="11"/>
        <v>119.33333333333336</v>
      </c>
      <c r="AH109" s="1">
        <f t="shared" si="13"/>
        <v>621.60952380952381</v>
      </c>
      <c r="AI109">
        <f t="shared" si="14"/>
        <v>24.935399337101327</v>
      </c>
      <c r="AJ109">
        <f t="shared" si="15"/>
        <v>24.51172855851496</v>
      </c>
      <c r="AK109">
        <f t="shared" si="16"/>
        <v>23.469900199965306</v>
      </c>
      <c r="AL109">
        <f t="shared" si="17"/>
        <v>23.393201179703983</v>
      </c>
      <c r="AM109">
        <f t="shared" si="18"/>
        <v>22.881874377961822</v>
      </c>
    </row>
    <row r="110" spans="1:39" x14ac:dyDescent="0.3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>
        <v>126.6</v>
      </c>
      <c r="V110">
        <v>123.7</v>
      </c>
      <c r="W110">
        <v>113.6</v>
      </c>
      <c r="X110">
        <v>121.4</v>
      </c>
      <c r="Y110">
        <v>126.2</v>
      </c>
      <c r="Z110">
        <v>114.9</v>
      </c>
      <c r="AA110">
        <v>120.1</v>
      </c>
      <c r="AB110">
        <v>128.1</v>
      </c>
      <c r="AC110" s="10">
        <f t="shared" si="10"/>
        <v>130.26428571428571</v>
      </c>
      <c r="AD110">
        <f t="shared" si="12"/>
        <v>131.56666666666669</v>
      </c>
      <c r="AE110">
        <v>123.4</v>
      </c>
      <c r="AF110">
        <v>126.2</v>
      </c>
      <c r="AG110" s="1">
        <f t="shared" si="11"/>
        <v>121.06666666666666</v>
      </c>
      <c r="AH110" s="1">
        <f t="shared" si="13"/>
        <v>632.49761904761908</v>
      </c>
      <c r="AI110">
        <f t="shared" si="14"/>
        <v>24.977857723317413</v>
      </c>
      <c r="AJ110">
        <f t="shared" si="15"/>
        <v>25.227586080953994</v>
      </c>
      <c r="AK110">
        <f t="shared" si="16"/>
        <v>23.661647750618616</v>
      </c>
      <c r="AL110">
        <f t="shared" si="17"/>
        <v>24.198540892447891</v>
      </c>
      <c r="AM110">
        <f t="shared" si="18"/>
        <v>23.214236799094223</v>
      </c>
    </row>
    <row r="111" spans="1:39" x14ac:dyDescent="0.3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121.6</v>
      </c>
      <c r="V111">
        <v>119.1</v>
      </c>
      <c r="W111">
        <v>108.9</v>
      </c>
      <c r="X111">
        <v>118.5</v>
      </c>
      <c r="Y111">
        <v>126.4</v>
      </c>
      <c r="Z111">
        <v>114</v>
      </c>
      <c r="AA111">
        <v>116.8</v>
      </c>
      <c r="AB111">
        <v>124.2</v>
      </c>
      <c r="AC111" s="10">
        <f t="shared" si="10"/>
        <v>131.49285714285716</v>
      </c>
      <c r="AD111">
        <f t="shared" si="12"/>
        <v>123.5</v>
      </c>
      <c r="AE111">
        <v>123.4</v>
      </c>
      <c r="AF111">
        <v>116.9</v>
      </c>
      <c r="AG111" s="1">
        <f t="shared" si="11"/>
        <v>118.08333333333333</v>
      </c>
      <c r="AH111" s="1">
        <f t="shared" si="13"/>
        <v>613.37619047619057</v>
      </c>
      <c r="AI111">
        <f t="shared" si="14"/>
        <v>25.213433285548632</v>
      </c>
      <c r="AJ111">
        <f t="shared" si="15"/>
        <v>23.680822505683949</v>
      </c>
      <c r="AK111">
        <f t="shared" si="16"/>
        <v>23.661647750618616</v>
      </c>
      <c r="AL111">
        <f t="shared" si="17"/>
        <v>22.415288671372092</v>
      </c>
      <c r="AM111">
        <f t="shared" si="18"/>
        <v>22.642189939645178</v>
      </c>
    </row>
    <row r="112" spans="1:39" x14ac:dyDescent="0.3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124.2</v>
      </c>
      <c r="V112">
        <v>122</v>
      </c>
      <c r="W112">
        <v>111.1</v>
      </c>
      <c r="X112">
        <v>119.8</v>
      </c>
      <c r="Y112">
        <v>126.3</v>
      </c>
      <c r="Z112">
        <v>114.5</v>
      </c>
      <c r="AA112">
        <v>118.5</v>
      </c>
      <c r="AB112">
        <v>126.3</v>
      </c>
      <c r="AC112" s="10">
        <f t="shared" si="10"/>
        <v>130.49285714285716</v>
      </c>
      <c r="AD112">
        <f t="shared" si="12"/>
        <v>128.29999999999998</v>
      </c>
      <c r="AE112">
        <v>123.4</v>
      </c>
      <c r="AF112">
        <v>122.7</v>
      </c>
      <c r="AG112" s="1">
        <f t="shared" si="11"/>
        <v>119.64999999999999</v>
      </c>
      <c r="AH112" s="1">
        <f t="shared" si="13"/>
        <v>624.5428571428572</v>
      </c>
      <c r="AI112">
        <f t="shared" si="14"/>
        <v>25.021685734895321</v>
      </c>
      <c r="AJ112">
        <f t="shared" si="15"/>
        <v>24.601210748819838</v>
      </c>
      <c r="AK112">
        <f t="shared" si="16"/>
        <v>23.661647750618616</v>
      </c>
      <c r="AL112">
        <f t="shared" si="17"/>
        <v>23.5274244651613</v>
      </c>
      <c r="AM112">
        <f t="shared" si="18"/>
        <v>22.942594435668699</v>
      </c>
    </row>
    <row r="113" spans="1:39" x14ac:dyDescent="0.3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>
        <v>127.1</v>
      </c>
      <c r="V113">
        <v>124.3</v>
      </c>
      <c r="W113">
        <v>113.9</v>
      </c>
      <c r="X113">
        <v>122.3</v>
      </c>
      <c r="Y113">
        <v>127.1</v>
      </c>
      <c r="Z113">
        <v>116.8</v>
      </c>
      <c r="AA113">
        <v>120.9</v>
      </c>
      <c r="AB113">
        <v>127.9</v>
      </c>
      <c r="AC113" s="10">
        <f t="shared" si="10"/>
        <v>129.78571428571428</v>
      </c>
      <c r="AD113">
        <f t="shared" si="12"/>
        <v>132.36666666666667</v>
      </c>
      <c r="AE113">
        <v>124.4</v>
      </c>
      <c r="AF113">
        <v>127.5</v>
      </c>
      <c r="AG113" s="1">
        <f t="shared" si="11"/>
        <v>121.91666666666664</v>
      </c>
      <c r="AH113" s="1">
        <f t="shared" si="13"/>
        <v>635.96904761904761</v>
      </c>
      <c r="AI113">
        <f t="shared" si="14"/>
        <v>24.88609282407619</v>
      </c>
      <c r="AJ113">
        <f t="shared" si="15"/>
        <v>25.38098412147664</v>
      </c>
      <c r="AK113">
        <f t="shared" si="16"/>
        <v>23.853395301271931</v>
      </c>
      <c r="AL113">
        <f t="shared" si="17"/>
        <v>24.447812708297192</v>
      </c>
      <c r="AM113">
        <f t="shared" si="18"/>
        <v>23.377222217149534</v>
      </c>
    </row>
    <row r="114" spans="1:39" x14ac:dyDescent="0.3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121.8</v>
      </c>
      <c r="V114">
        <v>119.5</v>
      </c>
      <c r="W114">
        <v>109.1</v>
      </c>
      <c r="X114">
        <v>118.8</v>
      </c>
      <c r="Y114">
        <v>126.3</v>
      </c>
      <c r="Z114">
        <v>116.2</v>
      </c>
      <c r="AA114">
        <v>117.2</v>
      </c>
      <c r="AB114">
        <v>123.8</v>
      </c>
      <c r="AC114" s="10">
        <f t="shared" si="10"/>
        <v>129.72142857142856</v>
      </c>
      <c r="AD114">
        <f t="shared" si="12"/>
        <v>123.86666666666667</v>
      </c>
      <c r="AE114">
        <v>124.4</v>
      </c>
      <c r="AF114">
        <v>116</v>
      </c>
      <c r="AG114" s="1">
        <f t="shared" si="11"/>
        <v>118.61666666666667</v>
      </c>
      <c r="AH114" s="1">
        <f t="shared" si="13"/>
        <v>612.60476190476197</v>
      </c>
      <c r="AI114">
        <f t="shared" si="14"/>
        <v>24.873766195819904</v>
      </c>
      <c r="AJ114">
        <f t="shared" si="15"/>
        <v>23.751129940923494</v>
      </c>
      <c r="AK114">
        <f t="shared" si="16"/>
        <v>23.853395301271931</v>
      </c>
      <c r="AL114">
        <f t="shared" si="17"/>
        <v>22.242715875784114</v>
      </c>
      <c r="AM114">
        <f t="shared" si="18"/>
        <v>22.744455299993614</v>
      </c>
    </row>
    <row r="115" spans="1:39" x14ac:dyDescent="0.3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124.6</v>
      </c>
      <c r="V115">
        <v>122.5</v>
      </c>
      <c r="W115">
        <v>111.4</v>
      </c>
      <c r="X115">
        <v>120.3</v>
      </c>
      <c r="Y115">
        <v>126.6</v>
      </c>
      <c r="Z115">
        <v>116.6</v>
      </c>
      <c r="AA115">
        <v>119.1</v>
      </c>
      <c r="AB115">
        <v>126</v>
      </c>
      <c r="AC115" s="10">
        <f t="shared" si="10"/>
        <v>129.57142857142858</v>
      </c>
      <c r="AD115">
        <f t="shared" si="12"/>
        <v>128.96666666666667</v>
      </c>
      <c r="AE115">
        <v>124.4</v>
      </c>
      <c r="AF115">
        <v>123.1</v>
      </c>
      <c r="AG115" s="1">
        <f t="shared" si="11"/>
        <v>120.33333333333333</v>
      </c>
      <c r="AH115" s="1">
        <f t="shared" si="13"/>
        <v>626.37142857142862</v>
      </c>
      <c r="AI115">
        <f t="shared" si="14"/>
        <v>24.845004063221911</v>
      </c>
      <c r="AJ115">
        <f t="shared" si="15"/>
        <v>24.729042449255385</v>
      </c>
      <c r="AK115">
        <f t="shared" si="16"/>
        <v>23.853395301271931</v>
      </c>
      <c r="AL115">
        <f t="shared" si="17"/>
        <v>23.604123485422619</v>
      </c>
      <c r="AM115">
        <f t="shared" si="18"/>
        <v>23.073621928615125</v>
      </c>
    </row>
    <row r="116" spans="1:39" x14ac:dyDescent="0.3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>
        <v>127.7</v>
      </c>
      <c r="V116">
        <v>124.8</v>
      </c>
      <c r="W116">
        <v>113.6</v>
      </c>
      <c r="X116">
        <v>122.5</v>
      </c>
      <c r="Y116">
        <v>127.5</v>
      </c>
      <c r="Z116">
        <v>117.4</v>
      </c>
      <c r="AA116">
        <v>121.1</v>
      </c>
      <c r="AB116">
        <v>128</v>
      </c>
      <c r="AC116" s="10">
        <f t="shared" si="10"/>
        <v>129.83571428571432</v>
      </c>
      <c r="AD116">
        <f t="shared" si="12"/>
        <v>132.80000000000001</v>
      </c>
      <c r="AE116">
        <v>124.9</v>
      </c>
      <c r="AF116">
        <v>127</v>
      </c>
      <c r="AG116" s="1">
        <f t="shared" si="11"/>
        <v>122.25</v>
      </c>
      <c r="AH116" s="1">
        <f t="shared" si="13"/>
        <v>636.78571428571433</v>
      </c>
      <c r="AI116">
        <f t="shared" si="14"/>
        <v>24.895680201608862</v>
      </c>
      <c r="AJ116">
        <f t="shared" si="15"/>
        <v>25.464074726759744</v>
      </c>
      <c r="AK116">
        <f t="shared" si="16"/>
        <v>23.949269076598583</v>
      </c>
      <c r="AL116">
        <f t="shared" si="17"/>
        <v>24.351938932970537</v>
      </c>
      <c r="AM116">
        <f t="shared" si="18"/>
        <v>23.441138067367309</v>
      </c>
    </row>
    <row r="117" spans="1:39" x14ac:dyDescent="0.3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122.3</v>
      </c>
      <c r="V117">
        <v>119.7</v>
      </c>
      <c r="W117">
        <v>108.5</v>
      </c>
      <c r="X117">
        <v>119.1</v>
      </c>
      <c r="Y117">
        <v>126.4</v>
      </c>
      <c r="Z117">
        <v>117.1</v>
      </c>
      <c r="AA117">
        <v>117.3</v>
      </c>
      <c r="AB117">
        <v>123.8</v>
      </c>
      <c r="AC117" s="10">
        <f t="shared" si="10"/>
        <v>129.15714285714287</v>
      </c>
      <c r="AD117">
        <f t="shared" si="12"/>
        <v>124.06666666666666</v>
      </c>
      <c r="AE117">
        <v>124.9</v>
      </c>
      <c r="AF117">
        <v>114.8</v>
      </c>
      <c r="AG117" s="1">
        <f t="shared" si="11"/>
        <v>118.85000000000001</v>
      </c>
      <c r="AH117" s="1">
        <f t="shared" si="13"/>
        <v>611.77380952380952</v>
      </c>
      <c r="AI117">
        <f t="shared" si="14"/>
        <v>24.76556579223697</v>
      </c>
      <c r="AJ117">
        <f t="shared" si="15"/>
        <v>23.789479451054156</v>
      </c>
      <c r="AK117">
        <f t="shared" si="16"/>
        <v>23.949269076598583</v>
      </c>
      <c r="AL117">
        <f t="shared" si="17"/>
        <v>22.012618815000138</v>
      </c>
      <c r="AM117">
        <f t="shared" si="18"/>
        <v>22.789196395146053</v>
      </c>
    </row>
    <row r="118" spans="1:39" x14ac:dyDescent="0.3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125.1</v>
      </c>
      <c r="V118">
        <v>122.9</v>
      </c>
      <c r="W118">
        <v>110.9</v>
      </c>
      <c r="X118">
        <v>120.6</v>
      </c>
      <c r="Y118">
        <v>126.9</v>
      </c>
      <c r="Z118">
        <v>117.3</v>
      </c>
      <c r="AA118">
        <v>119.3</v>
      </c>
      <c r="AB118">
        <v>126</v>
      </c>
      <c r="AC118" s="10">
        <f t="shared" si="10"/>
        <v>129.40714285714287</v>
      </c>
      <c r="AD118">
        <f t="shared" si="12"/>
        <v>129.29999999999998</v>
      </c>
      <c r="AE118">
        <v>124.9</v>
      </c>
      <c r="AF118">
        <v>122.4</v>
      </c>
      <c r="AG118" s="1">
        <f t="shared" si="11"/>
        <v>120.61666666666666</v>
      </c>
      <c r="AH118" s="1">
        <f t="shared" si="13"/>
        <v>626.62380952380954</v>
      </c>
      <c r="AI118">
        <f t="shared" si="14"/>
        <v>24.813502679900296</v>
      </c>
      <c r="AJ118">
        <f t="shared" si="15"/>
        <v>24.792958299473149</v>
      </c>
      <c r="AK118">
        <f t="shared" si="16"/>
        <v>23.949269076598583</v>
      </c>
      <c r="AL118">
        <f t="shared" si="17"/>
        <v>23.469900199965306</v>
      </c>
      <c r="AM118">
        <f t="shared" si="18"/>
        <v>23.127950401300232</v>
      </c>
    </row>
    <row r="119" spans="1:39" x14ac:dyDescent="0.3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>
        <v>128</v>
      </c>
      <c r="V119">
        <v>125.2</v>
      </c>
      <c r="W119">
        <v>114.4</v>
      </c>
      <c r="X119">
        <v>123.2</v>
      </c>
      <c r="Y119">
        <v>127.9</v>
      </c>
      <c r="Z119">
        <v>118.4</v>
      </c>
      <c r="AA119">
        <v>121.7</v>
      </c>
      <c r="AB119">
        <v>129</v>
      </c>
      <c r="AC119" s="10">
        <f t="shared" si="10"/>
        <v>131.22142857142859</v>
      </c>
      <c r="AD119">
        <f t="shared" si="12"/>
        <v>133.33333333333334</v>
      </c>
      <c r="AE119">
        <v>125.6</v>
      </c>
      <c r="AF119">
        <v>127</v>
      </c>
      <c r="AG119" s="1">
        <f t="shared" si="11"/>
        <v>122.85000000000001</v>
      </c>
      <c r="AH119" s="1">
        <f t="shared" si="13"/>
        <v>640.00476190476195</v>
      </c>
      <c r="AI119">
        <f t="shared" si="14"/>
        <v>25.161387521799877</v>
      </c>
      <c r="AJ119">
        <f t="shared" si="15"/>
        <v>25.566340087108173</v>
      </c>
      <c r="AK119">
        <f t="shared" si="16"/>
        <v>24.0834923620559</v>
      </c>
      <c r="AL119">
        <f t="shared" si="17"/>
        <v>24.351938932970537</v>
      </c>
      <c r="AM119">
        <f t="shared" si="18"/>
        <v>23.556186597759297</v>
      </c>
    </row>
    <row r="120" spans="1:39" x14ac:dyDescent="0.3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122.8</v>
      </c>
      <c r="V120">
        <v>120</v>
      </c>
      <c r="W120">
        <v>110</v>
      </c>
      <c r="X120">
        <v>119.5</v>
      </c>
      <c r="Y120">
        <v>127.6</v>
      </c>
      <c r="Z120">
        <v>117.6</v>
      </c>
      <c r="AA120">
        <v>118.2</v>
      </c>
      <c r="AB120">
        <v>125.3</v>
      </c>
      <c r="AC120" s="10">
        <f t="shared" si="10"/>
        <v>131.98571428571429</v>
      </c>
      <c r="AD120">
        <f t="shared" si="12"/>
        <v>124.36666666666667</v>
      </c>
      <c r="AE120">
        <v>125.6</v>
      </c>
      <c r="AF120">
        <v>114.6</v>
      </c>
      <c r="AG120" s="1">
        <f t="shared" si="11"/>
        <v>119.58333333333333</v>
      </c>
      <c r="AH120" s="1">
        <f t="shared" si="13"/>
        <v>616.13571428571436</v>
      </c>
      <c r="AI120">
        <f t="shared" si="14"/>
        <v>25.307937435513477</v>
      </c>
      <c r="AJ120">
        <f t="shared" si="15"/>
        <v>23.84700371625015</v>
      </c>
      <c r="AK120">
        <f t="shared" si="16"/>
        <v>24.0834923620559</v>
      </c>
      <c r="AL120">
        <f t="shared" si="17"/>
        <v>21.974269304869477</v>
      </c>
      <c r="AM120">
        <f t="shared" si="18"/>
        <v>22.929811265625144</v>
      </c>
    </row>
    <row r="121" spans="1:39" x14ac:dyDescent="0.3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125.5</v>
      </c>
      <c r="V121">
        <v>123.2</v>
      </c>
      <c r="W121">
        <v>112.1</v>
      </c>
      <c r="X121">
        <v>121.1</v>
      </c>
      <c r="Y121">
        <v>127.7</v>
      </c>
      <c r="Z121">
        <v>118.1</v>
      </c>
      <c r="AA121">
        <v>120</v>
      </c>
      <c r="AB121">
        <v>127.3</v>
      </c>
      <c r="AC121" s="10">
        <f t="shared" si="10"/>
        <v>131.31428571428572</v>
      </c>
      <c r="AD121">
        <f t="shared" si="12"/>
        <v>129.73333333333335</v>
      </c>
      <c r="AE121">
        <v>125.6</v>
      </c>
      <c r="AF121">
        <v>122.3</v>
      </c>
      <c r="AG121" s="1">
        <f t="shared" si="11"/>
        <v>121.28333333333335</v>
      </c>
      <c r="AH121" s="1">
        <f t="shared" si="13"/>
        <v>630.23095238095243</v>
      </c>
      <c r="AI121">
        <f t="shared" si="14"/>
        <v>25.179192651503396</v>
      </c>
      <c r="AJ121">
        <f t="shared" si="15"/>
        <v>24.876048904756257</v>
      </c>
      <c r="AK121">
        <f t="shared" si="16"/>
        <v>24.0834923620559</v>
      </c>
      <c r="AL121">
        <f t="shared" si="17"/>
        <v>23.450725444899973</v>
      </c>
      <c r="AM121">
        <f t="shared" si="18"/>
        <v>23.255782101735775</v>
      </c>
    </row>
    <row r="122" spans="1:39" x14ac:dyDescent="0.3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>
        <v>128.5</v>
      </c>
      <c r="V122">
        <v>125.8</v>
      </c>
      <c r="W122">
        <v>115.1</v>
      </c>
      <c r="X122">
        <v>123.6</v>
      </c>
      <c r="Y122">
        <v>129.1</v>
      </c>
      <c r="Z122">
        <v>119.7</v>
      </c>
      <c r="AA122">
        <v>122.5</v>
      </c>
      <c r="AB122">
        <v>130.30000000000001</v>
      </c>
      <c r="AC122" s="10">
        <f t="shared" si="10"/>
        <v>132.83571428571426</v>
      </c>
      <c r="AD122">
        <f t="shared" si="12"/>
        <v>133.76666666666668</v>
      </c>
      <c r="AE122">
        <v>126</v>
      </c>
      <c r="AF122">
        <v>127.4</v>
      </c>
      <c r="AG122" s="1">
        <f t="shared" si="11"/>
        <v>123.63333333333334</v>
      </c>
      <c r="AH122" s="1">
        <f t="shared" si="13"/>
        <v>643.63571428571424</v>
      </c>
      <c r="AI122">
        <f t="shared" si="14"/>
        <v>25.470922853568783</v>
      </c>
      <c r="AJ122">
        <f t="shared" si="15"/>
        <v>25.649430692391277</v>
      </c>
      <c r="AK122">
        <f t="shared" si="16"/>
        <v>24.160191382317226</v>
      </c>
      <c r="AL122">
        <f t="shared" si="17"/>
        <v>24.428637953231863</v>
      </c>
      <c r="AM122">
        <f t="shared" si="18"/>
        <v>23.706388845771055</v>
      </c>
    </row>
    <row r="123" spans="1:39" x14ac:dyDescent="0.3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123.2</v>
      </c>
      <c r="V123">
        <v>120.3</v>
      </c>
      <c r="W123">
        <v>110.7</v>
      </c>
      <c r="X123">
        <v>119.8</v>
      </c>
      <c r="Y123">
        <v>128</v>
      </c>
      <c r="Z123">
        <v>118.5</v>
      </c>
      <c r="AA123">
        <v>118.7</v>
      </c>
      <c r="AB123">
        <v>126.6</v>
      </c>
      <c r="AC123" s="10">
        <f t="shared" si="10"/>
        <v>134.92857142857142</v>
      </c>
      <c r="AD123">
        <f t="shared" si="12"/>
        <v>124.7</v>
      </c>
      <c r="AE123">
        <v>126</v>
      </c>
      <c r="AF123">
        <v>115</v>
      </c>
      <c r="AG123" s="1">
        <f t="shared" si="11"/>
        <v>120.08333333333333</v>
      </c>
      <c r="AH123" s="1">
        <f t="shared" si="13"/>
        <v>620.71190476190475</v>
      </c>
      <c r="AI123">
        <f t="shared" si="14"/>
        <v>25.872223084578934</v>
      </c>
      <c r="AJ123">
        <f t="shared" si="15"/>
        <v>23.910919566467921</v>
      </c>
      <c r="AK123">
        <f t="shared" si="16"/>
        <v>24.160191382317226</v>
      </c>
      <c r="AL123">
        <f t="shared" si="17"/>
        <v>22.0509683251308</v>
      </c>
      <c r="AM123">
        <f t="shared" si="18"/>
        <v>23.025685040951799</v>
      </c>
    </row>
    <row r="124" spans="1:39" x14ac:dyDescent="0.3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123.7</v>
      </c>
      <c r="W124">
        <v>112.8</v>
      </c>
      <c r="X124">
        <v>121.5</v>
      </c>
      <c r="Y124">
        <v>128.5</v>
      </c>
      <c r="Z124">
        <v>119.2</v>
      </c>
      <c r="AA124">
        <v>120.7</v>
      </c>
      <c r="AB124">
        <v>128.6</v>
      </c>
      <c r="AC124" s="10">
        <f t="shared" si="10"/>
        <v>133.43571428571428</v>
      </c>
      <c r="AD124">
        <f t="shared" si="12"/>
        <v>130.13333333333333</v>
      </c>
      <c r="AE124">
        <v>126</v>
      </c>
      <c r="AF124">
        <v>122.7</v>
      </c>
      <c r="AG124" s="1">
        <f t="shared" si="11"/>
        <v>121.95</v>
      </c>
      <c r="AH124" s="1">
        <f t="shared" si="13"/>
        <v>634.21904761904773</v>
      </c>
      <c r="AI124">
        <f t="shared" si="14"/>
        <v>25.585971383960775</v>
      </c>
      <c r="AJ124">
        <f t="shared" si="15"/>
        <v>24.952747925017576</v>
      </c>
      <c r="AK124">
        <f t="shared" si="16"/>
        <v>24.160191382317226</v>
      </c>
      <c r="AL124">
        <f t="shared" si="17"/>
        <v>23.5274244651613</v>
      </c>
      <c r="AM124">
        <f t="shared" si="18"/>
        <v>23.383613802171315</v>
      </c>
    </row>
    <row r="125" spans="1:39" x14ac:dyDescent="0.3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>
        <v>129.30000000000001</v>
      </c>
      <c r="V125">
        <v>126.2</v>
      </c>
      <c r="W125">
        <v>116.3</v>
      </c>
      <c r="X125">
        <v>124.1</v>
      </c>
      <c r="Y125">
        <v>130.19999999999999</v>
      </c>
      <c r="Z125">
        <v>119.9</v>
      </c>
      <c r="AA125">
        <v>123.3</v>
      </c>
      <c r="AB125">
        <v>131.9</v>
      </c>
      <c r="AC125" s="10">
        <f t="shared" si="10"/>
        <v>134.69999999999999</v>
      </c>
      <c r="AD125">
        <f t="shared" si="12"/>
        <v>134.5</v>
      </c>
      <c r="AE125">
        <v>125.5</v>
      </c>
      <c r="AF125">
        <v>128</v>
      </c>
      <c r="AG125" s="1">
        <f t="shared" si="11"/>
        <v>124.33333333333331</v>
      </c>
      <c r="AH125" s="1">
        <f t="shared" si="13"/>
        <v>647.0333333333333</v>
      </c>
      <c r="AI125">
        <f t="shared" si="14"/>
        <v>25.828395073001033</v>
      </c>
      <c r="AJ125">
        <f t="shared" si="15"/>
        <v>25.790045562870372</v>
      </c>
      <c r="AK125">
        <f t="shared" si="16"/>
        <v>24.064317606990571</v>
      </c>
      <c r="AL125">
        <f t="shared" si="17"/>
        <v>24.543686483623848</v>
      </c>
      <c r="AM125">
        <f t="shared" si="18"/>
        <v>23.840612131228369</v>
      </c>
    </row>
    <row r="126" spans="1:39" x14ac:dyDescent="0.3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123.2</v>
      </c>
      <c r="V126">
        <v>120.6</v>
      </c>
      <c r="W126">
        <v>112.3</v>
      </c>
      <c r="X126">
        <v>119.9</v>
      </c>
      <c r="Y126">
        <v>129.30000000000001</v>
      </c>
      <c r="Z126">
        <v>118.8</v>
      </c>
      <c r="AA126">
        <v>119.6</v>
      </c>
      <c r="AB126">
        <v>128.1</v>
      </c>
      <c r="AC126" s="10">
        <f t="shared" si="10"/>
        <v>137.83571428571432</v>
      </c>
      <c r="AD126">
        <f t="shared" si="12"/>
        <v>125.09999999999998</v>
      </c>
      <c r="AE126">
        <v>125.5</v>
      </c>
      <c r="AF126">
        <v>115.5</v>
      </c>
      <c r="AG126" s="1">
        <f t="shared" si="11"/>
        <v>120.68333333333332</v>
      </c>
      <c r="AH126" s="1">
        <f t="shared" si="13"/>
        <v>624.61904761904759</v>
      </c>
      <c r="AI126">
        <f t="shared" si="14"/>
        <v>26.429660606835352</v>
      </c>
      <c r="AJ126">
        <f t="shared" si="15"/>
        <v>23.987618586729241</v>
      </c>
      <c r="AK126">
        <f t="shared" si="16"/>
        <v>24.064317606990571</v>
      </c>
      <c r="AL126">
        <f t="shared" si="17"/>
        <v>22.146842100457455</v>
      </c>
      <c r="AM126">
        <f t="shared" si="18"/>
        <v>23.140733571343787</v>
      </c>
    </row>
    <row r="127" spans="1:39" x14ac:dyDescent="0.3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126.4</v>
      </c>
      <c r="V127">
        <v>124.1</v>
      </c>
      <c r="W127">
        <v>114.2</v>
      </c>
      <c r="X127">
        <v>121.7</v>
      </c>
      <c r="Y127">
        <v>129.69999999999999</v>
      </c>
      <c r="Z127">
        <v>119.4</v>
      </c>
      <c r="AA127">
        <v>121.5</v>
      </c>
      <c r="AB127">
        <v>130.1</v>
      </c>
      <c r="AC127" s="10">
        <f t="shared" si="10"/>
        <v>135.66428571428571</v>
      </c>
      <c r="AD127">
        <f t="shared" si="12"/>
        <v>130.70000000000002</v>
      </c>
      <c r="AE127">
        <v>125.5</v>
      </c>
      <c r="AF127">
        <v>123.3</v>
      </c>
      <c r="AG127" s="1">
        <f t="shared" si="11"/>
        <v>122.58333333333331</v>
      </c>
      <c r="AH127" s="1">
        <f t="shared" si="13"/>
        <v>637.74761904761908</v>
      </c>
      <c r="AI127">
        <f t="shared" si="14"/>
        <v>26.013294496845297</v>
      </c>
      <c r="AJ127">
        <f t="shared" si="15"/>
        <v>25.061404870387793</v>
      </c>
      <c r="AK127">
        <f t="shared" si="16"/>
        <v>24.064317606990571</v>
      </c>
      <c r="AL127">
        <f t="shared" si="17"/>
        <v>23.642472995553284</v>
      </c>
      <c r="AM127">
        <f t="shared" si="18"/>
        <v>23.505053917585077</v>
      </c>
    </row>
    <row r="128" spans="1:39" x14ac:dyDescent="0.3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>
        <v>130</v>
      </c>
      <c r="V128">
        <v>126.7</v>
      </c>
      <c r="W128">
        <v>116.4</v>
      </c>
      <c r="X128">
        <v>125.2</v>
      </c>
      <c r="Y128">
        <v>130.80000000000001</v>
      </c>
      <c r="Z128">
        <v>120.9</v>
      </c>
      <c r="AA128">
        <v>123.8</v>
      </c>
      <c r="AB128">
        <v>133</v>
      </c>
      <c r="AC128" s="10">
        <f t="shared" si="10"/>
        <v>136.30714285714285</v>
      </c>
      <c r="AD128">
        <f t="shared" si="12"/>
        <v>135.29999999999998</v>
      </c>
      <c r="AE128">
        <v>126.4</v>
      </c>
      <c r="AF128">
        <v>128.19999999999999</v>
      </c>
      <c r="AG128" s="1">
        <f t="shared" si="11"/>
        <v>125</v>
      </c>
      <c r="AH128" s="1">
        <f t="shared" si="13"/>
        <v>651.2071428571428</v>
      </c>
      <c r="AI128">
        <f t="shared" si="14"/>
        <v>26.136560779408143</v>
      </c>
      <c r="AJ128">
        <f t="shared" si="15"/>
        <v>25.943443603393018</v>
      </c>
      <c r="AK128">
        <f t="shared" si="16"/>
        <v>24.236890402578553</v>
      </c>
      <c r="AL128">
        <f t="shared" si="17"/>
        <v>24.582035993754509</v>
      </c>
      <c r="AM128">
        <f t="shared" si="18"/>
        <v>23.968443831663912</v>
      </c>
    </row>
    <row r="129" spans="1:39" x14ac:dyDescent="0.3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123.5</v>
      </c>
      <c r="V129">
        <v>120.9</v>
      </c>
      <c r="W129">
        <v>111.7</v>
      </c>
      <c r="X129">
        <v>120.3</v>
      </c>
      <c r="Y129">
        <v>130.80000000000001</v>
      </c>
      <c r="Z129">
        <v>120</v>
      </c>
      <c r="AA129">
        <v>119.9</v>
      </c>
      <c r="AB129">
        <v>129</v>
      </c>
      <c r="AC129" s="10">
        <f t="shared" si="10"/>
        <v>139.60000000000002</v>
      </c>
      <c r="AD129">
        <f t="shared" si="12"/>
        <v>125.3</v>
      </c>
      <c r="AE129">
        <v>126.4</v>
      </c>
      <c r="AF129">
        <v>115.5</v>
      </c>
      <c r="AG129" s="1">
        <f t="shared" si="11"/>
        <v>121.2</v>
      </c>
      <c r="AH129" s="1">
        <f t="shared" si="13"/>
        <v>628.00000000000011</v>
      </c>
      <c r="AI129">
        <f t="shared" si="14"/>
        <v>26.767958071202262</v>
      </c>
      <c r="AJ129">
        <f t="shared" si="15"/>
        <v>24.025968096859906</v>
      </c>
      <c r="AK129">
        <f t="shared" si="16"/>
        <v>24.236890402578553</v>
      </c>
      <c r="AL129">
        <f t="shared" si="17"/>
        <v>22.146842100457455</v>
      </c>
      <c r="AM129">
        <f t="shared" si="18"/>
        <v>23.23980313918133</v>
      </c>
    </row>
    <row r="130" spans="1:39" x14ac:dyDescent="0.3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126.9</v>
      </c>
      <c r="V130">
        <v>124.5</v>
      </c>
      <c r="W130">
        <v>113.9</v>
      </c>
      <c r="X130">
        <v>122.4</v>
      </c>
      <c r="Y130">
        <v>130.80000000000001</v>
      </c>
      <c r="Z130">
        <v>120.5</v>
      </c>
      <c r="AA130">
        <v>121.9</v>
      </c>
      <c r="AB130">
        <v>131.1</v>
      </c>
      <c r="AC130" s="10">
        <f t="shared" ref="AC130:AC193" si="19">AVERAGE(D130:Q130)</f>
        <v>137.34285714285713</v>
      </c>
      <c r="AD130">
        <f t="shared" si="12"/>
        <v>131.26666666666668</v>
      </c>
      <c r="AE130">
        <v>126.4</v>
      </c>
      <c r="AF130">
        <v>123.4</v>
      </c>
      <c r="AG130" s="1">
        <f t="shared" ref="AG130:AG193" si="20">AVERAGE(U130:Z130)</f>
        <v>123.16666666666667</v>
      </c>
      <c r="AH130" s="1">
        <f t="shared" si="13"/>
        <v>641.57619047619039</v>
      </c>
      <c r="AI130">
        <f t="shared" si="14"/>
        <v>26.335156456870497</v>
      </c>
      <c r="AJ130">
        <f t="shared" si="15"/>
        <v>25.170061815758</v>
      </c>
      <c r="AK130">
        <f t="shared" si="16"/>
        <v>24.236890402578553</v>
      </c>
      <c r="AL130">
        <f t="shared" si="17"/>
        <v>23.661647750618616</v>
      </c>
      <c r="AM130">
        <f t="shared" si="18"/>
        <v>23.616906655466178</v>
      </c>
    </row>
    <row r="131" spans="1:39" x14ac:dyDescent="0.3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>
        <v>130.6</v>
      </c>
      <c r="V131">
        <v>127</v>
      </c>
      <c r="W131">
        <v>116</v>
      </c>
      <c r="X131">
        <v>125.5</v>
      </c>
      <c r="Y131">
        <v>131.9</v>
      </c>
      <c r="Z131">
        <v>122</v>
      </c>
      <c r="AA131">
        <v>124.2</v>
      </c>
      <c r="AB131">
        <v>133.5</v>
      </c>
      <c r="AC131" s="10">
        <f t="shared" si="19"/>
        <v>136.88571428571427</v>
      </c>
      <c r="AD131">
        <f t="shared" ref="AD131:AD194" si="21">AVERAGE(R131:T131)</f>
        <v>135.96666666666667</v>
      </c>
      <c r="AE131">
        <v>127.3</v>
      </c>
      <c r="AF131">
        <v>129.1</v>
      </c>
      <c r="AG131" s="1">
        <f t="shared" si="20"/>
        <v>125.5</v>
      </c>
      <c r="AH131" s="1">
        <f t="shared" ref="AH131:AH194" si="22">SUM(AC131:AG131)</f>
        <v>654.75238095238092</v>
      </c>
      <c r="AI131">
        <f t="shared" ref="AI131:AI194" si="23">AC131/$AH$2*100</f>
        <v>26.247500433714698</v>
      </c>
      <c r="AJ131">
        <f t="shared" ref="AJ131:AJ194" si="24">AD131/$AH$2*100</f>
        <v>26.071275303828561</v>
      </c>
      <c r="AK131">
        <f t="shared" ref="AK131:AK194" si="25">AE131/$AH$2*100</f>
        <v>24.409463198166531</v>
      </c>
      <c r="AL131">
        <f t="shared" ref="AL131:AL194" si="26">AF131/$AH$2*100</f>
        <v>24.754608789342488</v>
      </c>
      <c r="AM131">
        <f t="shared" ref="AM131:AM194" si="27">AG131/$AH$2*100</f>
        <v>24.064317606990571</v>
      </c>
    </row>
    <row r="132" spans="1:39" x14ac:dyDescent="0.3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123.9</v>
      </c>
      <c r="V132">
        <v>121.2</v>
      </c>
      <c r="W132">
        <v>110.4</v>
      </c>
      <c r="X132">
        <v>120.6</v>
      </c>
      <c r="Y132">
        <v>131.5</v>
      </c>
      <c r="Z132">
        <v>120.9</v>
      </c>
      <c r="AA132">
        <v>119.9</v>
      </c>
      <c r="AB132">
        <v>128.4</v>
      </c>
      <c r="AC132" s="10">
        <f t="shared" si="19"/>
        <v>137.68571428571425</v>
      </c>
      <c r="AD132">
        <f t="shared" si="21"/>
        <v>125.66666666666667</v>
      </c>
      <c r="AE132">
        <v>127.3</v>
      </c>
      <c r="AF132">
        <v>114.7</v>
      </c>
      <c r="AG132" s="1">
        <f t="shared" si="20"/>
        <v>121.41666666666667</v>
      </c>
      <c r="AH132" s="1">
        <f t="shared" si="22"/>
        <v>626.76904761904757</v>
      </c>
      <c r="AI132">
        <f t="shared" si="23"/>
        <v>26.400898474237344</v>
      </c>
      <c r="AJ132">
        <f t="shared" si="24"/>
        <v>24.096275532099458</v>
      </c>
      <c r="AK132">
        <f t="shared" si="25"/>
        <v>24.409463198166531</v>
      </c>
      <c r="AL132">
        <f t="shared" si="26"/>
        <v>21.993444059934809</v>
      </c>
      <c r="AM132">
        <f t="shared" si="27"/>
        <v>23.281348441822882</v>
      </c>
    </row>
    <row r="133" spans="1:39" x14ac:dyDescent="0.3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127.4</v>
      </c>
      <c r="V133">
        <v>124.8</v>
      </c>
      <c r="W133">
        <v>113.1</v>
      </c>
      <c r="X133">
        <v>122.7</v>
      </c>
      <c r="Y133">
        <v>131.69999999999999</v>
      </c>
      <c r="Z133">
        <v>121.5</v>
      </c>
      <c r="AA133">
        <v>122.1</v>
      </c>
      <c r="AB133">
        <v>131.1</v>
      </c>
      <c r="AC133" s="10">
        <f t="shared" si="19"/>
        <v>137.00714285714287</v>
      </c>
      <c r="AD133">
        <f t="shared" si="21"/>
        <v>131.83333333333331</v>
      </c>
      <c r="AE133">
        <v>127.3</v>
      </c>
      <c r="AF133">
        <v>123.6</v>
      </c>
      <c r="AG133" s="1">
        <f t="shared" si="20"/>
        <v>123.53333333333332</v>
      </c>
      <c r="AH133" s="1">
        <f t="shared" si="22"/>
        <v>643.27380952380952</v>
      </c>
      <c r="AI133">
        <f t="shared" si="23"/>
        <v>26.27078406486546</v>
      </c>
      <c r="AJ133">
        <f t="shared" si="24"/>
        <v>25.278718761128204</v>
      </c>
      <c r="AK133">
        <f t="shared" si="25"/>
        <v>24.409463198166531</v>
      </c>
      <c r="AL133">
        <f t="shared" si="26"/>
        <v>23.699997260749278</v>
      </c>
      <c r="AM133">
        <f t="shared" si="27"/>
        <v>23.687214090705723</v>
      </c>
    </row>
    <row r="134" spans="1:39" x14ac:dyDescent="0.3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>
        <v>131.1</v>
      </c>
      <c r="V134">
        <v>127.8</v>
      </c>
      <c r="W134">
        <v>117</v>
      </c>
      <c r="X134">
        <v>125.7</v>
      </c>
      <c r="Y134">
        <v>132.19999999999999</v>
      </c>
      <c r="Z134">
        <v>122.8</v>
      </c>
      <c r="AA134">
        <v>124.9</v>
      </c>
      <c r="AB134">
        <v>133.4</v>
      </c>
      <c r="AC134" s="10">
        <f t="shared" si="19"/>
        <v>136.47142857142859</v>
      </c>
      <c r="AD134">
        <f t="shared" si="21"/>
        <v>136.6</v>
      </c>
      <c r="AE134">
        <v>127.9</v>
      </c>
      <c r="AF134">
        <v>129.69999999999999</v>
      </c>
      <c r="AG134" s="1">
        <f t="shared" si="20"/>
        <v>126.09999999999998</v>
      </c>
      <c r="AH134" s="1">
        <f t="shared" si="22"/>
        <v>656.7714285714286</v>
      </c>
      <c r="AI134">
        <f t="shared" si="23"/>
        <v>26.168062162729761</v>
      </c>
      <c r="AJ134">
        <f t="shared" si="24"/>
        <v>26.192715419242322</v>
      </c>
      <c r="AK134">
        <f t="shared" si="25"/>
        <v>24.524511728558519</v>
      </c>
      <c r="AL134">
        <f t="shared" si="26"/>
        <v>24.869657319734475</v>
      </c>
      <c r="AM134">
        <f t="shared" si="27"/>
        <v>24.179366137382551</v>
      </c>
    </row>
    <row r="135" spans="1:39" x14ac:dyDescent="0.3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124.3</v>
      </c>
      <c r="V135">
        <v>121.4</v>
      </c>
      <c r="W135">
        <v>111.8</v>
      </c>
      <c r="X135">
        <v>120.8</v>
      </c>
      <c r="Y135">
        <v>131.6</v>
      </c>
      <c r="Z135">
        <v>121.2</v>
      </c>
      <c r="AA135">
        <v>120.5</v>
      </c>
      <c r="AB135">
        <v>128</v>
      </c>
      <c r="AC135" s="10">
        <f t="shared" si="19"/>
        <v>135.73571428571427</v>
      </c>
      <c r="AD135">
        <f t="shared" si="21"/>
        <v>126</v>
      </c>
      <c r="AE135">
        <v>127.9</v>
      </c>
      <c r="AF135">
        <v>114.8</v>
      </c>
      <c r="AG135" s="1">
        <f t="shared" si="20"/>
        <v>121.85000000000001</v>
      </c>
      <c r="AH135" s="1">
        <f t="shared" si="22"/>
        <v>626.28571428571422</v>
      </c>
      <c r="AI135">
        <f t="shared" si="23"/>
        <v>26.026990750463391</v>
      </c>
      <c r="AJ135">
        <f t="shared" si="24"/>
        <v>24.160191382317226</v>
      </c>
      <c r="AK135">
        <f t="shared" si="25"/>
        <v>24.524511728558519</v>
      </c>
      <c r="AL135">
        <f t="shared" si="26"/>
        <v>22.012618815000138</v>
      </c>
      <c r="AM135">
        <f t="shared" si="27"/>
        <v>23.364439047105986</v>
      </c>
    </row>
    <row r="136" spans="1:39" x14ac:dyDescent="0.3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125.4</v>
      </c>
      <c r="W136">
        <v>114.3</v>
      </c>
      <c r="X136">
        <v>122.9</v>
      </c>
      <c r="Y136">
        <v>131.80000000000001</v>
      </c>
      <c r="Z136">
        <v>122.1</v>
      </c>
      <c r="AA136">
        <v>122.8</v>
      </c>
      <c r="AB136">
        <v>130.9</v>
      </c>
      <c r="AC136" s="10">
        <f t="shared" si="19"/>
        <v>136.04999999999998</v>
      </c>
      <c r="AD136">
        <f t="shared" si="21"/>
        <v>132.33333333333334</v>
      </c>
      <c r="AE136">
        <v>127.9</v>
      </c>
      <c r="AF136">
        <v>124.1</v>
      </c>
      <c r="AG136" s="1">
        <f t="shared" si="20"/>
        <v>124.06666666666666</v>
      </c>
      <c r="AH136" s="1">
        <f t="shared" si="22"/>
        <v>644.45000000000005</v>
      </c>
      <c r="AI136">
        <f t="shared" si="23"/>
        <v>26.087254266383002</v>
      </c>
      <c r="AJ136">
        <f t="shared" si="24"/>
        <v>25.374592536454866</v>
      </c>
      <c r="AK136">
        <f t="shared" si="25"/>
        <v>24.524511728558519</v>
      </c>
      <c r="AL136">
        <f t="shared" si="26"/>
        <v>23.795871036075933</v>
      </c>
      <c r="AM136">
        <f t="shared" si="27"/>
        <v>23.789479451054156</v>
      </c>
    </row>
    <row r="137" spans="1:39" x14ac:dyDescent="0.3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>
        <v>131.80000000000001</v>
      </c>
      <c r="V137">
        <v>128.69999999999999</v>
      </c>
      <c r="W137">
        <v>117.8</v>
      </c>
      <c r="X137">
        <v>126.5</v>
      </c>
      <c r="Y137">
        <v>133</v>
      </c>
      <c r="Z137">
        <v>123</v>
      </c>
      <c r="AA137">
        <v>125.7</v>
      </c>
      <c r="AB137">
        <v>133.80000000000001</v>
      </c>
      <c r="AC137" s="10">
        <f t="shared" si="19"/>
        <v>136.62142857142859</v>
      </c>
      <c r="AD137">
        <f t="shared" si="21"/>
        <v>137.56666666666666</v>
      </c>
      <c r="AE137">
        <v>128.69999999999999</v>
      </c>
      <c r="AF137">
        <v>129.80000000000001</v>
      </c>
      <c r="AG137" s="1">
        <f t="shared" si="20"/>
        <v>126.8</v>
      </c>
      <c r="AH137" s="1">
        <f t="shared" si="22"/>
        <v>659.48809523809518</v>
      </c>
      <c r="AI137">
        <f t="shared" si="23"/>
        <v>26.196824295327758</v>
      </c>
      <c r="AJ137">
        <f t="shared" si="24"/>
        <v>26.378071384873859</v>
      </c>
      <c r="AK137">
        <f t="shared" si="25"/>
        <v>24.677909769081165</v>
      </c>
      <c r="AL137">
        <f t="shared" si="26"/>
        <v>24.888832074799812</v>
      </c>
      <c r="AM137">
        <f t="shared" si="27"/>
        <v>24.313589422839872</v>
      </c>
    </row>
    <row r="138" spans="1:39" x14ac:dyDescent="0.3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124.5</v>
      </c>
      <c r="V138">
        <v>121.8</v>
      </c>
      <c r="W138">
        <v>112.8</v>
      </c>
      <c r="X138">
        <v>121.2</v>
      </c>
      <c r="Y138">
        <v>131.9</v>
      </c>
      <c r="Z138">
        <v>120.8</v>
      </c>
      <c r="AA138">
        <v>120.9</v>
      </c>
      <c r="AB138">
        <v>128.6</v>
      </c>
      <c r="AC138" s="10">
        <f t="shared" si="19"/>
        <v>136.22857142857143</v>
      </c>
      <c r="AD138">
        <f t="shared" si="21"/>
        <v>126.33333333333333</v>
      </c>
      <c r="AE138">
        <v>128.69999999999999</v>
      </c>
      <c r="AF138">
        <v>115.2</v>
      </c>
      <c r="AG138" s="1">
        <f t="shared" si="20"/>
        <v>122.16666666666667</v>
      </c>
      <c r="AH138" s="1">
        <f t="shared" si="22"/>
        <v>628.62857142857138</v>
      </c>
      <c r="AI138">
        <f t="shared" si="23"/>
        <v>26.121494900428239</v>
      </c>
      <c r="AJ138">
        <f t="shared" si="24"/>
        <v>24.224107232534994</v>
      </c>
      <c r="AK138">
        <f t="shared" si="25"/>
        <v>24.677909769081165</v>
      </c>
      <c r="AL138">
        <f t="shared" si="26"/>
        <v>22.089317835261461</v>
      </c>
      <c r="AM138">
        <f t="shared" si="27"/>
        <v>23.425159104812867</v>
      </c>
    </row>
    <row r="139" spans="1:39" x14ac:dyDescent="0.3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128.4</v>
      </c>
      <c r="V139">
        <v>126.1</v>
      </c>
      <c r="W139">
        <v>115.2</v>
      </c>
      <c r="X139">
        <v>123.5</v>
      </c>
      <c r="Y139">
        <v>132.4</v>
      </c>
      <c r="Z139">
        <v>122.1</v>
      </c>
      <c r="AA139">
        <v>123.4</v>
      </c>
      <c r="AB139">
        <v>131.4</v>
      </c>
      <c r="AC139" s="10">
        <f t="shared" si="19"/>
        <v>136.32857142857139</v>
      </c>
      <c r="AD139">
        <f t="shared" si="21"/>
        <v>133.03333333333333</v>
      </c>
      <c r="AE139">
        <v>128.69999999999999</v>
      </c>
      <c r="AF139">
        <v>124.3</v>
      </c>
      <c r="AG139" s="1">
        <f t="shared" si="20"/>
        <v>124.61666666666667</v>
      </c>
      <c r="AH139" s="1">
        <f t="shared" si="22"/>
        <v>646.9785714285714</v>
      </c>
      <c r="AI139">
        <f t="shared" si="23"/>
        <v>26.140669655493564</v>
      </c>
      <c r="AJ139">
        <f t="shared" si="24"/>
        <v>25.508815821912183</v>
      </c>
      <c r="AK139">
        <f t="shared" si="25"/>
        <v>24.677909769081165</v>
      </c>
      <c r="AL139">
        <f t="shared" si="26"/>
        <v>23.834220546206598</v>
      </c>
      <c r="AM139">
        <f t="shared" si="27"/>
        <v>23.894940603913479</v>
      </c>
    </row>
    <row r="140" spans="1:39" x14ac:dyDescent="0.3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>
        <v>132.1</v>
      </c>
      <c r="V140">
        <v>129.1</v>
      </c>
      <c r="W140">
        <v>118.2</v>
      </c>
      <c r="X140">
        <v>126.9</v>
      </c>
      <c r="Y140">
        <v>133.69999999999999</v>
      </c>
      <c r="Z140">
        <v>123.5</v>
      </c>
      <c r="AA140">
        <v>126.1</v>
      </c>
      <c r="AB140">
        <v>133.6</v>
      </c>
      <c r="AC140" s="10">
        <f t="shared" si="19"/>
        <v>136.12857142857143</v>
      </c>
      <c r="AD140">
        <f t="shared" si="21"/>
        <v>137.86666666666665</v>
      </c>
      <c r="AE140">
        <v>129.1</v>
      </c>
      <c r="AF140">
        <v>130.30000000000001</v>
      </c>
      <c r="AG140" s="1">
        <f t="shared" si="20"/>
        <v>127.25</v>
      </c>
      <c r="AH140" s="1">
        <f t="shared" si="22"/>
        <v>660.64523809523803</v>
      </c>
      <c r="AI140">
        <f t="shared" si="23"/>
        <v>26.102320145362906</v>
      </c>
      <c r="AJ140">
        <f t="shared" si="24"/>
        <v>26.43559565006985</v>
      </c>
      <c r="AK140">
        <f t="shared" si="25"/>
        <v>24.754608789342488</v>
      </c>
      <c r="AL140">
        <f t="shared" si="26"/>
        <v>24.984705850126467</v>
      </c>
      <c r="AM140">
        <f t="shared" si="27"/>
        <v>24.399875820633866</v>
      </c>
    </row>
    <row r="141" spans="1:39" x14ac:dyDescent="0.3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124.7</v>
      </c>
      <c r="V141">
        <v>122.1</v>
      </c>
      <c r="W141">
        <v>113.4</v>
      </c>
      <c r="X141">
        <v>121.7</v>
      </c>
      <c r="Y141">
        <v>132.1</v>
      </c>
      <c r="Z141">
        <v>121.3</v>
      </c>
      <c r="AA141">
        <v>121.3</v>
      </c>
      <c r="AB141">
        <v>128.5</v>
      </c>
      <c r="AC141" s="10">
        <f t="shared" si="19"/>
        <v>135.67857142857142</v>
      </c>
      <c r="AD141">
        <f t="shared" si="21"/>
        <v>126.73333333333333</v>
      </c>
      <c r="AE141">
        <v>129.1</v>
      </c>
      <c r="AF141">
        <v>116.2</v>
      </c>
      <c r="AG141" s="1">
        <f t="shared" si="20"/>
        <v>122.55</v>
      </c>
      <c r="AH141" s="1">
        <f t="shared" si="22"/>
        <v>630.2619047619047</v>
      </c>
      <c r="AI141">
        <f t="shared" si="23"/>
        <v>26.016033747568919</v>
      </c>
      <c r="AJ141">
        <f t="shared" si="24"/>
        <v>24.30080625279632</v>
      </c>
      <c r="AK141">
        <f t="shared" si="25"/>
        <v>24.754608789342488</v>
      </c>
      <c r="AL141">
        <f t="shared" si="26"/>
        <v>22.281065385914776</v>
      </c>
      <c r="AM141">
        <f t="shared" si="27"/>
        <v>23.498662332563299</v>
      </c>
    </row>
    <row r="142" spans="1:39" x14ac:dyDescent="0.3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128.6</v>
      </c>
      <c r="V142">
        <v>126.4</v>
      </c>
      <c r="W142">
        <v>115.7</v>
      </c>
      <c r="X142">
        <v>124</v>
      </c>
      <c r="Y142">
        <v>132.80000000000001</v>
      </c>
      <c r="Z142">
        <v>122.6</v>
      </c>
      <c r="AA142">
        <v>123.8</v>
      </c>
      <c r="AB142">
        <v>131.19999999999999</v>
      </c>
      <c r="AC142" s="10">
        <f t="shared" si="19"/>
        <v>135.84285714285713</v>
      </c>
      <c r="AD142">
        <f t="shared" si="21"/>
        <v>133.36666666666667</v>
      </c>
      <c r="AE142">
        <v>129.1</v>
      </c>
      <c r="AF142">
        <v>125</v>
      </c>
      <c r="AG142" s="1">
        <f t="shared" si="20"/>
        <v>125.01666666666667</v>
      </c>
      <c r="AH142" s="1">
        <f t="shared" si="22"/>
        <v>648.3261904761905</v>
      </c>
      <c r="AI142">
        <f t="shared" si="23"/>
        <v>26.04753513089053</v>
      </c>
      <c r="AJ142">
        <f t="shared" si="24"/>
        <v>25.572731672129954</v>
      </c>
      <c r="AK142">
        <f t="shared" si="25"/>
        <v>24.754608789342488</v>
      </c>
      <c r="AL142">
        <f t="shared" si="26"/>
        <v>23.968443831663912</v>
      </c>
      <c r="AM142">
        <f t="shared" si="27"/>
        <v>23.971639624174802</v>
      </c>
    </row>
    <row r="143" spans="1:39" x14ac:dyDescent="0.3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>
        <v>132.9</v>
      </c>
      <c r="V143">
        <v>129.69999999999999</v>
      </c>
      <c r="W143">
        <v>118.6</v>
      </c>
      <c r="X143">
        <v>127.3</v>
      </c>
      <c r="Y143">
        <v>134.19999999999999</v>
      </c>
      <c r="Z143">
        <v>121.9</v>
      </c>
      <c r="AA143">
        <v>126.3</v>
      </c>
      <c r="AB143">
        <v>132.80000000000001</v>
      </c>
      <c r="AC143" s="10">
        <f t="shared" si="19"/>
        <v>135.10714285714286</v>
      </c>
      <c r="AD143">
        <f t="shared" si="21"/>
        <v>138.43333333333334</v>
      </c>
      <c r="AE143">
        <v>128.5</v>
      </c>
      <c r="AF143">
        <v>132</v>
      </c>
      <c r="AG143" s="1">
        <f t="shared" si="20"/>
        <v>127.43333333333334</v>
      </c>
      <c r="AH143" s="1">
        <f t="shared" si="22"/>
        <v>661.47380952380945</v>
      </c>
      <c r="AI143">
        <f t="shared" si="23"/>
        <v>25.906463718624167</v>
      </c>
      <c r="AJ143">
        <f t="shared" si="24"/>
        <v>26.544252595440064</v>
      </c>
      <c r="AK143">
        <f t="shared" si="25"/>
        <v>24.639560258950503</v>
      </c>
      <c r="AL143">
        <f t="shared" si="26"/>
        <v>25.310676686237095</v>
      </c>
      <c r="AM143">
        <f t="shared" si="27"/>
        <v>24.435029538253637</v>
      </c>
    </row>
    <row r="144" spans="1:39" x14ac:dyDescent="0.3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125</v>
      </c>
      <c r="V144">
        <v>122.3</v>
      </c>
      <c r="W144">
        <v>113.7</v>
      </c>
      <c r="X144">
        <v>121.8</v>
      </c>
      <c r="Y144">
        <v>132.30000000000001</v>
      </c>
      <c r="Z144">
        <v>119.9</v>
      </c>
      <c r="AA144">
        <v>121.4</v>
      </c>
      <c r="AB144">
        <v>127.6</v>
      </c>
      <c r="AC144" s="10">
        <f t="shared" si="19"/>
        <v>133.91428571428571</v>
      </c>
      <c r="AD144">
        <f t="shared" si="21"/>
        <v>127</v>
      </c>
      <c r="AE144">
        <v>128.5</v>
      </c>
      <c r="AF144">
        <v>117.8</v>
      </c>
      <c r="AG144" s="1">
        <f t="shared" si="20"/>
        <v>122.5</v>
      </c>
      <c r="AH144" s="1">
        <f t="shared" si="22"/>
        <v>629.71428571428578</v>
      </c>
      <c r="AI144">
        <f t="shared" si="23"/>
        <v>25.677736283202002</v>
      </c>
      <c r="AJ144">
        <f t="shared" si="24"/>
        <v>24.351938932970537</v>
      </c>
      <c r="AK144">
        <f t="shared" si="25"/>
        <v>24.639560258950503</v>
      </c>
      <c r="AL144">
        <f t="shared" si="26"/>
        <v>22.587861466960071</v>
      </c>
      <c r="AM144">
        <f t="shared" si="27"/>
        <v>23.489074955030638</v>
      </c>
    </row>
    <row r="145" spans="1:39" x14ac:dyDescent="0.3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129.19999999999999</v>
      </c>
      <c r="V145">
        <v>126.9</v>
      </c>
      <c r="W145">
        <v>116</v>
      </c>
      <c r="X145">
        <v>124.2</v>
      </c>
      <c r="Y145">
        <v>133.1</v>
      </c>
      <c r="Z145">
        <v>121.1</v>
      </c>
      <c r="AA145">
        <v>123.9</v>
      </c>
      <c r="AB145">
        <v>130.4</v>
      </c>
      <c r="AC145" s="10">
        <f t="shared" si="19"/>
        <v>134.55714285714285</v>
      </c>
      <c r="AD145">
        <f t="shared" si="21"/>
        <v>133.83333333333334</v>
      </c>
      <c r="AE145">
        <v>128.5</v>
      </c>
      <c r="AF145">
        <v>126.6</v>
      </c>
      <c r="AG145" s="1">
        <f t="shared" si="20"/>
        <v>125.08333333333333</v>
      </c>
      <c r="AH145" s="1">
        <f t="shared" si="22"/>
        <v>648.57380952380959</v>
      </c>
      <c r="AI145">
        <f t="shared" si="23"/>
        <v>25.801002565764847</v>
      </c>
      <c r="AJ145">
        <f t="shared" si="24"/>
        <v>25.662213862434836</v>
      </c>
      <c r="AK145">
        <f t="shared" si="25"/>
        <v>24.639560258950503</v>
      </c>
      <c r="AL145">
        <f t="shared" si="26"/>
        <v>24.27523991270921</v>
      </c>
      <c r="AM145">
        <f t="shared" si="27"/>
        <v>23.984422794218357</v>
      </c>
    </row>
    <row r="146" spans="1:39" x14ac:dyDescent="0.3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>
        <v>133.19999999999999</v>
      </c>
      <c r="V146">
        <v>129.9</v>
      </c>
      <c r="W146">
        <v>119.1</v>
      </c>
      <c r="X146">
        <v>127</v>
      </c>
      <c r="Y146">
        <v>134.6</v>
      </c>
      <c r="Z146">
        <v>122.3</v>
      </c>
      <c r="AA146">
        <v>126.6</v>
      </c>
      <c r="AB146">
        <v>132.4</v>
      </c>
      <c r="AC146" s="10">
        <f t="shared" si="19"/>
        <v>134.31428571428572</v>
      </c>
      <c r="AD146">
        <f t="shared" si="21"/>
        <v>138.83333333333334</v>
      </c>
      <c r="AE146">
        <v>129.6</v>
      </c>
      <c r="AF146">
        <v>132.1</v>
      </c>
      <c r="AG146" s="1">
        <f t="shared" si="20"/>
        <v>127.68333333333334</v>
      </c>
      <c r="AH146" s="1">
        <f t="shared" si="22"/>
        <v>662.53095238095239</v>
      </c>
      <c r="AI146">
        <f t="shared" si="23"/>
        <v>25.754435303463332</v>
      </c>
      <c r="AJ146">
        <f t="shared" si="24"/>
        <v>26.620951615701387</v>
      </c>
      <c r="AK146">
        <f t="shared" si="25"/>
        <v>24.850482564669147</v>
      </c>
      <c r="AL146">
        <f t="shared" si="26"/>
        <v>25.329851441302427</v>
      </c>
      <c r="AM146">
        <f t="shared" si="27"/>
        <v>24.482966425916967</v>
      </c>
    </row>
    <row r="147" spans="1:39" x14ac:dyDescent="0.3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125.1</v>
      </c>
      <c r="V147">
        <v>122.6</v>
      </c>
      <c r="W147">
        <v>115.2</v>
      </c>
      <c r="X147">
        <v>122</v>
      </c>
      <c r="Y147">
        <v>132.4</v>
      </c>
      <c r="Z147">
        <v>120.9</v>
      </c>
      <c r="AA147">
        <v>122.1</v>
      </c>
      <c r="AB147">
        <v>127.8</v>
      </c>
      <c r="AC147" s="10">
        <f t="shared" si="19"/>
        <v>132.77142857142857</v>
      </c>
      <c r="AD147">
        <f t="shared" si="21"/>
        <v>127.16666666666667</v>
      </c>
      <c r="AE147">
        <v>129.6</v>
      </c>
      <c r="AF147">
        <v>118</v>
      </c>
      <c r="AG147" s="1">
        <f t="shared" si="20"/>
        <v>123.03333333333332</v>
      </c>
      <c r="AH147" s="1">
        <f t="shared" si="22"/>
        <v>630.57142857142856</v>
      </c>
      <c r="AI147">
        <f t="shared" si="23"/>
        <v>25.458596225312508</v>
      </c>
      <c r="AJ147">
        <f t="shared" si="24"/>
        <v>24.383896858079424</v>
      </c>
      <c r="AK147">
        <f t="shared" si="25"/>
        <v>24.850482564669147</v>
      </c>
      <c r="AL147">
        <f t="shared" si="26"/>
        <v>22.626210977090736</v>
      </c>
      <c r="AM147">
        <f t="shared" si="27"/>
        <v>23.591340315379068</v>
      </c>
    </row>
    <row r="148" spans="1:39" x14ac:dyDescent="0.3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129.4</v>
      </c>
      <c r="V148">
        <v>127.1</v>
      </c>
      <c r="W148">
        <v>117</v>
      </c>
      <c r="X148">
        <v>124.2</v>
      </c>
      <c r="Y148">
        <v>133.30000000000001</v>
      </c>
      <c r="Z148">
        <v>121.7</v>
      </c>
      <c r="AA148">
        <v>124.4</v>
      </c>
      <c r="AB148">
        <v>130.30000000000001</v>
      </c>
      <c r="AC148" s="10">
        <f t="shared" si="19"/>
        <v>133.64999999999995</v>
      </c>
      <c r="AD148">
        <f t="shared" si="21"/>
        <v>134.13333333333333</v>
      </c>
      <c r="AE148">
        <v>129.6</v>
      </c>
      <c r="AF148">
        <v>126.8</v>
      </c>
      <c r="AG148" s="1">
        <f t="shared" si="20"/>
        <v>125.45</v>
      </c>
      <c r="AH148" s="1">
        <f t="shared" si="22"/>
        <v>649.63333333333333</v>
      </c>
      <c r="AI148">
        <f t="shared" si="23"/>
        <v>25.627060144815044</v>
      </c>
      <c r="AJ148">
        <f t="shared" si="24"/>
        <v>25.719738127630826</v>
      </c>
      <c r="AK148">
        <f t="shared" si="25"/>
        <v>24.850482564669147</v>
      </c>
      <c r="AL148">
        <f t="shared" si="26"/>
        <v>24.313589422839872</v>
      </c>
      <c r="AM148">
        <f t="shared" si="27"/>
        <v>24.054730229457906</v>
      </c>
    </row>
    <row r="149" spans="1:39" x14ac:dyDescent="0.3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>
        <v>133.6</v>
      </c>
      <c r="V149">
        <v>130.1</v>
      </c>
      <c r="W149">
        <v>119.5</v>
      </c>
      <c r="X149">
        <v>127.7</v>
      </c>
      <c r="Y149">
        <v>134.9</v>
      </c>
      <c r="Z149">
        <v>123.2</v>
      </c>
      <c r="AA149">
        <v>127</v>
      </c>
      <c r="AB149">
        <v>132.6</v>
      </c>
      <c r="AC149" s="10">
        <f t="shared" si="19"/>
        <v>134.15714285714287</v>
      </c>
      <c r="AD149">
        <f t="shared" si="21"/>
        <v>138.96666666666667</v>
      </c>
      <c r="AE149">
        <v>130.5</v>
      </c>
      <c r="AF149">
        <v>133.19999999999999</v>
      </c>
      <c r="AG149" s="1">
        <f t="shared" si="20"/>
        <v>128.16666666666666</v>
      </c>
      <c r="AH149" s="1">
        <f t="shared" si="22"/>
        <v>664.99047619047622</v>
      </c>
      <c r="AI149">
        <f t="shared" si="23"/>
        <v>25.724303545503524</v>
      </c>
      <c r="AJ149">
        <f t="shared" si="24"/>
        <v>26.646517955788497</v>
      </c>
      <c r="AK149">
        <f t="shared" si="25"/>
        <v>25.023055360257128</v>
      </c>
      <c r="AL149">
        <f t="shared" si="26"/>
        <v>25.540773747021067</v>
      </c>
      <c r="AM149">
        <f t="shared" si="27"/>
        <v>24.575644408732732</v>
      </c>
    </row>
    <row r="150" spans="1:39" x14ac:dyDescent="0.3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125.3</v>
      </c>
      <c r="V150">
        <v>122.9</v>
      </c>
      <c r="W150">
        <v>115.5</v>
      </c>
      <c r="X150">
        <v>122.2</v>
      </c>
      <c r="Y150">
        <v>132.4</v>
      </c>
      <c r="Z150">
        <v>121.7</v>
      </c>
      <c r="AA150">
        <v>122.4</v>
      </c>
      <c r="AB150">
        <v>128.19999999999999</v>
      </c>
      <c r="AC150" s="10">
        <f t="shared" si="19"/>
        <v>132.25714285714287</v>
      </c>
      <c r="AD150">
        <f t="shared" si="21"/>
        <v>127.43333333333334</v>
      </c>
      <c r="AE150">
        <v>130.5</v>
      </c>
      <c r="AF150">
        <v>119.2</v>
      </c>
      <c r="AG150" s="1">
        <f t="shared" si="20"/>
        <v>123.33333333333333</v>
      </c>
      <c r="AH150" s="1">
        <f t="shared" si="22"/>
        <v>632.72380952380956</v>
      </c>
      <c r="AI150">
        <f t="shared" si="23"/>
        <v>25.359983199262231</v>
      </c>
      <c r="AJ150">
        <f t="shared" si="24"/>
        <v>24.435029538253637</v>
      </c>
      <c r="AK150">
        <f t="shared" si="25"/>
        <v>25.023055360257128</v>
      </c>
      <c r="AL150">
        <f t="shared" si="26"/>
        <v>22.856308037874708</v>
      </c>
      <c r="AM150">
        <f t="shared" si="27"/>
        <v>23.648864580575061</v>
      </c>
    </row>
    <row r="151" spans="1:39" x14ac:dyDescent="0.3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129.69999999999999</v>
      </c>
      <c r="V151">
        <v>127.4</v>
      </c>
      <c r="W151">
        <v>117.4</v>
      </c>
      <c r="X151">
        <v>124.6</v>
      </c>
      <c r="Y151">
        <v>133.4</v>
      </c>
      <c r="Z151">
        <v>122.6</v>
      </c>
      <c r="AA151">
        <v>124.8</v>
      </c>
      <c r="AB151">
        <v>130.6</v>
      </c>
      <c r="AC151" s="10">
        <f t="shared" si="19"/>
        <v>133.33571428571432</v>
      </c>
      <c r="AD151">
        <f t="shared" si="21"/>
        <v>134.33333333333334</v>
      </c>
      <c r="AE151">
        <v>130.5</v>
      </c>
      <c r="AF151">
        <v>127.9</v>
      </c>
      <c r="AG151" s="1">
        <f t="shared" si="20"/>
        <v>125.85000000000001</v>
      </c>
      <c r="AH151" s="1">
        <f t="shared" si="22"/>
        <v>651.91904761904766</v>
      </c>
      <c r="AI151">
        <f t="shared" si="23"/>
        <v>25.56679662889545</v>
      </c>
      <c r="AJ151">
        <f t="shared" si="24"/>
        <v>25.758087637761491</v>
      </c>
      <c r="AK151">
        <f t="shared" si="25"/>
        <v>25.023055360257128</v>
      </c>
      <c r="AL151">
        <f t="shared" si="26"/>
        <v>24.524511728558519</v>
      </c>
      <c r="AM151">
        <f t="shared" si="27"/>
        <v>24.131429249719229</v>
      </c>
    </row>
    <row r="152" spans="1:39" x14ac:dyDescent="0.3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>
        <v>134.1</v>
      </c>
      <c r="V152">
        <v>130.6</v>
      </c>
      <c r="W152">
        <v>119.8</v>
      </c>
      <c r="X152">
        <v>128.30000000000001</v>
      </c>
      <c r="Y152">
        <v>135.19999999999999</v>
      </c>
      <c r="Z152">
        <v>123.3</v>
      </c>
      <c r="AA152">
        <v>127.4</v>
      </c>
      <c r="AB152">
        <v>132.80000000000001</v>
      </c>
      <c r="AC152" s="10">
        <f t="shared" si="19"/>
        <v>133.76428571428573</v>
      </c>
      <c r="AD152">
        <f t="shared" si="21"/>
        <v>139.53333333333333</v>
      </c>
      <c r="AE152">
        <v>131.1</v>
      </c>
      <c r="AF152">
        <v>134.19999999999999</v>
      </c>
      <c r="AG152" s="1">
        <f t="shared" si="20"/>
        <v>128.54999999999998</v>
      </c>
      <c r="AH152" s="1">
        <f t="shared" si="22"/>
        <v>667.14761904761895</v>
      </c>
      <c r="AI152">
        <f t="shared" si="23"/>
        <v>25.648974150604008</v>
      </c>
      <c r="AJ152">
        <f t="shared" si="24"/>
        <v>26.755174901158707</v>
      </c>
      <c r="AK152">
        <f t="shared" si="25"/>
        <v>25.138103890649109</v>
      </c>
      <c r="AL152">
        <f t="shared" si="26"/>
        <v>25.732521297674378</v>
      </c>
      <c r="AM152">
        <f t="shared" si="27"/>
        <v>24.649147636483164</v>
      </c>
    </row>
    <row r="153" spans="1:39" x14ac:dyDescent="0.3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125.6</v>
      </c>
      <c r="V153">
        <v>123.1</v>
      </c>
      <c r="W153">
        <v>115.6</v>
      </c>
      <c r="X153">
        <v>122.4</v>
      </c>
      <c r="Y153">
        <v>132.80000000000001</v>
      </c>
      <c r="Z153">
        <v>121.7</v>
      </c>
      <c r="AA153">
        <v>122.6</v>
      </c>
      <c r="AB153">
        <v>128.69999999999999</v>
      </c>
      <c r="AC153" s="10">
        <f t="shared" si="19"/>
        <v>132.37142857142857</v>
      </c>
      <c r="AD153">
        <f t="shared" si="21"/>
        <v>127.73333333333335</v>
      </c>
      <c r="AE153">
        <v>131.1</v>
      </c>
      <c r="AF153">
        <v>120.8</v>
      </c>
      <c r="AG153" s="1">
        <f t="shared" si="20"/>
        <v>123.53333333333335</v>
      </c>
      <c r="AH153" s="1">
        <f t="shared" si="22"/>
        <v>635.53809523809514</v>
      </c>
      <c r="AI153">
        <f t="shared" si="23"/>
        <v>25.381897205051178</v>
      </c>
      <c r="AJ153">
        <f t="shared" si="24"/>
        <v>24.492553803449635</v>
      </c>
      <c r="AK153">
        <f t="shared" si="25"/>
        <v>25.138103890649109</v>
      </c>
      <c r="AL153">
        <f t="shared" si="26"/>
        <v>23.163104118920007</v>
      </c>
      <c r="AM153">
        <f t="shared" si="27"/>
        <v>23.687214090705726</v>
      </c>
    </row>
    <row r="154" spans="1:39" x14ac:dyDescent="0.3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130.1</v>
      </c>
      <c r="V154">
        <v>127.8</v>
      </c>
      <c r="W154">
        <v>117.6</v>
      </c>
      <c r="X154">
        <v>125</v>
      </c>
      <c r="Y154">
        <v>133.80000000000001</v>
      </c>
      <c r="Z154">
        <v>122.6</v>
      </c>
      <c r="AA154">
        <v>125.1</v>
      </c>
      <c r="AB154">
        <v>130.9</v>
      </c>
      <c r="AC154" s="10">
        <f t="shared" si="19"/>
        <v>133.14285714285714</v>
      </c>
      <c r="AD154">
        <f t="shared" si="21"/>
        <v>134.76666666666665</v>
      </c>
      <c r="AE154">
        <v>131.1</v>
      </c>
      <c r="AF154">
        <v>129.1</v>
      </c>
      <c r="AG154" s="1">
        <f t="shared" si="20"/>
        <v>126.14999999999999</v>
      </c>
      <c r="AH154" s="1">
        <f t="shared" si="22"/>
        <v>654.25952380952378</v>
      </c>
      <c r="AI154">
        <f t="shared" si="23"/>
        <v>25.529816744126592</v>
      </c>
      <c r="AJ154">
        <f t="shared" si="24"/>
        <v>25.841178243044588</v>
      </c>
      <c r="AK154">
        <f t="shared" si="25"/>
        <v>25.138103890649109</v>
      </c>
      <c r="AL154">
        <f t="shared" si="26"/>
        <v>24.754608789342488</v>
      </c>
      <c r="AM154">
        <f t="shared" si="27"/>
        <v>24.18895351491522</v>
      </c>
    </row>
    <row r="155" spans="1:39" x14ac:dyDescent="0.3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>
        <v>134.30000000000001</v>
      </c>
      <c r="V155">
        <v>131</v>
      </c>
      <c r="W155">
        <v>119.2</v>
      </c>
      <c r="X155">
        <v>128.30000000000001</v>
      </c>
      <c r="Y155">
        <v>135.69999999999999</v>
      </c>
      <c r="Z155">
        <v>123.7</v>
      </c>
      <c r="AA155">
        <v>127.5</v>
      </c>
      <c r="AB155">
        <v>132.9</v>
      </c>
      <c r="AC155" s="10">
        <f t="shared" si="19"/>
        <v>133.62142857142857</v>
      </c>
      <c r="AD155">
        <f t="shared" si="21"/>
        <v>140.26666666666668</v>
      </c>
      <c r="AE155">
        <v>131.69999999999999</v>
      </c>
      <c r="AF155">
        <v>135</v>
      </c>
      <c r="AG155" s="1">
        <f t="shared" si="20"/>
        <v>128.70000000000002</v>
      </c>
      <c r="AH155" s="1">
        <f t="shared" si="22"/>
        <v>669.28809523809537</v>
      </c>
      <c r="AI155">
        <f t="shared" si="23"/>
        <v>25.621581643367819</v>
      </c>
      <c r="AJ155">
        <f t="shared" si="24"/>
        <v>26.895789771637801</v>
      </c>
      <c r="AK155">
        <f t="shared" si="25"/>
        <v>25.253152421041097</v>
      </c>
      <c r="AL155">
        <f t="shared" si="26"/>
        <v>25.885919338197027</v>
      </c>
      <c r="AM155">
        <f t="shared" si="27"/>
        <v>24.677909769081168</v>
      </c>
    </row>
    <row r="156" spans="1:39" x14ac:dyDescent="0.3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126</v>
      </c>
      <c r="V156">
        <v>123.4</v>
      </c>
      <c r="W156">
        <v>114.3</v>
      </c>
      <c r="X156">
        <v>122.6</v>
      </c>
      <c r="Y156">
        <v>133.6</v>
      </c>
      <c r="Z156">
        <v>122.2</v>
      </c>
      <c r="AA156">
        <v>122.5</v>
      </c>
      <c r="AB156">
        <v>129.1</v>
      </c>
      <c r="AC156" s="10">
        <f t="shared" si="19"/>
        <v>132.57857142857142</v>
      </c>
      <c r="AD156">
        <f t="shared" si="21"/>
        <v>128.06666666666666</v>
      </c>
      <c r="AE156">
        <v>131.69999999999999</v>
      </c>
      <c r="AF156">
        <v>121.4</v>
      </c>
      <c r="AG156" s="1">
        <f t="shared" si="20"/>
        <v>123.68333333333334</v>
      </c>
      <c r="AH156" s="1">
        <f t="shared" si="22"/>
        <v>637.42857142857133</v>
      </c>
      <c r="AI156">
        <f t="shared" si="23"/>
        <v>25.42161634054365</v>
      </c>
      <c r="AJ156">
        <f t="shared" si="24"/>
        <v>24.556469653667399</v>
      </c>
      <c r="AK156">
        <f t="shared" si="25"/>
        <v>25.253152421041097</v>
      </c>
      <c r="AL156">
        <f t="shared" si="26"/>
        <v>23.278152649311995</v>
      </c>
      <c r="AM156">
        <f t="shared" si="27"/>
        <v>23.715976223303723</v>
      </c>
    </row>
    <row r="157" spans="1:39" x14ac:dyDescent="0.3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130.4</v>
      </c>
      <c r="V157">
        <v>128.1</v>
      </c>
      <c r="W157">
        <v>116.6</v>
      </c>
      <c r="X157">
        <v>125.1</v>
      </c>
      <c r="Y157">
        <v>134.5</v>
      </c>
      <c r="Z157">
        <v>123.1</v>
      </c>
      <c r="AA157">
        <v>125.1</v>
      </c>
      <c r="AB157">
        <v>131.1</v>
      </c>
      <c r="AC157" s="10">
        <f t="shared" si="19"/>
        <v>133.12857142857143</v>
      </c>
      <c r="AD157">
        <f t="shared" si="21"/>
        <v>135.36666666666667</v>
      </c>
      <c r="AE157">
        <v>131.69999999999999</v>
      </c>
      <c r="AF157">
        <v>129.80000000000001</v>
      </c>
      <c r="AG157" s="1">
        <f t="shared" si="20"/>
        <v>126.30000000000001</v>
      </c>
      <c r="AH157" s="1">
        <f t="shared" si="22"/>
        <v>656.29523809523812</v>
      </c>
      <c r="AI157">
        <f t="shared" si="23"/>
        <v>25.52707749340297</v>
      </c>
      <c r="AJ157">
        <f t="shared" si="24"/>
        <v>25.956226773436576</v>
      </c>
      <c r="AK157">
        <f t="shared" si="25"/>
        <v>25.253152421041097</v>
      </c>
      <c r="AL157">
        <f t="shared" si="26"/>
        <v>24.888832074799812</v>
      </c>
      <c r="AM157">
        <f t="shared" si="27"/>
        <v>24.21771564751322</v>
      </c>
    </row>
    <row r="158" spans="1:39" x14ac:dyDescent="0.3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>
        <v>134.9</v>
      </c>
      <c r="V158">
        <v>131.4</v>
      </c>
      <c r="W158">
        <v>119.4</v>
      </c>
      <c r="X158">
        <v>129.4</v>
      </c>
      <c r="Y158">
        <v>136.30000000000001</v>
      </c>
      <c r="Z158">
        <v>123.7</v>
      </c>
      <c r="AA158">
        <v>127.9</v>
      </c>
      <c r="AB158">
        <v>133.30000000000001</v>
      </c>
      <c r="AC158" s="10">
        <f t="shared" si="19"/>
        <v>133.78571428571425</v>
      </c>
      <c r="AD158">
        <f t="shared" si="21"/>
        <v>140.53333333333333</v>
      </c>
      <c r="AE158">
        <v>132.1</v>
      </c>
      <c r="AF158">
        <v>135</v>
      </c>
      <c r="AG158" s="1">
        <f t="shared" si="20"/>
        <v>129.18333333333337</v>
      </c>
      <c r="AH158" s="1">
        <f t="shared" si="22"/>
        <v>670.60238095238094</v>
      </c>
      <c r="AI158">
        <f t="shared" si="23"/>
        <v>25.653083026689426</v>
      </c>
      <c r="AJ158">
        <f t="shared" si="24"/>
        <v>26.946922451812018</v>
      </c>
      <c r="AK158">
        <f t="shared" si="25"/>
        <v>25.329851441302427</v>
      </c>
      <c r="AL158">
        <f t="shared" si="26"/>
        <v>25.885919338197027</v>
      </c>
      <c r="AM158">
        <f t="shared" si="27"/>
        <v>24.77058775189694</v>
      </c>
    </row>
    <row r="159" spans="1:39" x14ac:dyDescent="0.3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126.5</v>
      </c>
      <c r="V159">
        <v>123.6</v>
      </c>
      <c r="W159">
        <v>114.3</v>
      </c>
      <c r="X159">
        <v>122.8</v>
      </c>
      <c r="Y159">
        <v>133.80000000000001</v>
      </c>
      <c r="Z159">
        <v>122</v>
      </c>
      <c r="AA159">
        <v>122.6</v>
      </c>
      <c r="AB159">
        <v>129.30000000000001</v>
      </c>
      <c r="AC159" s="10">
        <f t="shared" si="19"/>
        <v>132.70714285714286</v>
      </c>
      <c r="AD159">
        <f t="shared" si="21"/>
        <v>128.29999999999998</v>
      </c>
      <c r="AE159">
        <v>132.1</v>
      </c>
      <c r="AF159">
        <v>120.1</v>
      </c>
      <c r="AG159" s="1">
        <f t="shared" si="20"/>
        <v>123.83333333333333</v>
      </c>
      <c r="AH159" s="1">
        <f t="shared" si="22"/>
        <v>637.04047619047628</v>
      </c>
      <c r="AI159">
        <f t="shared" si="23"/>
        <v>25.446269597056219</v>
      </c>
      <c r="AJ159">
        <f t="shared" si="24"/>
        <v>24.601210748819838</v>
      </c>
      <c r="AK159">
        <f t="shared" si="25"/>
        <v>25.329851441302427</v>
      </c>
      <c r="AL159">
        <f t="shared" si="26"/>
        <v>23.02888083346269</v>
      </c>
      <c r="AM159">
        <f t="shared" si="27"/>
        <v>23.744738355901717</v>
      </c>
    </row>
    <row r="160" spans="1:39" x14ac:dyDescent="0.3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130.9</v>
      </c>
      <c r="V160">
        <v>128.4</v>
      </c>
      <c r="W160">
        <v>116.7</v>
      </c>
      <c r="X160">
        <v>125.7</v>
      </c>
      <c r="Y160">
        <v>134.80000000000001</v>
      </c>
      <c r="Z160">
        <v>123</v>
      </c>
      <c r="AA160">
        <v>125.3</v>
      </c>
      <c r="AB160">
        <v>131.4</v>
      </c>
      <c r="AC160" s="10">
        <f t="shared" si="19"/>
        <v>133.27142857142857</v>
      </c>
      <c r="AD160">
        <f t="shared" si="21"/>
        <v>135.6</v>
      </c>
      <c r="AE160">
        <v>132.1</v>
      </c>
      <c r="AF160">
        <v>129.4</v>
      </c>
      <c r="AG160" s="1">
        <f t="shared" si="20"/>
        <v>126.58333333333333</v>
      </c>
      <c r="AH160" s="1">
        <f t="shared" si="22"/>
        <v>656.95476190476188</v>
      </c>
      <c r="AI160">
        <f t="shared" si="23"/>
        <v>25.554470000639164</v>
      </c>
      <c r="AJ160">
        <f t="shared" si="24"/>
        <v>26.000967868589015</v>
      </c>
      <c r="AK160">
        <f t="shared" si="25"/>
        <v>25.329851441302427</v>
      </c>
      <c r="AL160">
        <f t="shared" si="26"/>
        <v>24.812133054538485</v>
      </c>
      <c r="AM160">
        <f t="shared" si="27"/>
        <v>24.272044120198323</v>
      </c>
    </row>
    <row r="161" spans="1:39" x14ac:dyDescent="0.3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>
        <v>135.19999999999999</v>
      </c>
      <c r="V161">
        <v>131.30000000000001</v>
      </c>
      <c r="W161">
        <v>119.4</v>
      </c>
      <c r="X161">
        <v>129.80000000000001</v>
      </c>
      <c r="Y161">
        <v>136.9</v>
      </c>
      <c r="Z161">
        <v>124.1</v>
      </c>
      <c r="AA161">
        <v>128.1</v>
      </c>
      <c r="AB161">
        <v>133.9</v>
      </c>
      <c r="AC161" s="10">
        <f t="shared" si="19"/>
        <v>134.61428571428573</v>
      </c>
      <c r="AD161">
        <f t="shared" si="21"/>
        <v>141.03333333333333</v>
      </c>
      <c r="AE161">
        <v>131.4</v>
      </c>
      <c r="AF161">
        <v>134.80000000000001</v>
      </c>
      <c r="AG161" s="1">
        <f t="shared" si="20"/>
        <v>129.45000000000002</v>
      </c>
      <c r="AH161" s="1">
        <f t="shared" si="22"/>
        <v>671.29761904761904</v>
      </c>
      <c r="AI161">
        <f t="shared" si="23"/>
        <v>25.811959568659326</v>
      </c>
      <c r="AJ161">
        <f t="shared" si="24"/>
        <v>27.04279622713867</v>
      </c>
      <c r="AK161">
        <f t="shared" si="25"/>
        <v>25.195628155845107</v>
      </c>
      <c r="AL161">
        <f t="shared" si="26"/>
        <v>25.847569828066369</v>
      </c>
      <c r="AM161">
        <f t="shared" si="27"/>
        <v>24.821720432071153</v>
      </c>
    </row>
    <row r="162" spans="1:39" x14ac:dyDescent="0.3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126.8</v>
      </c>
      <c r="V162">
        <v>123.8</v>
      </c>
      <c r="W162">
        <v>113.9</v>
      </c>
      <c r="X162">
        <v>122.9</v>
      </c>
      <c r="Y162">
        <v>134.30000000000001</v>
      </c>
      <c r="Z162">
        <v>122.5</v>
      </c>
      <c r="AA162">
        <v>122.7</v>
      </c>
      <c r="AB162">
        <v>129.9</v>
      </c>
      <c r="AC162" s="10">
        <f t="shared" si="19"/>
        <v>134.25714285714287</v>
      </c>
      <c r="AD162">
        <f t="shared" si="21"/>
        <v>128.29999999999998</v>
      </c>
      <c r="AE162">
        <v>131.4</v>
      </c>
      <c r="AF162">
        <v>119</v>
      </c>
      <c r="AG162" s="1">
        <f t="shared" si="20"/>
        <v>124.03333333333335</v>
      </c>
      <c r="AH162" s="1">
        <f t="shared" si="22"/>
        <v>636.9904761904761</v>
      </c>
      <c r="AI162">
        <f t="shared" si="23"/>
        <v>25.743478300568857</v>
      </c>
      <c r="AJ162">
        <f t="shared" si="24"/>
        <v>24.601210748819838</v>
      </c>
      <c r="AK162">
        <f t="shared" si="25"/>
        <v>25.195628155845107</v>
      </c>
      <c r="AL162">
        <f t="shared" si="26"/>
        <v>22.817958527744047</v>
      </c>
      <c r="AM162">
        <f t="shared" si="27"/>
        <v>23.783087866032382</v>
      </c>
    </row>
    <row r="163" spans="1:39" x14ac:dyDescent="0.3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131.19999999999999</v>
      </c>
      <c r="V163">
        <v>128.5</v>
      </c>
      <c r="W163">
        <v>116.5</v>
      </c>
      <c r="X163">
        <v>125.9</v>
      </c>
      <c r="Y163">
        <v>135.4</v>
      </c>
      <c r="Z163">
        <v>123.4</v>
      </c>
      <c r="AA163">
        <v>125.5</v>
      </c>
      <c r="AB163">
        <v>132</v>
      </c>
      <c r="AC163" s="10">
        <f t="shared" si="19"/>
        <v>134.37142857142857</v>
      </c>
      <c r="AD163">
        <f t="shared" si="21"/>
        <v>135.9</v>
      </c>
      <c r="AE163">
        <v>131.4</v>
      </c>
      <c r="AF163">
        <v>128.80000000000001</v>
      </c>
      <c r="AG163" s="1">
        <f t="shared" si="20"/>
        <v>126.81666666666666</v>
      </c>
      <c r="AH163" s="1">
        <f t="shared" si="22"/>
        <v>657.28809523809514</v>
      </c>
      <c r="AI163">
        <f t="shared" si="23"/>
        <v>25.765392306357803</v>
      </c>
      <c r="AJ163">
        <f t="shared" si="24"/>
        <v>26.058492133785009</v>
      </c>
      <c r="AK163">
        <f t="shared" si="25"/>
        <v>25.195628155845107</v>
      </c>
      <c r="AL163">
        <f t="shared" si="26"/>
        <v>24.697084524146501</v>
      </c>
      <c r="AM163">
        <f t="shared" si="27"/>
        <v>24.316785215350762</v>
      </c>
    </row>
    <row r="164" spans="1:39" x14ac:dyDescent="0.3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>
        <v>136.1</v>
      </c>
      <c r="V164">
        <v>132.1</v>
      </c>
      <c r="W164">
        <v>119.1</v>
      </c>
      <c r="X164">
        <v>130.6</v>
      </c>
      <c r="Y164">
        <v>138.6</v>
      </c>
      <c r="Z164">
        <v>124.4</v>
      </c>
      <c r="AA164">
        <v>128.6</v>
      </c>
      <c r="AB164">
        <v>136.19999999999999</v>
      </c>
      <c r="AC164" s="10">
        <f t="shared" si="19"/>
        <v>137.16428571428574</v>
      </c>
      <c r="AD164">
        <f t="shared" si="21"/>
        <v>141.96666666666667</v>
      </c>
      <c r="AE164">
        <v>132.6</v>
      </c>
      <c r="AF164">
        <v>135.30000000000001</v>
      </c>
      <c r="AG164" s="1">
        <f t="shared" si="20"/>
        <v>130.15</v>
      </c>
      <c r="AH164" s="1">
        <f t="shared" si="22"/>
        <v>677.18095238095236</v>
      </c>
      <c r="AI164">
        <f t="shared" si="23"/>
        <v>26.300915822825271</v>
      </c>
      <c r="AJ164">
        <f t="shared" si="24"/>
        <v>27.221760607748429</v>
      </c>
      <c r="AK164">
        <f t="shared" si="25"/>
        <v>25.425725216629079</v>
      </c>
      <c r="AL164">
        <f t="shared" si="26"/>
        <v>25.943443603393025</v>
      </c>
      <c r="AM164">
        <f t="shared" si="27"/>
        <v>24.95594371752847</v>
      </c>
    </row>
    <row r="165" spans="1:39" x14ac:dyDescent="0.3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127.2</v>
      </c>
      <c r="V165">
        <v>125</v>
      </c>
      <c r="W165">
        <v>113.2</v>
      </c>
      <c r="X165">
        <v>123.5</v>
      </c>
      <c r="Y165">
        <v>135.5</v>
      </c>
      <c r="Z165">
        <v>122.4</v>
      </c>
      <c r="AA165">
        <v>123</v>
      </c>
      <c r="AB165">
        <v>131.80000000000001</v>
      </c>
      <c r="AC165" s="10">
        <f t="shared" si="19"/>
        <v>137.04285714285714</v>
      </c>
      <c r="AD165">
        <f t="shared" si="21"/>
        <v>128.56666666666669</v>
      </c>
      <c r="AE165">
        <v>132.6</v>
      </c>
      <c r="AF165">
        <v>119.7</v>
      </c>
      <c r="AG165" s="1">
        <f t="shared" si="20"/>
        <v>124.46666666666665</v>
      </c>
      <c r="AH165" s="1">
        <f t="shared" si="22"/>
        <v>642.37619047619057</v>
      </c>
      <c r="AI165">
        <f t="shared" si="23"/>
        <v>26.277632191674506</v>
      </c>
      <c r="AJ165">
        <f t="shared" si="24"/>
        <v>24.652343428994065</v>
      </c>
      <c r="AK165">
        <f t="shared" si="25"/>
        <v>25.425725216629079</v>
      </c>
      <c r="AL165">
        <f t="shared" si="26"/>
        <v>22.952181813201364</v>
      </c>
      <c r="AM165">
        <f t="shared" si="27"/>
        <v>23.866178471315479</v>
      </c>
    </row>
    <row r="166" spans="1:39" x14ac:dyDescent="0.3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131.9</v>
      </c>
      <c r="V166">
        <v>129.4</v>
      </c>
      <c r="W166">
        <v>116</v>
      </c>
      <c r="X166">
        <v>126.6</v>
      </c>
      <c r="Y166">
        <v>136.80000000000001</v>
      </c>
      <c r="Z166">
        <v>123.6</v>
      </c>
      <c r="AA166">
        <v>125.9</v>
      </c>
      <c r="AB166">
        <v>134.19999999999999</v>
      </c>
      <c r="AC166" s="10">
        <f t="shared" si="19"/>
        <v>136.97142857142856</v>
      </c>
      <c r="AD166">
        <f t="shared" si="21"/>
        <v>136.56666666666666</v>
      </c>
      <c r="AE166">
        <v>132.6</v>
      </c>
      <c r="AF166">
        <v>129.4</v>
      </c>
      <c r="AG166" s="1">
        <f t="shared" si="20"/>
        <v>127.38333333333334</v>
      </c>
      <c r="AH166" s="1">
        <f t="shared" si="22"/>
        <v>662.92142857142858</v>
      </c>
      <c r="AI166">
        <f t="shared" si="23"/>
        <v>26.263935938056409</v>
      </c>
      <c r="AJ166">
        <f t="shared" si="24"/>
        <v>26.186323834220548</v>
      </c>
      <c r="AK166">
        <f t="shared" si="25"/>
        <v>25.425725216629079</v>
      </c>
      <c r="AL166">
        <f t="shared" si="26"/>
        <v>24.812133054538485</v>
      </c>
      <c r="AM166">
        <f t="shared" si="27"/>
        <v>24.425442160720976</v>
      </c>
    </row>
    <row r="167" spans="1:39" x14ac:dyDescent="0.3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>
        <v>137.30000000000001</v>
      </c>
      <c r="V167">
        <v>133</v>
      </c>
      <c r="W167">
        <v>120.3</v>
      </c>
      <c r="X167">
        <v>131.5</v>
      </c>
      <c r="Y167">
        <v>140.19999999999999</v>
      </c>
      <c r="Z167">
        <v>125.4</v>
      </c>
      <c r="AA167">
        <v>129.69999999999999</v>
      </c>
      <c r="AB167">
        <v>137.80000000000001</v>
      </c>
      <c r="AC167" s="10">
        <f t="shared" si="19"/>
        <v>138.67857142857142</v>
      </c>
      <c r="AD167">
        <f t="shared" si="21"/>
        <v>143</v>
      </c>
      <c r="AE167">
        <v>134.4</v>
      </c>
      <c r="AF167">
        <v>136.4</v>
      </c>
      <c r="AG167" s="1">
        <f t="shared" si="20"/>
        <v>131.28333333333333</v>
      </c>
      <c r="AH167" s="1">
        <f t="shared" si="22"/>
        <v>683.7619047619047</v>
      </c>
      <c r="AI167">
        <f t="shared" si="23"/>
        <v>26.591276399528851</v>
      </c>
      <c r="AJ167">
        <f t="shared" si="24"/>
        <v>27.419899743423521</v>
      </c>
      <c r="AK167">
        <f t="shared" si="25"/>
        <v>25.770870807805039</v>
      </c>
      <c r="AL167">
        <f t="shared" si="26"/>
        <v>26.154365909111664</v>
      </c>
      <c r="AM167">
        <f t="shared" si="27"/>
        <v>25.173257608268884</v>
      </c>
    </row>
    <row r="168" spans="1:39" x14ac:dyDescent="0.3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127.7</v>
      </c>
      <c r="V168">
        <v>125.7</v>
      </c>
      <c r="W168">
        <v>114.6</v>
      </c>
      <c r="X168">
        <v>124.1</v>
      </c>
      <c r="Y168">
        <v>135.69999999999999</v>
      </c>
      <c r="Z168">
        <v>123.3</v>
      </c>
      <c r="AA168">
        <v>123.8</v>
      </c>
      <c r="AB168">
        <v>132.69999999999999</v>
      </c>
      <c r="AC168" s="10">
        <f t="shared" si="19"/>
        <v>137.50714285714284</v>
      </c>
      <c r="AD168">
        <f t="shared" si="21"/>
        <v>129.46666666666667</v>
      </c>
      <c r="AE168">
        <v>134.4</v>
      </c>
      <c r="AF168">
        <v>118.9</v>
      </c>
      <c r="AG168" s="1">
        <f t="shared" si="20"/>
        <v>125.18333333333332</v>
      </c>
      <c r="AH168" s="1">
        <f t="shared" si="22"/>
        <v>645.4571428571428</v>
      </c>
      <c r="AI168">
        <f t="shared" si="23"/>
        <v>26.366657840192108</v>
      </c>
      <c r="AJ168">
        <f t="shared" si="24"/>
        <v>24.82491622458204</v>
      </c>
      <c r="AK168">
        <f t="shared" si="25"/>
        <v>25.770870807805039</v>
      </c>
      <c r="AL168">
        <f t="shared" si="26"/>
        <v>22.798783772678714</v>
      </c>
      <c r="AM168">
        <f t="shared" si="27"/>
        <v>24.003597549283686</v>
      </c>
    </row>
    <row r="169" spans="1:39" x14ac:dyDescent="0.3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132.80000000000001</v>
      </c>
      <c r="V169">
        <v>130.19999999999999</v>
      </c>
      <c r="W169">
        <v>117.3</v>
      </c>
      <c r="X169">
        <v>127.3</v>
      </c>
      <c r="Y169">
        <v>137.6</v>
      </c>
      <c r="Z169">
        <v>124.5</v>
      </c>
      <c r="AA169">
        <v>126.8</v>
      </c>
      <c r="AB169">
        <v>135.4</v>
      </c>
      <c r="AC169" s="10">
        <f t="shared" si="19"/>
        <v>138.1142857142857</v>
      </c>
      <c r="AD169">
        <f t="shared" si="21"/>
        <v>137.53333333333333</v>
      </c>
      <c r="AE169">
        <v>134.4</v>
      </c>
      <c r="AF169">
        <v>129.80000000000001</v>
      </c>
      <c r="AG169" s="1">
        <f t="shared" si="20"/>
        <v>128.28333333333333</v>
      </c>
      <c r="AH169" s="1">
        <f t="shared" si="22"/>
        <v>668.13095238095229</v>
      </c>
      <c r="AI169">
        <f t="shared" si="23"/>
        <v>26.48307599594591</v>
      </c>
      <c r="AJ169">
        <f t="shared" si="24"/>
        <v>26.371679799852082</v>
      </c>
      <c r="AK169">
        <f t="shared" si="25"/>
        <v>25.770870807805039</v>
      </c>
      <c r="AL169">
        <f t="shared" si="26"/>
        <v>24.888832074799812</v>
      </c>
      <c r="AM169">
        <f t="shared" si="27"/>
        <v>24.598014956308951</v>
      </c>
    </row>
    <row r="170" spans="1:39" x14ac:dyDescent="0.3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>
        <v>137.9</v>
      </c>
      <c r="V170">
        <v>133.4</v>
      </c>
      <c r="W170">
        <v>121.2</v>
      </c>
      <c r="X170">
        <v>132.30000000000001</v>
      </c>
      <c r="Y170">
        <v>139.6</v>
      </c>
      <c r="Z170">
        <v>126.7</v>
      </c>
      <c r="AA170">
        <v>130.30000000000001</v>
      </c>
      <c r="AB170">
        <v>137.6</v>
      </c>
      <c r="AC170" s="10">
        <f t="shared" si="19"/>
        <v>138.15</v>
      </c>
      <c r="AD170">
        <f t="shared" si="21"/>
        <v>143.66666666666666</v>
      </c>
      <c r="AE170">
        <v>135.69999999999999</v>
      </c>
      <c r="AF170">
        <v>137.4</v>
      </c>
      <c r="AG170" s="1">
        <f t="shared" si="20"/>
        <v>131.85</v>
      </c>
      <c r="AH170" s="1">
        <f t="shared" si="22"/>
        <v>686.76666666666665</v>
      </c>
      <c r="AI170">
        <f t="shared" si="23"/>
        <v>26.48992412275496</v>
      </c>
      <c r="AJ170">
        <f t="shared" si="24"/>
        <v>27.547731443859057</v>
      </c>
      <c r="AK170">
        <f t="shared" si="25"/>
        <v>26.02014262365434</v>
      </c>
      <c r="AL170">
        <f t="shared" si="26"/>
        <v>26.346113459764975</v>
      </c>
      <c r="AM170">
        <f t="shared" si="27"/>
        <v>25.281914553639094</v>
      </c>
    </row>
    <row r="171" spans="1:39" x14ac:dyDescent="0.3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128.1</v>
      </c>
      <c r="V171">
        <v>126.1</v>
      </c>
      <c r="W171">
        <v>115.7</v>
      </c>
      <c r="X171">
        <v>124.5</v>
      </c>
      <c r="Y171">
        <v>135.9</v>
      </c>
      <c r="Z171">
        <v>124.4</v>
      </c>
      <c r="AA171">
        <v>124.5</v>
      </c>
      <c r="AB171">
        <v>132.4</v>
      </c>
      <c r="AC171" s="10">
        <f t="shared" si="19"/>
        <v>135.94999999999999</v>
      </c>
      <c r="AD171">
        <f t="shared" si="21"/>
        <v>129.96666666666667</v>
      </c>
      <c r="AE171">
        <v>135.69999999999999</v>
      </c>
      <c r="AF171">
        <v>120.6</v>
      </c>
      <c r="AG171" s="1">
        <f t="shared" si="20"/>
        <v>125.78333333333332</v>
      </c>
      <c r="AH171" s="1">
        <f t="shared" si="22"/>
        <v>647.99999999999989</v>
      </c>
      <c r="AI171">
        <f t="shared" si="23"/>
        <v>26.06807951131767</v>
      </c>
      <c r="AJ171">
        <f t="shared" si="24"/>
        <v>24.920789999908692</v>
      </c>
      <c r="AK171">
        <f t="shared" si="25"/>
        <v>26.02014262365434</v>
      </c>
      <c r="AL171">
        <f t="shared" si="26"/>
        <v>23.124754608789345</v>
      </c>
      <c r="AM171">
        <f t="shared" si="27"/>
        <v>24.118646079675671</v>
      </c>
    </row>
    <row r="172" spans="1:39" x14ac:dyDescent="0.3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133.30000000000001</v>
      </c>
      <c r="V172">
        <v>130.6</v>
      </c>
      <c r="W172">
        <v>118.3</v>
      </c>
      <c r="X172">
        <v>127.9</v>
      </c>
      <c r="Y172">
        <v>137.4</v>
      </c>
      <c r="Z172">
        <v>125.7</v>
      </c>
      <c r="AA172">
        <v>127.5</v>
      </c>
      <c r="AB172">
        <v>135.19999999999999</v>
      </c>
      <c r="AC172" s="10">
        <f t="shared" si="19"/>
        <v>137.19999999999999</v>
      </c>
      <c r="AD172">
        <f t="shared" si="21"/>
        <v>138.16666666666666</v>
      </c>
      <c r="AE172">
        <v>135.69999999999999</v>
      </c>
      <c r="AF172">
        <v>131</v>
      </c>
      <c r="AG172" s="1">
        <f t="shared" si="20"/>
        <v>128.86666666666667</v>
      </c>
      <c r="AH172" s="1">
        <f t="shared" si="22"/>
        <v>670.93333333333328</v>
      </c>
      <c r="AI172">
        <f t="shared" si="23"/>
        <v>26.30776394963431</v>
      </c>
      <c r="AJ172">
        <f t="shared" si="24"/>
        <v>26.493119915265844</v>
      </c>
      <c r="AK172">
        <f t="shared" si="25"/>
        <v>26.02014262365434</v>
      </c>
      <c r="AL172">
        <f t="shared" si="26"/>
        <v>25.118929135583784</v>
      </c>
      <c r="AM172">
        <f t="shared" si="27"/>
        <v>24.709867694190052</v>
      </c>
    </row>
    <row r="173" spans="1:39" x14ac:dyDescent="0.3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>
        <v>138.4</v>
      </c>
      <c r="V173">
        <v>134.19999999999999</v>
      </c>
      <c r="W173">
        <v>121</v>
      </c>
      <c r="X173">
        <v>133</v>
      </c>
      <c r="Y173">
        <v>140.1</v>
      </c>
      <c r="Z173">
        <v>127.4</v>
      </c>
      <c r="AA173">
        <v>130.69999999999999</v>
      </c>
      <c r="AB173">
        <v>138.30000000000001</v>
      </c>
      <c r="AC173" s="10">
        <f t="shared" si="19"/>
        <v>138.67142857142855</v>
      </c>
      <c r="AD173">
        <f t="shared" si="21"/>
        <v>144.66666666666666</v>
      </c>
      <c r="AE173">
        <v>137.30000000000001</v>
      </c>
      <c r="AF173">
        <v>138.1</v>
      </c>
      <c r="AG173" s="1">
        <f t="shared" si="20"/>
        <v>132.35</v>
      </c>
      <c r="AH173" s="1">
        <f t="shared" si="22"/>
        <v>691.08809523809521</v>
      </c>
      <c r="AI173">
        <f t="shared" si="23"/>
        <v>26.589906774167037</v>
      </c>
      <c r="AJ173">
        <f t="shared" si="24"/>
        <v>27.739478994512368</v>
      </c>
      <c r="AK173">
        <f t="shared" si="25"/>
        <v>26.32693870469965</v>
      </c>
      <c r="AL173">
        <f t="shared" si="26"/>
        <v>26.480336745222292</v>
      </c>
      <c r="AM173">
        <f t="shared" si="27"/>
        <v>25.37778832896575</v>
      </c>
    </row>
    <row r="174" spans="1:39" x14ac:dyDescent="0.3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128.30000000000001</v>
      </c>
      <c r="V174">
        <v>126.6</v>
      </c>
      <c r="W174">
        <v>115</v>
      </c>
      <c r="X174">
        <v>124.8</v>
      </c>
      <c r="Y174">
        <v>136.30000000000001</v>
      </c>
      <c r="Z174">
        <v>124.6</v>
      </c>
      <c r="AA174">
        <v>124.5</v>
      </c>
      <c r="AB174">
        <v>133.5</v>
      </c>
      <c r="AC174" s="10">
        <f t="shared" si="19"/>
        <v>137.16428571428568</v>
      </c>
      <c r="AD174">
        <f t="shared" si="21"/>
        <v>130.5</v>
      </c>
      <c r="AE174">
        <v>137.30000000000001</v>
      </c>
      <c r="AF174">
        <v>122.6</v>
      </c>
      <c r="AG174" s="1">
        <f t="shared" si="20"/>
        <v>125.93333333333334</v>
      </c>
      <c r="AH174" s="1">
        <f t="shared" si="22"/>
        <v>653.49761904761908</v>
      </c>
      <c r="AI174">
        <f t="shared" si="23"/>
        <v>26.30091582282526</v>
      </c>
      <c r="AJ174">
        <f t="shared" si="24"/>
        <v>25.023055360257128</v>
      </c>
      <c r="AK174">
        <f t="shared" si="25"/>
        <v>26.32693870469965</v>
      </c>
      <c r="AL174">
        <f t="shared" si="26"/>
        <v>23.508249710095967</v>
      </c>
      <c r="AM174">
        <f t="shared" si="27"/>
        <v>24.147408212273671</v>
      </c>
    </row>
    <row r="175" spans="1:39" x14ac:dyDescent="0.3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133.6</v>
      </c>
      <c r="V175">
        <v>131.30000000000001</v>
      </c>
      <c r="W175">
        <v>117.8</v>
      </c>
      <c r="X175">
        <v>128.4</v>
      </c>
      <c r="Y175">
        <v>137.9</v>
      </c>
      <c r="Z175">
        <v>126.2</v>
      </c>
      <c r="AA175">
        <v>127.7</v>
      </c>
      <c r="AB175">
        <v>136.1</v>
      </c>
      <c r="AC175" s="10">
        <f t="shared" si="19"/>
        <v>137.94999999999999</v>
      </c>
      <c r="AD175">
        <f t="shared" si="21"/>
        <v>138.96666666666667</v>
      </c>
      <c r="AE175">
        <v>137.30000000000001</v>
      </c>
      <c r="AF175">
        <v>132.19999999999999</v>
      </c>
      <c r="AG175" s="1">
        <f t="shared" si="20"/>
        <v>129.20000000000002</v>
      </c>
      <c r="AH175" s="1">
        <f t="shared" si="22"/>
        <v>675.61666666666667</v>
      </c>
      <c r="AI175">
        <f t="shared" si="23"/>
        <v>26.451574612624295</v>
      </c>
      <c r="AJ175">
        <f t="shared" si="24"/>
        <v>26.646517955788497</v>
      </c>
      <c r="AK175">
        <f t="shared" si="25"/>
        <v>26.32693870469965</v>
      </c>
      <c r="AL175">
        <f t="shared" si="26"/>
        <v>25.349026196367753</v>
      </c>
      <c r="AM175">
        <f t="shared" si="27"/>
        <v>24.773783544407827</v>
      </c>
    </row>
    <row r="176" spans="1:39" x14ac:dyDescent="0.3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>
        <v>139.4</v>
      </c>
      <c r="V176">
        <v>135.80000000000001</v>
      </c>
      <c r="W176">
        <v>121.6</v>
      </c>
      <c r="X176">
        <v>133.69999999999999</v>
      </c>
      <c r="Y176">
        <v>141.5</v>
      </c>
      <c r="Z176">
        <v>128.1</v>
      </c>
      <c r="AA176">
        <v>131.69999999999999</v>
      </c>
      <c r="AB176">
        <v>140</v>
      </c>
      <c r="AC176" s="10">
        <f t="shared" si="19"/>
        <v>140.70000000000002</v>
      </c>
      <c r="AD176">
        <f t="shared" si="21"/>
        <v>145.66666666666666</v>
      </c>
      <c r="AE176">
        <v>138.6</v>
      </c>
      <c r="AF176">
        <v>141.1</v>
      </c>
      <c r="AG176" s="1">
        <f t="shared" si="20"/>
        <v>133.35</v>
      </c>
      <c r="AH176" s="1">
        <f t="shared" si="22"/>
        <v>699.41666666666674</v>
      </c>
      <c r="AI176">
        <f t="shared" si="23"/>
        <v>26.978880376920905</v>
      </c>
      <c r="AJ176">
        <f t="shared" si="24"/>
        <v>27.931226545165678</v>
      </c>
      <c r="AK176">
        <f t="shared" si="25"/>
        <v>26.576210520548948</v>
      </c>
      <c r="AL176">
        <f t="shared" si="26"/>
        <v>27.055579397182228</v>
      </c>
      <c r="AM176">
        <f t="shared" si="27"/>
        <v>25.569535879619064</v>
      </c>
    </row>
    <row r="177" spans="1:39" x14ac:dyDescent="0.3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128.80000000000001</v>
      </c>
      <c r="V177">
        <v>127.4</v>
      </c>
      <c r="W177">
        <v>115.3</v>
      </c>
      <c r="X177">
        <v>125.1</v>
      </c>
      <c r="Y177">
        <v>136.6</v>
      </c>
      <c r="Z177">
        <v>124.9</v>
      </c>
      <c r="AA177">
        <v>124.9</v>
      </c>
      <c r="AB177">
        <v>134.80000000000001</v>
      </c>
      <c r="AC177" s="10">
        <f t="shared" si="19"/>
        <v>139.49285714285716</v>
      </c>
      <c r="AD177">
        <f t="shared" si="21"/>
        <v>131.29999999999998</v>
      </c>
      <c r="AE177">
        <v>138.6</v>
      </c>
      <c r="AF177">
        <v>125.7</v>
      </c>
      <c r="AG177" s="1">
        <f t="shared" si="20"/>
        <v>126.35000000000001</v>
      </c>
      <c r="AH177" s="1">
        <f t="shared" si="22"/>
        <v>661.44285714285718</v>
      </c>
      <c r="AI177">
        <f t="shared" si="23"/>
        <v>26.747413690775122</v>
      </c>
      <c r="AJ177">
        <f t="shared" si="24"/>
        <v>25.176453400779774</v>
      </c>
      <c r="AK177">
        <f t="shared" si="25"/>
        <v>26.576210520548948</v>
      </c>
      <c r="AL177">
        <f t="shared" si="26"/>
        <v>24.102667117121232</v>
      </c>
      <c r="AM177">
        <f t="shared" si="27"/>
        <v>24.227303025045888</v>
      </c>
    </row>
    <row r="178" spans="1:39" x14ac:dyDescent="0.3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134.4</v>
      </c>
      <c r="V178">
        <v>132.6</v>
      </c>
      <c r="W178">
        <v>118.3</v>
      </c>
      <c r="X178">
        <v>128.9</v>
      </c>
      <c r="Y178">
        <v>138.6</v>
      </c>
      <c r="Z178">
        <v>126.8</v>
      </c>
      <c r="AA178">
        <v>128.4</v>
      </c>
      <c r="AB178">
        <v>137.6</v>
      </c>
      <c r="AC178" s="10">
        <f t="shared" si="19"/>
        <v>140.1</v>
      </c>
      <c r="AD178">
        <f t="shared" si="21"/>
        <v>139.86666666666667</v>
      </c>
      <c r="AE178">
        <v>138.6</v>
      </c>
      <c r="AF178">
        <v>135.30000000000001</v>
      </c>
      <c r="AG178" s="1">
        <f t="shared" si="20"/>
        <v>129.93333333333334</v>
      </c>
      <c r="AH178" s="1">
        <f t="shared" si="22"/>
        <v>683.80000000000018</v>
      </c>
      <c r="AI178">
        <f t="shared" si="23"/>
        <v>26.863831846528914</v>
      </c>
      <c r="AJ178">
        <f t="shared" si="24"/>
        <v>26.819090751376478</v>
      </c>
      <c r="AK178">
        <f t="shared" si="25"/>
        <v>26.576210520548948</v>
      </c>
      <c r="AL178">
        <f t="shared" si="26"/>
        <v>25.943443603393025</v>
      </c>
      <c r="AM178">
        <f t="shared" si="27"/>
        <v>24.914398414886918</v>
      </c>
    </row>
    <row r="179" spans="1:39" x14ac:dyDescent="0.3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>
        <v>139.5</v>
      </c>
      <c r="V179">
        <v>136.1</v>
      </c>
      <c r="W179">
        <v>122</v>
      </c>
      <c r="X179">
        <v>133.4</v>
      </c>
      <c r="Y179">
        <v>141.1</v>
      </c>
      <c r="Z179">
        <v>127.8</v>
      </c>
      <c r="AA179">
        <v>131.9</v>
      </c>
      <c r="AB179">
        <v>139.80000000000001</v>
      </c>
      <c r="AC179" s="10">
        <f t="shared" si="19"/>
        <v>140.48571428571429</v>
      </c>
      <c r="AD179">
        <f t="shared" si="21"/>
        <v>145.69999999999999</v>
      </c>
      <c r="AE179">
        <v>139.1</v>
      </c>
      <c r="AF179">
        <v>142.6</v>
      </c>
      <c r="AG179" s="1">
        <f t="shared" si="20"/>
        <v>133.31666666666666</v>
      </c>
      <c r="AH179" s="1">
        <f t="shared" si="22"/>
        <v>701.20238095238096</v>
      </c>
      <c r="AI179">
        <f t="shared" si="23"/>
        <v>26.937791616066626</v>
      </c>
      <c r="AJ179">
        <f t="shared" si="24"/>
        <v>27.93761813018746</v>
      </c>
      <c r="AK179">
        <f t="shared" si="25"/>
        <v>26.672084295875603</v>
      </c>
      <c r="AL179">
        <f t="shared" si="26"/>
        <v>27.343200723162191</v>
      </c>
      <c r="AM179">
        <f t="shared" si="27"/>
        <v>25.563144294597283</v>
      </c>
    </row>
    <row r="180" spans="1:39" x14ac:dyDescent="0.3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129.30000000000001</v>
      </c>
      <c r="V180">
        <v>128.19999999999999</v>
      </c>
      <c r="W180">
        <v>115.3</v>
      </c>
      <c r="X180">
        <v>125.6</v>
      </c>
      <c r="Y180">
        <v>136.69999999999999</v>
      </c>
      <c r="Z180">
        <v>124.6</v>
      </c>
      <c r="AA180">
        <v>125.1</v>
      </c>
      <c r="AB180">
        <v>134.1</v>
      </c>
      <c r="AC180" s="10">
        <f t="shared" si="19"/>
        <v>137.46428571428572</v>
      </c>
      <c r="AD180">
        <f t="shared" si="21"/>
        <v>131.73333333333332</v>
      </c>
      <c r="AE180">
        <v>139.1</v>
      </c>
      <c r="AF180">
        <v>126.8</v>
      </c>
      <c r="AG180" s="1">
        <f t="shared" si="20"/>
        <v>126.61666666666666</v>
      </c>
      <c r="AH180" s="1">
        <f t="shared" si="22"/>
        <v>661.71428571428567</v>
      </c>
      <c r="AI180">
        <f t="shared" si="23"/>
        <v>26.358440088021261</v>
      </c>
      <c r="AJ180">
        <f t="shared" si="24"/>
        <v>25.259544006062875</v>
      </c>
      <c r="AK180">
        <f t="shared" si="25"/>
        <v>26.672084295875603</v>
      </c>
      <c r="AL180">
        <f t="shared" si="26"/>
        <v>24.313589422839872</v>
      </c>
      <c r="AM180">
        <f t="shared" si="27"/>
        <v>24.278435705220101</v>
      </c>
    </row>
    <row r="181" spans="1:39" x14ac:dyDescent="0.3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134.69999999999999</v>
      </c>
      <c r="V181">
        <v>133.1</v>
      </c>
      <c r="W181">
        <v>118.5</v>
      </c>
      <c r="X181">
        <v>129</v>
      </c>
      <c r="Y181">
        <v>138.5</v>
      </c>
      <c r="Z181">
        <v>126.5</v>
      </c>
      <c r="AA181">
        <v>128.6</v>
      </c>
      <c r="AB181">
        <v>137.19999999999999</v>
      </c>
      <c r="AC181" s="10">
        <f t="shared" si="19"/>
        <v>139.22857142857143</v>
      </c>
      <c r="AD181">
        <f t="shared" si="21"/>
        <v>140.06666666666666</v>
      </c>
      <c r="AE181">
        <v>139.1</v>
      </c>
      <c r="AF181">
        <v>136.6</v>
      </c>
      <c r="AG181" s="1">
        <f t="shared" si="20"/>
        <v>130.04999999999998</v>
      </c>
      <c r="AH181" s="1">
        <f t="shared" si="22"/>
        <v>685.04523809523812</v>
      </c>
      <c r="AI181">
        <f t="shared" si="23"/>
        <v>26.696737552388171</v>
      </c>
      <c r="AJ181">
        <f t="shared" si="24"/>
        <v>26.857440261507136</v>
      </c>
      <c r="AK181">
        <f t="shared" si="25"/>
        <v>26.672084295875603</v>
      </c>
      <c r="AL181">
        <f t="shared" si="26"/>
        <v>26.192715419242322</v>
      </c>
      <c r="AM181">
        <f t="shared" si="27"/>
        <v>24.936768962463134</v>
      </c>
    </row>
    <row r="182" spans="1:39" x14ac:dyDescent="0.3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>
        <v>139.80000000000001</v>
      </c>
      <c r="V182">
        <v>136</v>
      </c>
      <c r="W182">
        <v>122.7</v>
      </c>
      <c r="X182">
        <v>134.30000000000001</v>
      </c>
      <c r="Y182">
        <v>141.6</v>
      </c>
      <c r="Z182">
        <v>128.6</v>
      </c>
      <c r="AA182">
        <v>132.30000000000001</v>
      </c>
      <c r="AB182">
        <v>139.30000000000001</v>
      </c>
      <c r="AC182" s="10">
        <f t="shared" si="19"/>
        <v>139.59285714285713</v>
      </c>
      <c r="AD182">
        <f t="shared" si="21"/>
        <v>146.03333333333333</v>
      </c>
      <c r="AE182">
        <v>140.4</v>
      </c>
      <c r="AF182">
        <v>142.30000000000001</v>
      </c>
      <c r="AG182" s="1">
        <f t="shared" si="20"/>
        <v>133.83333333333334</v>
      </c>
      <c r="AH182" s="1">
        <f t="shared" si="22"/>
        <v>702.15952380952388</v>
      </c>
      <c r="AI182">
        <f t="shared" si="23"/>
        <v>26.766588445840444</v>
      </c>
      <c r="AJ182">
        <f t="shared" si="24"/>
        <v>28.001533980405231</v>
      </c>
      <c r="AK182">
        <f t="shared" si="25"/>
        <v>26.921356111724908</v>
      </c>
      <c r="AL182">
        <f t="shared" si="26"/>
        <v>27.285676457966201</v>
      </c>
      <c r="AM182">
        <f t="shared" si="27"/>
        <v>25.662213862434836</v>
      </c>
    </row>
    <row r="183" spans="1:39" x14ac:dyDescent="0.3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129.5</v>
      </c>
      <c r="V183">
        <v>129</v>
      </c>
      <c r="W183">
        <v>116.3</v>
      </c>
      <c r="X183">
        <v>126.2</v>
      </c>
      <c r="Y183">
        <v>137.1</v>
      </c>
      <c r="Z183">
        <v>125.5</v>
      </c>
      <c r="AA183">
        <v>125.8</v>
      </c>
      <c r="AB183">
        <v>134.1</v>
      </c>
      <c r="AC183" s="10">
        <f t="shared" si="19"/>
        <v>136.14285714285717</v>
      </c>
      <c r="AD183">
        <f t="shared" si="21"/>
        <v>132.1</v>
      </c>
      <c r="AE183">
        <v>140.4</v>
      </c>
      <c r="AF183">
        <v>127.3</v>
      </c>
      <c r="AG183" s="1">
        <f t="shared" si="20"/>
        <v>127.26666666666667</v>
      </c>
      <c r="AH183" s="1">
        <f t="shared" si="22"/>
        <v>663.20952380952372</v>
      </c>
      <c r="AI183">
        <f t="shared" si="23"/>
        <v>26.105059396086531</v>
      </c>
      <c r="AJ183">
        <f t="shared" si="24"/>
        <v>25.329851441302427</v>
      </c>
      <c r="AK183">
        <f t="shared" si="25"/>
        <v>26.921356111724908</v>
      </c>
      <c r="AL183">
        <f t="shared" si="26"/>
        <v>24.409463198166531</v>
      </c>
      <c r="AM183">
        <f t="shared" si="27"/>
        <v>24.403071613144753</v>
      </c>
    </row>
    <row r="184" spans="1:39" x14ac:dyDescent="0.3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134.9</v>
      </c>
      <c r="V184">
        <v>133.30000000000001</v>
      </c>
      <c r="W184">
        <v>119.3</v>
      </c>
      <c r="X184">
        <v>129.69999999999999</v>
      </c>
      <c r="Y184">
        <v>139</v>
      </c>
      <c r="Z184">
        <v>127.3</v>
      </c>
      <c r="AA184">
        <v>129.1</v>
      </c>
      <c r="AB184">
        <v>136.9</v>
      </c>
      <c r="AC184" s="10">
        <f t="shared" si="19"/>
        <v>138.18571428571428</v>
      </c>
      <c r="AD184">
        <f t="shared" si="21"/>
        <v>140.43333333333334</v>
      </c>
      <c r="AE184">
        <v>140.4</v>
      </c>
      <c r="AF184">
        <v>136.6</v>
      </c>
      <c r="AG184" s="1">
        <f t="shared" si="20"/>
        <v>130.58333333333334</v>
      </c>
      <c r="AH184" s="1">
        <f t="shared" si="22"/>
        <v>686.20238095238096</v>
      </c>
      <c r="AI184">
        <f t="shared" si="23"/>
        <v>26.496772249564003</v>
      </c>
      <c r="AJ184">
        <f t="shared" si="24"/>
        <v>26.927747696746685</v>
      </c>
      <c r="AK184">
        <f t="shared" si="25"/>
        <v>26.921356111724908</v>
      </c>
      <c r="AL184">
        <f t="shared" si="26"/>
        <v>26.192715419242322</v>
      </c>
      <c r="AM184">
        <f t="shared" si="27"/>
        <v>25.03903432281157</v>
      </c>
    </row>
    <row r="185" spans="1:39" x14ac:dyDescent="0.3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>
        <v>139.9</v>
      </c>
      <c r="V185">
        <v>136.19999999999999</v>
      </c>
      <c r="W185">
        <v>123.3</v>
      </c>
      <c r="X185">
        <v>134.30000000000001</v>
      </c>
      <c r="Y185">
        <v>141.5</v>
      </c>
      <c r="Z185">
        <v>128.80000000000001</v>
      </c>
      <c r="AA185">
        <v>132.5</v>
      </c>
      <c r="AB185">
        <v>138.5</v>
      </c>
      <c r="AC185" s="10">
        <f t="shared" si="19"/>
        <v>138.19999999999999</v>
      </c>
      <c r="AD185">
        <f t="shared" si="21"/>
        <v>146.30000000000001</v>
      </c>
      <c r="AE185">
        <v>141.30000000000001</v>
      </c>
      <c r="AF185">
        <v>142.4</v>
      </c>
      <c r="AG185" s="1">
        <f t="shared" si="20"/>
        <v>134</v>
      </c>
      <c r="AH185" s="1">
        <f t="shared" si="22"/>
        <v>702.2</v>
      </c>
      <c r="AI185">
        <f t="shared" si="23"/>
        <v>26.499511500287621</v>
      </c>
      <c r="AJ185">
        <f t="shared" si="24"/>
        <v>28.052666660579444</v>
      </c>
      <c r="AK185">
        <f t="shared" si="25"/>
        <v>27.093928907312893</v>
      </c>
      <c r="AL185">
        <f t="shared" si="26"/>
        <v>27.304851213031533</v>
      </c>
      <c r="AM185">
        <f t="shared" si="27"/>
        <v>25.694171787543716</v>
      </c>
    </row>
    <row r="186" spans="1:39" x14ac:dyDescent="0.3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129.9</v>
      </c>
      <c r="V186">
        <v>129.80000000000001</v>
      </c>
      <c r="W186">
        <v>117.4</v>
      </c>
      <c r="X186">
        <v>126.5</v>
      </c>
      <c r="Y186">
        <v>137.19999999999999</v>
      </c>
      <c r="Z186">
        <v>126.2</v>
      </c>
      <c r="AA186">
        <v>126.5</v>
      </c>
      <c r="AB186">
        <v>134</v>
      </c>
      <c r="AC186" s="10">
        <f t="shared" si="19"/>
        <v>134.80000000000001</v>
      </c>
      <c r="AD186">
        <f t="shared" si="21"/>
        <v>132.36666666666665</v>
      </c>
      <c r="AE186">
        <v>141.30000000000001</v>
      </c>
      <c r="AF186">
        <v>127.3</v>
      </c>
      <c r="AG186" s="1">
        <f t="shared" si="20"/>
        <v>127.83333333333333</v>
      </c>
      <c r="AH186" s="1">
        <f t="shared" si="22"/>
        <v>663.6</v>
      </c>
      <c r="AI186">
        <f t="shared" si="23"/>
        <v>25.847569828066369</v>
      </c>
      <c r="AJ186">
        <f t="shared" si="24"/>
        <v>25.380984121476637</v>
      </c>
      <c r="AK186">
        <f t="shared" si="25"/>
        <v>27.093928907312893</v>
      </c>
      <c r="AL186">
        <f t="shared" si="26"/>
        <v>24.409463198166531</v>
      </c>
      <c r="AM186">
        <f t="shared" si="27"/>
        <v>24.51172855851496</v>
      </c>
    </row>
    <row r="187" spans="1:39" x14ac:dyDescent="0.3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135.19999999999999</v>
      </c>
      <c r="V187">
        <v>133.80000000000001</v>
      </c>
      <c r="W187">
        <v>120.2</v>
      </c>
      <c r="X187">
        <v>129.9</v>
      </c>
      <c r="Y187">
        <v>139</v>
      </c>
      <c r="Z187">
        <v>127.7</v>
      </c>
      <c r="AA187">
        <v>129.6</v>
      </c>
      <c r="AB187">
        <v>136.4</v>
      </c>
      <c r="AC187" s="10">
        <f t="shared" si="19"/>
        <v>136.80714285714285</v>
      </c>
      <c r="AD187">
        <f t="shared" si="21"/>
        <v>140.66666666666666</v>
      </c>
      <c r="AE187">
        <v>141.30000000000001</v>
      </c>
      <c r="AF187">
        <v>136.69999999999999</v>
      </c>
      <c r="AG187" s="1">
        <f t="shared" si="20"/>
        <v>130.96666666666667</v>
      </c>
      <c r="AH187" s="1">
        <f t="shared" si="22"/>
        <v>686.44047619047615</v>
      </c>
      <c r="AI187">
        <f t="shared" si="23"/>
        <v>26.232434554734795</v>
      </c>
      <c r="AJ187">
        <f t="shared" si="24"/>
        <v>26.972488791899124</v>
      </c>
      <c r="AK187">
        <f t="shared" si="25"/>
        <v>27.093928907312893</v>
      </c>
      <c r="AL187">
        <f t="shared" si="26"/>
        <v>26.211890174307655</v>
      </c>
      <c r="AM187">
        <f t="shared" si="27"/>
        <v>25.112537550562003</v>
      </c>
    </row>
    <row r="188" spans="1:39" x14ac:dyDescent="0.3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>
        <v>139.9</v>
      </c>
      <c r="V188">
        <v>136.69999999999999</v>
      </c>
      <c r="W188">
        <v>124.6</v>
      </c>
      <c r="X188">
        <v>135.1</v>
      </c>
      <c r="Y188">
        <v>142.69999999999999</v>
      </c>
      <c r="Z188">
        <v>129.30000000000001</v>
      </c>
      <c r="AA188">
        <v>133.30000000000001</v>
      </c>
      <c r="AB188">
        <v>138.69999999999999</v>
      </c>
      <c r="AC188" s="10">
        <f t="shared" si="19"/>
        <v>138.3642857142857</v>
      </c>
      <c r="AD188">
        <f t="shared" si="21"/>
        <v>146.83333333333334</v>
      </c>
      <c r="AE188">
        <v>142</v>
      </c>
      <c r="AF188">
        <v>142.6</v>
      </c>
      <c r="AG188" s="1">
        <f t="shared" si="20"/>
        <v>134.71666666666667</v>
      </c>
      <c r="AH188" s="1">
        <f t="shared" si="22"/>
        <v>704.51428571428573</v>
      </c>
      <c r="AI188">
        <f t="shared" si="23"/>
        <v>26.531012883609232</v>
      </c>
      <c r="AJ188">
        <f t="shared" si="24"/>
        <v>28.15493202092788</v>
      </c>
      <c r="AK188">
        <f t="shared" si="25"/>
        <v>27.228152192770207</v>
      </c>
      <c r="AL188">
        <f t="shared" si="26"/>
        <v>27.343200723162191</v>
      </c>
      <c r="AM188">
        <f t="shared" si="27"/>
        <v>25.83159086551192</v>
      </c>
    </row>
    <row r="189" spans="1:39" x14ac:dyDescent="0.3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130.80000000000001</v>
      </c>
      <c r="V189">
        <v>130.5</v>
      </c>
      <c r="W189">
        <v>117.8</v>
      </c>
      <c r="X189">
        <v>126.8</v>
      </c>
      <c r="Y189">
        <v>137.80000000000001</v>
      </c>
      <c r="Z189">
        <v>126.7</v>
      </c>
      <c r="AA189">
        <v>127.1</v>
      </c>
      <c r="AB189">
        <v>134</v>
      </c>
      <c r="AC189" s="10">
        <f t="shared" si="19"/>
        <v>133.94285714285715</v>
      </c>
      <c r="AD189">
        <f t="shared" si="21"/>
        <v>132.86666666666665</v>
      </c>
      <c r="AE189">
        <v>142</v>
      </c>
      <c r="AF189">
        <v>126.4</v>
      </c>
      <c r="AG189" s="1">
        <f t="shared" si="20"/>
        <v>128.4</v>
      </c>
      <c r="AH189" s="1">
        <f t="shared" si="22"/>
        <v>663.60952380952381</v>
      </c>
      <c r="AI189">
        <f t="shared" si="23"/>
        <v>25.683214784649245</v>
      </c>
      <c r="AJ189">
        <f t="shared" si="24"/>
        <v>25.476857896803295</v>
      </c>
      <c r="AK189">
        <f t="shared" si="25"/>
        <v>27.228152192770207</v>
      </c>
      <c r="AL189">
        <f t="shared" si="26"/>
        <v>24.236890402578553</v>
      </c>
      <c r="AM189">
        <f t="shared" si="27"/>
        <v>24.620385503885174</v>
      </c>
    </row>
    <row r="190" spans="1:39" x14ac:dyDescent="0.3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135.6</v>
      </c>
      <c r="V190">
        <v>134.30000000000001</v>
      </c>
      <c r="W190">
        <v>121</v>
      </c>
      <c r="X190">
        <v>130.4</v>
      </c>
      <c r="Y190">
        <v>139.80000000000001</v>
      </c>
      <c r="Z190">
        <v>128.19999999999999</v>
      </c>
      <c r="AA190">
        <v>130.30000000000001</v>
      </c>
      <c r="AB190">
        <v>136.5</v>
      </c>
      <c r="AC190" s="10">
        <f t="shared" si="19"/>
        <v>136.59285714285713</v>
      </c>
      <c r="AD190">
        <f t="shared" si="21"/>
        <v>141.20000000000002</v>
      </c>
      <c r="AE190">
        <v>142</v>
      </c>
      <c r="AF190">
        <v>136.5</v>
      </c>
      <c r="AG190" s="1">
        <f t="shared" si="20"/>
        <v>131.54999999999998</v>
      </c>
      <c r="AH190" s="1">
        <f t="shared" si="22"/>
        <v>687.84285714285716</v>
      </c>
      <c r="AI190">
        <f t="shared" si="23"/>
        <v>26.191345793880515</v>
      </c>
      <c r="AJ190">
        <f t="shared" si="24"/>
        <v>27.074754152247561</v>
      </c>
      <c r="AK190">
        <f t="shared" si="25"/>
        <v>27.228152192770207</v>
      </c>
      <c r="AL190">
        <f t="shared" si="26"/>
        <v>26.173540664176993</v>
      </c>
      <c r="AM190">
        <f t="shared" si="27"/>
        <v>25.2243902884431</v>
      </c>
    </row>
    <row r="191" spans="1:39" x14ac:dyDescent="0.3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>
        <v>140.9</v>
      </c>
      <c r="V191">
        <v>137.6</v>
      </c>
      <c r="W191">
        <v>125.3</v>
      </c>
      <c r="X191">
        <v>136</v>
      </c>
      <c r="Y191">
        <v>143.69999999999999</v>
      </c>
      <c r="Z191">
        <v>130.4</v>
      </c>
      <c r="AA191">
        <v>134.19999999999999</v>
      </c>
      <c r="AB191">
        <v>139.1</v>
      </c>
      <c r="AC191" s="10">
        <f t="shared" si="19"/>
        <v>138.29285714285714</v>
      </c>
      <c r="AD191">
        <f t="shared" si="21"/>
        <v>147.5</v>
      </c>
      <c r="AE191">
        <v>142.9</v>
      </c>
      <c r="AF191">
        <v>143.80000000000001</v>
      </c>
      <c r="AG191" s="1">
        <f t="shared" si="20"/>
        <v>135.65</v>
      </c>
      <c r="AH191" s="1">
        <f t="shared" si="22"/>
        <v>708.14285714285722</v>
      </c>
      <c r="AI191">
        <f t="shared" si="23"/>
        <v>26.517316629991143</v>
      </c>
      <c r="AJ191">
        <f t="shared" si="24"/>
        <v>28.28276372136342</v>
      </c>
      <c r="AK191">
        <f t="shared" si="25"/>
        <v>27.400724988358188</v>
      </c>
      <c r="AL191">
        <f t="shared" si="26"/>
        <v>27.57329778394617</v>
      </c>
      <c r="AM191">
        <f t="shared" si="27"/>
        <v>26.01055524612168</v>
      </c>
    </row>
    <row r="192" spans="1:39" x14ac:dyDescent="0.3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131.80000000000001</v>
      </c>
      <c r="V192">
        <v>131.30000000000001</v>
      </c>
      <c r="W192">
        <v>118.9</v>
      </c>
      <c r="X192">
        <v>127.6</v>
      </c>
      <c r="Y192">
        <v>139.69999999999999</v>
      </c>
      <c r="Z192">
        <v>127.6</v>
      </c>
      <c r="AA192">
        <v>128.19999999999999</v>
      </c>
      <c r="AB192">
        <v>134.80000000000001</v>
      </c>
      <c r="AC192" s="10">
        <f t="shared" si="19"/>
        <v>134.22857142857146</v>
      </c>
      <c r="AD192">
        <f t="shared" si="21"/>
        <v>133.80000000000001</v>
      </c>
      <c r="AE192">
        <v>142.9</v>
      </c>
      <c r="AF192">
        <v>124.6</v>
      </c>
      <c r="AG192" s="1">
        <f t="shared" si="20"/>
        <v>129.48333333333332</v>
      </c>
      <c r="AH192" s="1">
        <f t="shared" si="22"/>
        <v>665.01190476190482</v>
      </c>
      <c r="AI192">
        <f t="shared" si="23"/>
        <v>25.737999799121621</v>
      </c>
      <c r="AJ192">
        <f t="shared" si="24"/>
        <v>25.655822277413055</v>
      </c>
      <c r="AK192">
        <f t="shared" si="25"/>
        <v>27.400724988358188</v>
      </c>
      <c r="AL192">
        <f t="shared" si="26"/>
        <v>23.891744811402589</v>
      </c>
      <c r="AM192">
        <f t="shared" si="27"/>
        <v>24.828112017092923</v>
      </c>
    </row>
    <row r="193" spans="1:39" x14ac:dyDescent="0.3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136.6</v>
      </c>
      <c r="V193">
        <v>135.19999999999999</v>
      </c>
      <c r="W193">
        <v>121.9</v>
      </c>
      <c r="X193">
        <v>131.30000000000001</v>
      </c>
      <c r="Y193">
        <v>141.4</v>
      </c>
      <c r="Z193">
        <v>129.19999999999999</v>
      </c>
      <c r="AA193">
        <v>131.30000000000001</v>
      </c>
      <c r="AB193">
        <v>137.1</v>
      </c>
      <c r="AC193" s="10">
        <f t="shared" si="19"/>
        <v>136.71428571428572</v>
      </c>
      <c r="AD193">
        <f t="shared" si="21"/>
        <v>142</v>
      </c>
      <c r="AE193">
        <v>142.9</v>
      </c>
      <c r="AF193">
        <v>136.5</v>
      </c>
      <c r="AG193" s="1">
        <f t="shared" si="20"/>
        <v>132.6</v>
      </c>
      <c r="AH193" s="1">
        <f t="shared" si="22"/>
        <v>690.71428571428578</v>
      </c>
      <c r="AI193">
        <f t="shared" si="23"/>
        <v>26.214629425031276</v>
      </c>
      <c r="AJ193">
        <f t="shared" si="24"/>
        <v>27.228152192770207</v>
      </c>
      <c r="AK193">
        <f t="shared" si="25"/>
        <v>27.400724988358188</v>
      </c>
      <c r="AL193">
        <f t="shared" si="26"/>
        <v>26.173540664176993</v>
      </c>
      <c r="AM193">
        <f t="shared" si="27"/>
        <v>25.425725216629079</v>
      </c>
    </row>
    <row r="194" spans="1:39" x14ac:dyDescent="0.3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>
        <v>141.80000000000001</v>
      </c>
      <c r="V194">
        <v>138.4</v>
      </c>
      <c r="W194">
        <v>126.4</v>
      </c>
      <c r="X194">
        <v>136.80000000000001</v>
      </c>
      <c r="Y194">
        <v>144.4</v>
      </c>
      <c r="Z194">
        <v>131.19999999999999</v>
      </c>
      <c r="AA194">
        <v>135.1</v>
      </c>
      <c r="AB194">
        <v>139.80000000000001</v>
      </c>
      <c r="AC194" s="10">
        <f t="shared" ref="AC194:AC257" si="28">AVERAGE(D194:Q194)</f>
        <v>138.52857142857144</v>
      </c>
      <c r="AD194">
        <f t="shared" si="21"/>
        <v>148.23333333333332</v>
      </c>
      <c r="AE194">
        <v>143.19999999999999</v>
      </c>
      <c r="AF194">
        <v>144.30000000000001</v>
      </c>
      <c r="AG194" s="1">
        <f t="shared" ref="AG194:AG257" si="29">AVERAGE(U194:Z194)</f>
        <v>136.5</v>
      </c>
      <c r="AH194" s="1">
        <f t="shared" si="22"/>
        <v>710.76190476190482</v>
      </c>
      <c r="AI194">
        <f t="shared" si="23"/>
        <v>26.562514266930858</v>
      </c>
      <c r="AJ194">
        <f t="shared" si="24"/>
        <v>28.423378591842514</v>
      </c>
      <c r="AK194">
        <f t="shared" si="25"/>
        <v>27.458249253554179</v>
      </c>
      <c r="AL194">
        <f t="shared" si="26"/>
        <v>27.669171559272826</v>
      </c>
      <c r="AM194">
        <f t="shared" si="27"/>
        <v>26.173540664176993</v>
      </c>
    </row>
    <row r="195" spans="1:39" x14ac:dyDescent="0.3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132.5</v>
      </c>
      <c r="V195">
        <v>132</v>
      </c>
      <c r="W195">
        <v>119.8</v>
      </c>
      <c r="X195">
        <v>128</v>
      </c>
      <c r="Y195">
        <v>140.4</v>
      </c>
      <c r="Z195">
        <v>128.1</v>
      </c>
      <c r="AA195">
        <v>128.9</v>
      </c>
      <c r="AB195">
        <v>135.4</v>
      </c>
      <c r="AC195" s="10">
        <f t="shared" si="28"/>
        <v>134.51428571428571</v>
      </c>
      <c r="AD195">
        <f t="shared" ref="AD195:AD258" si="30">AVERAGE(R195:T195)</f>
        <v>134.5</v>
      </c>
      <c r="AE195">
        <v>143.19999999999999</v>
      </c>
      <c r="AF195">
        <v>124.7</v>
      </c>
      <c r="AG195" s="1">
        <f t="shared" si="29"/>
        <v>130.13333333333333</v>
      </c>
      <c r="AH195" s="1">
        <f t="shared" ref="AH195:AH258" si="31">SUM(AC195:AG195)</f>
        <v>667.04761904761904</v>
      </c>
      <c r="AI195">
        <f t="shared" ref="AI195:AI258" si="32">AC195/$AH$2*100</f>
        <v>25.79278481359399</v>
      </c>
      <c r="AJ195">
        <f t="shared" ref="AJ195:AJ258" si="33">AD195/$AH$2*100</f>
        <v>25.790045562870372</v>
      </c>
      <c r="AK195">
        <f t="shared" ref="AK195:AK258" si="34">AE195/$AH$2*100</f>
        <v>27.458249253554179</v>
      </c>
      <c r="AL195">
        <f t="shared" ref="AL195:AL258" si="35">AF195/$AH$2*100</f>
        <v>23.910919566467921</v>
      </c>
      <c r="AM195">
        <f t="shared" ref="AM195:AM258" si="36">AG195/$AH$2*100</f>
        <v>24.952747925017576</v>
      </c>
    </row>
    <row r="196" spans="1:39" x14ac:dyDescent="0.3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137.4</v>
      </c>
      <c r="V196">
        <v>136</v>
      </c>
      <c r="W196">
        <v>122.9</v>
      </c>
      <c r="X196">
        <v>131.80000000000001</v>
      </c>
      <c r="Y196">
        <v>142.1</v>
      </c>
      <c r="Z196">
        <v>129.9</v>
      </c>
      <c r="AA196">
        <v>132.1</v>
      </c>
      <c r="AB196">
        <v>137.80000000000001</v>
      </c>
      <c r="AC196" s="10">
        <f t="shared" si="28"/>
        <v>136.97857142857143</v>
      </c>
      <c r="AD196">
        <f t="shared" si="30"/>
        <v>142.69999999999999</v>
      </c>
      <c r="AE196">
        <v>143.19999999999999</v>
      </c>
      <c r="AF196">
        <v>136.9</v>
      </c>
      <c r="AG196" s="1">
        <f t="shared" si="29"/>
        <v>133.35</v>
      </c>
      <c r="AH196" s="1">
        <f t="shared" si="31"/>
        <v>693.12857142857149</v>
      </c>
      <c r="AI196">
        <f t="shared" si="32"/>
        <v>26.265305563418224</v>
      </c>
      <c r="AJ196">
        <f t="shared" si="33"/>
        <v>27.362375478227523</v>
      </c>
      <c r="AK196">
        <f t="shared" si="34"/>
        <v>27.458249253554179</v>
      </c>
      <c r="AL196">
        <f t="shared" si="35"/>
        <v>26.25023968443832</v>
      </c>
      <c r="AM196">
        <f t="shared" si="36"/>
        <v>25.569535879619064</v>
      </c>
    </row>
    <row r="197" spans="1:39" x14ac:dyDescent="0.3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>
        <v>142.19999999999999</v>
      </c>
      <c r="V197">
        <v>138.4</v>
      </c>
      <c r="W197">
        <v>127.4</v>
      </c>
      <c r="X197">
        <v>137.80000000000001</v>
      </c>
      <c r="Y197">
        <v>145.1</v>
      </c>
      <c r="Z197">
        <v>131.4</v>
      </c>
      <c r="AA197">
        <v>135.6</v>
      </c>
      <c r="AB197">
        <v>140.5</v>
      </c>
      <c r="AC197" s="10">
        <f t="shared" si="28"/>
        <v>139.1142857142857</v>
      </c>
      <c r="AD197">
        <f t="shared" si="30"/>
        <v>148.76666666666668</v>
      </c>
      <c r="AE197">
        <v>142.5</v>
      </c>
      <c r="AF197">
        <v>145.1</v>
      </c>
      <c r="AG197" s="1">
        <f t="shared" si="29"/>
        <v>137.04999999999998</v>
      </c>
      <c r="AH197" s="1">
        <f t="shared" si="31"/>
        <v>712.53095238095239</v>
      </c>
      <c r="AI197">
        <f t="shared" si="32"/>
        <v>26.674823546599217</v>
      </c>
      <c r="AJ197">
        <f t="shared" si="33"/>
        <v>28.525643952190947</v>
      </c>
      <c r="AK197">
        <f t="shared" si="34"/>
        <v>27.324025968096858</v>
      </c>
      <c r="AL197">
        <f t="shared" si="35"/>
        <v>27.822569599795472</v>
      </c>
      <c r="AM197">
        <f t="shared" si="36"/>
        <v>26.279001817036313</v>
      </c>
    </row>
    <row r="198" spans="1:39" x14ac:dyDescent="0.3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133.1</v>
      </c>
      <c r="V198">
        <v>132.6</v>
      </c>
      <c r="W198">
        <v>120.4</v>
      </c>
      <c r="X198">
        <v>128.5</v>
      </c>
      <c r="Y198">
        <v>141.19999999999999</v>
      </c>
      <c r="Z198">
        <v>128.19999999999999</v>
      </c>
      <c r="AA198">
        <v>129.5</v>
      </c>
      <c r="AB198">
        <v>136.19999999999999</v>
      </c>
      <c r="AC198" s="10">
        <f t="shared" si="28"/>
        <v>136.30714285714288</v>
      </c>
      <c r="AD198">
        <f t="shared" si="30"/>
        <v>135</v>
      </c>
      <c r="AE198">
        <v>142.5</v>
      </c>
      <c r="AF198">
        <v>126.5</v>
      </c>
      <c r="AG198" s="1">
        <f t="shared" si="29"/>
        <v>130.66666666666666</v>
      </c>
      <c r="AH198" s="1">
        <f t="shared" si="31"/>
        <v>670.97380952380956</v>
      </c>
      <c r="AI198">
        <f t="shared" si="32"/>
        <v>26.136560779408146</v>
      </c>
      <c r="AJ198">
        <f t="shared" si="33"/>
        <v>25.885919338197027</v>
      </c>
      <c r="AK198">
        <f t="shared" si="34"/>
        <v>27.324025968096858</v>
      </c>
      <c r="AL198">
        <f t="shared" si="35"/>
        <v>24.256065157643881</v>
      </c>
      <c r="AM198">
        <f t="shared" si="36"/>
        <v>25.055013285366012</v>
      </c>
    </row>
    <row r="199" spans="1:39" x14ac:dyDescent="0.3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137.9</v>
      </c>
      <c r="V199">
        <v>136.19999999999999</v>
      </c>
      <c r="W199">
        <v>123.7</v>
      </c>
      <c r="X199">
        <v>132.6</v>
      </c>
      <c r="Y199">
        <v>142.80000000000001</v>
      </c>
      <c r="Z199">
        <v>130.1</v>
      </c>
      <c r="AA199">
        <v>132.6</v>
      </c>
      <c r="AB199">
        <v>138.5</v>
      </c>
      <c r="AC199" s="10">
        <f t="shared" si="28"/>
        <v>138.02857142857144</v>
      </c>
      <c r="AD199">
        <f t="shared" si="30"/>
        <v>143.23333333333332</v>
      </c>
      <c r="AE199">
        <v>142.5</v>
      </c>
      <c r="AF199">
        <v>138.1</v>
      </c>
      <c r="AG199" s="1">
        <f t="shared" si="29"/>
        <v>133.88333333333335</v>
      </c>
      <c r="AH199" s="1">
        <f t="shared" si="31"/>
        <v>695.74523809523805</v>
      </c>
      <c r="AI199">
        <f t="shared" si="32"/>
        <v>26.466640491604199</v>
      </c>
      <c r="AJ199">
        <f t="shared" si="33"/>
        <v>27.464640838575953</v>
      </c>
      <c r="AK199">
        <f t="shared" si="34"/>
        <v>27.324025968096858</v>
      </c>
      <c r="AL199">
        <f t="shared" si="35"/>
        <v>26.480336745222292</v>
      </c>
      <c r="AM199">
        <f t="shared" si="36"/>
        <v>25.6718012399675</v>
      </c>
    </row>
    <row r="200" spans="1:39" x14ac:dyDescent="0.3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>
        <v>143.1</v>
      </c>
      <c r="V200">
        <v>139</v>
      </c>
      <c r="W200">
        <v>127.5</v>
      </c>
      <c r="X200">
        <v>138.4</v>
      </c>
      <c r="Y200">
        <v>145.80000000000001</v>
      </c>
      <c r="Z200">
        <v>131.4</v>
      </c>
      <c r="AA200">
        <v>136</v>
      </c>
      <c r="AB200">
        <v>141.80000000000001</v>
      </c>
      <c r="AC200" s="10">
        <f t="shared" si="28"/>
        <v>140.47142857142859</v>
      </c>
      <c r="AD200">
        <f t="shared" si="30"/>
        <v>149.06666666666669</v>
      </c>
      <c r="AE200">
        <v>143.6</v>
      </c>
      <c r="AF200">
        <v>146.80000000000001</v>
      </c>
      <c r="AG200" s="1">
        <f t="shared" si="29"/>
        <v>137.53333333333333</v>
      </c>
      <c r="AH200" s="1">
        <f t="shared" si="31"/>
        <v>717.47142857142853</v>
      </c>
      <c r="AI200">
        <f t="shared" si="32"/>
        <v>26.935052365343005</v>
      </c>
      <c r="AJ200">
        <f t="shared" si="33"/>
        <v>28.583168217386945</v>
      </c>
      <c r="AK200">
        <f t="shared" si="34"/>
        <v>27.534948273815502</v>
      </c>
      <c r="AL200">
        <f t="shared" si="35"/>
        <v>28.148540435906106</v>
      </c>
      <c r="AM200">
        <f t="shared" si="36"/>
        <v>26.371679799852082</v>
      </c>
    </row>
    <row r="201" spans="1:39" x14ac:dyDescent="0.3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133.6</v>
      </c>
      <c r="V201">
        <v>133.6</v>
      </c>
      <c r="W201">
        <v>120.1</v>
      </c>
      <c r="X201">
        <v>129</v>
      </c>
      <c r="Y201">
        <v>144</v>
      </c>
      <c r="Z201">
        <v>128.19999999999999</v>
      </c>
      <c r="AA201">
        <v>130.19999999999999</v>
      </c>
      <c r="AB201">
        <v>137.5</v>
      </c>
      <c r="AC201" s="10">
        <f t="shared" si="28"/>
        <v>138.03571428571428</v>
      </c>
      <c r="AD201">
        <f t="shared" si="30"/>
        <v>135.46666666666667</v>
      </c>
      <c r="AE201">
        <v>143.6</v>
      </c>
      <c r="AF201">
        <v>128.1</v>
      </c>
      <c r="AG201" s="1">
        <f t="shared" si="29"/>
        <v>131.41666666666666</v>
      </c>
      <c r="AH201" s="1">
        <f t="shared" si="31"/>
        <v>676.61904761904759</v>
      </c>
      <c r="AI201">
        <f t="shared" si="32"/>
        <v>26.468010116966006</v>
      </c>
      <c r="AJ201">
        <f t="shared" si="33"/>
        <v>25.975401528501905</v>
      </c>
      <c r="AK201">
        <f t="shared" si="34"/>
        <v>27.534948273815502</v>
      </c>
      <c r="AL201">
        <f t="shared" si="35"/>
        <v>24.56286123868918</v>
      </c>
      <c r="AM201">
        <f t="shared" si="36"/>
        <v>25.19882394835599</v>
      </c>
    </row>
    <row r="202" spans="1:39" x14ac:dyDescent="0.3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138.6</v>
      </c>
      <c r="V202">
        <v>137</v>
      </c>
      <c r="W202">
        <v>123.6</v>
      </c>
      <c r="X202">
        <v>133.1</v>
      </c>
      <c r="Y202">
        <v>144.69999999999999</v>
      </c>
      <c r="Z202">
        <v>130.1</v>
      </c>
      <c r="AA202">
        <v>133.19999999999999</v>
      </c>
      <c r="AB202">
        <v>139.80000000000001</v>
      </c>
      <c r="AC202" s="10">
        <f t="shared" si="28"/>
        <v>139.48571428571429</v>
      </c>
      <c r="AD202">
        <f t="shared" si="30"/>
        <v>143.60000000000002</v>
      </c>
      <c r="AE202">
        <v>143.6</v>
      </c>
      <c r="AF202">
        <v>139.69999999999999</v>
      </c>
      <c r="AG202" s="1">
        <f t="shared" si="29"/>
        <v>134.51666666666668</v>
      </c>
      <c r="AH202" s="1">
        <f t="shared" si="31"/>
        <v>700.90238095238101</v>
      </c>
      <c r="AI202">
        <f t="shared" si="32"/>
        <v>26.746044065413312</v>
      </c>
      <c r="AJ202">
        <f t="shared" si="33"/>
        <v>27.534948273815509</v>
      </c>
      <c r="AK202">
        <f t="shared" si="34"/>
        <v>27.534948273815502</v>
      </c>
      <c r="AL202">
        <f t="shared" si="35"/>
        <v>26.787132826267591</v>
      </c>
      <c r="AM202">
        <f t="shared" si="36"/>
        <v>25.793241355381262</v>
      </c>
    </row>
    <row r="203" spans="1:39" x14ac:dyDescent="0.3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>
        <v>143.80000000000001</v>
      </c>
      <c r="V203">
        <v>139.4</v>
      </c>
      <c r="W203">
        <v>128.30000000000001</v>
      </c>
      <c r="X203">
        <v>138.6</v>
      </c>
      <c r="Y203">
        <v>146.9</v>
      </c>
      <c r="Z203">
        <v>131.30000000000001</v>
      </c>
      <c r="AA203">
        <v>136.6</v>
      </c>
      <c r="AB203">
        <v>142.5</v>
      </c>
      <c r="AC203" s="10">
        <f t="shared" si="28"/>
        <v>141.08571428571429</v>
      </c>
      <c r="AD203">
        <f t="shared" si="30"/>
        <v>149.73333333333332</v>
      </c>
      <c r="AE203">
        <v>144.6</v>
      </c>
      <c r="AF203">
        <v>147.69999999999999</v>
      </c>
      <c r="AG203" s="1">
        <f t="shared" si="29"/>
        <v>138.04999999999998</v>
      </c>
      <c r="AH203" s="1">
        <f t="shared" si="31"/>
        <v>721.16904761904766</v>
      </c>
      <c r="AI203">
        <f t="shared" si="32"/>
        <v>27.052840146458607</v>
      </c>
      <c r="AJ203">
        <f t="shared" si="33"/>
        <v>28.710999917822477</v>
      </c>
      <c r="AK203">
        <f t="shared" si="34"/>
        <v>27.726695824468816</v>
      </c>
      <c r="AL203">
        <f t="shared" si="35"/>
        <v>28.321113231494078</v>
      </c>
      <c r="AM203">
        <f t="shared" si="36"/>
        <v>26.470749367689621</v>
      </c>
    </row>
    <row r="204" spans="1:39" x14ac:dyDescent="0.3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134.4</v>
      </c>
      <c r="V204">
        <v>134.9</v>
      </c>
      <c r="W204">
        <v>120.7</v>
      </c>
      <c r="X204">
        <v>129.80000000000001</v>
      </c>
      <c r="Y204">
        <v>145.30000000000001</v>
      </c>
      <c r="Z204">
        <v>128.30000000000001</v>
      </c>
      <c r="AA204">
        <v>131</v>
      </c>
      <c r="AB204">
        <v>138</v>
      </c>
      <c r="AC204" s="10">
        <f t="shared" si="28"/>
        <v>137.83571428571426</v>
      </c>
      <c r="AD204">
        <f t="shared" si="30"/>
        <v>135.76666666666668</v>
      </c>
      <c r="AE204">
        <v>144.6</v>
      </c>
      <c r="AF204">
        <v>129.80000000000001</v>
      </c>
      <c r="AG204" s="1">
        <f t="shared" si="29"/>
        <v>132.23333333333332</v>
      </c>
      <c r="AH204" s="1">
        <f t="shared" si="31"/>
        <v>680.23571428571427</v>
      </c>
      <c r="AI204">
        <f t="shared" si="32"/>
        <v>26.429660606835341</v>
      </c>
      <c r="AJ204">
        <f t="shared" si="33"/>
        <v>26.032925793697903</v>
      </c>
      <c r="AK204">
        <f t="shared" si="34"/>
        <v>27.726695824468816</v>
      </c>
      <c r="AL204">
        <f t="shared" si="35"/>
        <v>24.888832074799812</v>
      </c>
      <c r="AM204">
        <f t="shared" si="36"/>
        <v>25.355417781389534</v>
      </c>
    </row>
    <row r="205" spans="1:39" x14ac:dyDescent="0.3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139.4</v>
      </c>
      <c r="V205">
        <v>137.69999999999999</v>
      </c>
      <c r="W205">
        <v>124.3</v>
      </c>
      <c r="X205">
        <v>133.6</v>
      </c>
      <c r="Y205">
        <v>146</v>
      </c>
      <c r="Z205">
        <v>130.1</v>
      </c>
      <c r="AA205">
        <v>133.9</v>
      </c>
      <c r="AB205">
        <v>140.4</v>
      </c>
      <c r="AC205" s="10">
        <f t="shared" si="28"/>
        <v>139.7571428571429</v>
      </c>
      <c r="AD205">
        <f t="shared" si="30"/>
        <v>144.06666666666669</v>
      </c>
      <c r="AE205">
        <v>144.6</v>
      </c>
      <c r="AF205">
        <v>140.9</v>
      </c>
      <c r="AG205" s="1">
        <f t="shared" si="29"/>
        <v>135.18333333333334</v>
      </c>
      <c r="AH205" s="1">
        <f t="shared" si="31"/>
        <v>704.50714285714298</v>
      </c>
      <c r="AI205">
        <f t="shared" si="32"/>
        <v>26.798089829162073</v>
      </c>
      <c r="AJ205">
        <f t="shared" si="33"/>
        <v>27.624430464120387</v>
      </c>
      <c r="AK205">
        <f t="shared" si="34"/>
        <v>27.726695824468816</v>
      </c>
      <c r="AL205">
        <f t="shared" si="35"/>
        <v>27.017229887051563</v>
      </c>
      <c r="AM205">
        <f t="shared" si="36"/>
        <v>25.921073055816802</v>
      </c>
    </row>
    <row r="206" spans="1:39" x14ac:dyDescent="0.3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>
        <v>144</v>
      </c>
      <c r="V206">
        <v>140</v>
      </c>
      <c r="W206">
        <v>129.9</v>
      </c>
      <c r="X206">
        <v>140</v>
      </c>
      <c r="Y206">
        <v>147.6</v>
      </c>
      <c r="Z206">
        <v>132</v>
      </c>
      <c r="AA206">
        <v>137.4</v>
      </c>
      <c r="AB206">
        <v>142.1</v>
      </c>
      <c r="AC206" s="10">
        <f t="shared" si="28"/>
        <v>139.82142857142858</v>
      </c>
      <c r="AD206">
        <f t="shared" si="30"/>
        <v>149.83333333333334</v>
      </c>
      <c r="AE206">
        <v>145.30000000000001</v>
      </c>
      <c r="AF206">
        <v>149</v>
      </c>
      <c r="AG206" s="1">
        <f t="shared" si="29"/>
        <v>138.91666666666666</v>
      </c>
      <c r="AH206" s="1">
        <f t="shared" si="31"/>
        <v>722.87142857142851</v>
      </c>
      <c r="AI206">
        <f t="shared" si="32"/>
        <v>26.810416457418352</v>
      </c>
      <c r="AJ206">
        <f t="shared" si="33"/>
        <v>28.730174672887816</v>
      </c>
      <c r="AK206">
        <f t="shared" si="34"/>
        <v>27.860919109926137</v>
      </c>
      <c r="AL206">
        <f t="shared" si="35"/>
        <v>28.57038504734339</v>
      </c>
      <c r="AM206">
        <f t="shared" si="36"/>
        <v>26.636930578255829</v>
      </c>
    </row>
    <row r="207" spans="1:39" x14ac:dyDescent="0.3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134.9</v>
      </c>
      <c r="V207">
        <v>135.69999999999999</v>
      </c>
      <c r="W207">
        <v>122.5</v>
      </c>
      <c r="X207">
        <v>130.19999999999999</v>
      </c>
      <c r="Y207">
        <v>145.19999999999999</v>
      </c>
      <c r="Z207">
        <v>129.30000000000001</v>
      </c>
      <c r="AA207">
        <v>131.9</v>
      </c>
      <c r="AB207">
        <v>138.1</v>
      </c>
      <c r="AC207" s="10">
        <f t="shared" si="28"/>
        <v>136.55000000000001</v>
      </c>
      <c r="AD207">
        <f t="shared" si="30"/>
        <v>136.4</v>
      </c>
      <c r="AE207">
        <v>145.30000000000001</v>
      </c>
      <c r="AF207">
        <v>131.19999999999999</v>
      </c>
      <c r="AG207" s="1">
        <f t="shared" si="29"/>
        <v>132.96666666666667</v>
      </c>
      <c r="AH207" s="1">
        <f t="shared" si="31"/>
        <v>682.41666666666674</v>
      </c>
      <c r="AI207">
        <f t="shared" si="32"/>
        <v>26.183128041709665</v>
      </c>
      <c r="AJ207">
        <f t="shared" si="33"/>
        <v>26.154365909111664</v>
      </c>
      <c r="AK207">
        <f t="shared" si="34"/>
        <v>27.860919109926137</v>
      </c>
      <c r="AL207">
        <f t="shared" si="35"/>
        <v>25.157278645714442</v>
      </c>
      <c r="AM207">
        <f t="shared" si="36"/>
        <v>25.496032651868628</v>
      </c>
    </row>
    <row r="208" spans="1:39" x14ac:dyDescent="0.3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139.69999999999999</v>
      </c>
      <c r="V208">
        <v>138.4</v>
      </c>
      <c r="W208">
        <v>126</v>
      </c>
      <c r="X208">
        <v>134.5</v>
      </c>
      <c r="Y208">
        <v>146.19999999999999</v>
      </c>
      <c r="Z208">
        <v>130.9</v>
      </c>
      <c r="AA208">
        <v>134.69999999999999</v>
      </c>
      <c r="AB208">
        <v>140.19999999999999</v>
      </c>
      <c r="AC208" s="10">
        <f t="shared" si="28"/>
        <v>138.47857142857143</v>
      </c>
      <c r="AD208">
        <f t="shared" si="30"/>
        <v>144.43333333333331</v>
      </c>
      <c r="AE208">
        <v>145.30000000000001</v>
      </c>
      <c r="AF208">
        <v>142.30000000000001</v>
      </c>
      <c r="AG208" s="1">
        <f t="shared" si="29"/>
        <v>135.94999999999999</v>
      </c>
      <c r="AH208" s="1">
        <f t="shared" si="31"/>
        <v>706.46190476190486</v>
      </c>
      <c r="AI208">
        <f t="shared" si="32"/>
        <v>26.552926889398186</v>
      </c>
      <c r="AJ208">
        <f t="shared" si="33"/>
        <v>27.694737899359929</v>
      </c>
      <c r="AK208">
        <f t="shared" si="34"/>
        <v>27.860919109926137</v>
      </c>
      <c r="AL208">
        <f t="shared" si="35"/>
        <v>27.285676457966201</v>
      </c>
      <c r="AM208">
        <f t="shared" si="36"/>
        <v>26.06807951131767</v>
      </c>
    </row>
    <row r="209" spans="1:39" x14ac:dyDescent="0.3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>
        <v>147.5</v>
      </c>
      <c r="V209">
        <v>144.80000000000001</v>
      </c>
      <c r="W209">
        <v>130.80000000000001</v>
      </c>
      <c r="X209">
        <v>140.1</v>
      </c>
      <c r="Y209">
        <v>148</v>
      </c>
      <c r="Z209">
        <v>134.4</v>
      </c>
      <c r="AA209">
        <v>139.80000000000001</v>
      </c>
      <c r="AB209">
        <v>142.19999999999999</v>
      </c>
      <c r="AC209" s="10">
        <f t="shared" si="28"/>
        <v>138.69999999999999</v>
      </c>
      <c r="AD209">
        <f t="shared" si="30"/>
        <v>148.33333333333334</v>
      </c>
      <c r="AE209">
        <v>146.30000000000001</v>
      </c>
      <c r="AF209">
        <v>149.69999999999999</v>
      </c>
      <c r="AG209" s="1">
        <f t="shared" si="29"/>
        <v>140.93333333333334</v>
      </c>
      <c r="AH209" s="1">
        <f t="shared" si="31"/>
        <v>723.9666666666667</v>
      </c>
      <c r="AI209">
        <f t="shared" si="32"/>
        <v>26.595385275614277</v>
      </c>
      <c r="AJ209">
        <f t="shared" si="33"/>
        <v>28.442553346907847</v>
      </c>
      <c r="AK209">
        <f t="shared" si="34"/>
        <v>28.052666660579444</v>
      </c>
      <c r="AL209">
        <f t="shared" si="35"/>
        <v>28.704608332800703</v>
      </c>
      <c r="AM209">
        <f t="shared" si="36"/>
        <v>27.023621472073344</v>
      </c>
    </row>
    <row r="210" spans="1:39" x14ac:dyDescent="0.3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135.1</v>
      </c>
      <c r="V210">
        <v>136.19999999999999</v>
      </c>
      <c r="W210">
        <v>123.3</v>
      </c>
      <c r="X210">
        <v>130.69999999999999</v>
      </c>
      <c r="Y210">
        <v>145.5</v>
      </c>
      <c r="Z210">
        <v>130.4</v>
      </c>
      <c r="AA210">
        <v>132.5</v>
      </c>
      <c r="AB210">
        <v>138.9</v>
      </c>
      <c r="AC210" s="10">
        <f t="shared" si="28"/>
        <v>137.00714285714284</v>
      </c>
      <c r="AD210">
        <f t="shared" si="30"/>
        <v>137</v>
      </c>
      <c r="AE210">
        <v>146.30000000000001</v>
      </c>
      <c r="AF210">
        <v>133.4</v>
      </c>
      <c r="AG210" s="1">
        <f t="shared" si="29"/>
        <v>133.53333333333333</v>
      </c>
      <c r="AH210" s="1">
        <f t="shared" si="31"/>
        <v>687.24047619047622</v>
      </c>
      <c r="AI210">
        <f t="shared" si="32"/>
        <v>26.270784064865456</v>
      </c>
      <c r="AJ210">
        <f t="shared" si="33"/>
        <v>26.269414439503652</v>
      </c>
      <c r="AK210">
        <f t="shared" si="34"/>
        <v>28.052666660579444</v>
      </c>
      <c r="AL210">
        <f t="shared" si="35"/>
        <v>25.579123257151732</v>
      </c>
      <c r="AM210">
        <f t="shared" si="36"/>
        <v>25.604689597238838</v>
      </c>
    </row>
    <row r="211" spans="1:39" x14ac:dyDescent="0.3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142.19999999999999</v>
      </c>
      <c r="V211">
        <v>142.1</v>
      </c>
      <c r="W211">
        <v>125.5</v>
      </c>
      <c r="X211">
        <v>136.5</v>
      </c>
      <c r="Y211">
        <v>147.80000000000001</v>
      </c>
      <c r="Z211">
        <v>132</v>
      </c>
      <c r="AA211">
        <v>136.30000000000001</v>
      </c>
      <c r="AB211">
        <v>140.80000000000001</v>
      </c>
      <c r="AC211" s="10">
        <f t="shared" si="28"/>
        <v>138.48571428571429</v>
      </c>
      <c r="AD211">
        <f t="shared" si="30"/>
        <v>144.66666666666666</v>
      </c>
      <c r="AE211">
        <v>146.9</v>
      </c>
      <c r="AF211">
        <v>145.30000000000001</v>
      </c>
      <c r="AG211" s="1">
        <f t="shared" si="29"/>
        <v>137.68333333333331</v>
      </c>
      <c r="AH211" s="1">
        <f t="shared" si="31"/>
        <v>713.03571428571433</v>
      </c>
      <c r="AI211">
        <f t="shared" si="32"/>
        <v>26.554296514760001</v>
      </c>
      <c r="AJ211">
        <f t="shared" si="33"/>
        <v>27.739478994512368</v>
      </c>
      <c r="AK211">
        <f t="shared" si="34"/>
        <v>28.167715190971432</v>
      </c>
      <c r="AL211">
        <f t="shared" si="35"/>
        <v>27.860919109926137</v>
      </c>
      <c r="AM211">
        <f t="shared" si="36"/>
        <v>26.400441932450075</v>
      </c>
    </row>
    <row r="212" spans="1:39" x14ac:dyDescent="0.3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>
        <v>148</v>
      </c>
      <c r="V212">
        <v>145.4</v>
      </c>
      <c r="W212">
        <v>130.30000000000001</v>
      </c>
      <c r="X212">
        <v>143.1</v>
      </c>
      <c r="Y212">
        <v>150.19999999999999</v>
      </c>
      <c r="Z212">
        <v>133.1</v>
      </c>
      <c r="AA212">
        <v>140.1</v>
      </c>
      <c r="AB212">
        <v>142.4</v>
      </c>
      <c r="AC212" s="10">
        <f t="shared" si="28"/>
        <v>139.2428571428571</v>
      </c>
      <c r="AD212">
        <f t="shared" si="30"/>
        <v>149.33333333333334</v>
      </c>
      <c r="AE212">
        <v>146.9</v>
      </c>
      <c r="AF212">
        <v>150.30000000000001</v>
      </c>
      <c r="AG212" s="1">
        <f t="shared" si="29"/>
        <v>141.68333333333334</v>
      </c>
      <c r="AH212" s="1">
        <f t="shared" si="31"/>
        <v>727.45952380952394</v>
      </c>
      <c r="AI212">
        <f t="shared" si="32"/>
        <v>26.699476803111782</v>
      </c>
      <c r="AJ212">
        <f t="shared" si="33"/>
        <v>28.634300897561161</v>
      </c>
      <c r="AK212">
        <f t="shared" si="34"/>
        <v>28.167715190971432</v>
      </c>
      <c r="AL212">
        <f t="shared" si="35"/>
        <v>28.819656863192694</v>
      </c>
      <c r="AM212">
        <f t="shared" si="36"/>
        <v>27.167432135063326</v>
      </c>
    </row>
    <row r="213" spans="1:39" x14ac:dyDescent="0.3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135.80000000000001</v>
      </c>
      <c r="V213">
        <v>136.80000000000001</v>
      </c>
      <c r="W213">
        <v>121.2</v>
      </c>
      <c r="X213">
        <v>131.30000000000001</v>
      </c>
      <c r="Y213">
        <v>146.1</v>
      </c>
      <c r="Z213">
        <v>130.5</v>
      </c>
      <c r="AA213">
        <v>132.19999999999999</v>
      </c>
      <c r="AB213">
        <v>139</v>
      </c>
      <c r="AC213" s="10">
        <f t="shared" si="28"/>
        <v>137.27857142857141</v>
      </c>
      <c r="AD213">
        <f t="shared" si="30"/>
        <v>137.70000000000002</v>
      </c>
      <c r="AE213">
        <v>146.9</v>
      </c>
      <c r="AF213">
        <v>136.69999999999999</v>
      </c>
      <c r="AG213" s="1">
        <f t="shared" si="29"/>
        <v>133.61666666666667</v>
      </c>
      <c r="AH213" s="1">
        <f t="shared" si="31"/>
        <v>692.1952380952381</v>
      </c>
      <c r="AI213">
        <f t="shared" si="32"/>
        <v>26.322829828614214</v>
      </c>
      <c r="AJ213">
        <f t="shared" si="33"/>
        <v>26.403637724960973</v>
      </c>
      <c r="AK213">
        <f t="shared" si="34"/>
        <v>28.167715190971432</v>
      </c>
      <c r="AL213">
        <f t="shared" si="35"/>
        <v>26.211890174307655</v>
      </c>
      <c r="AM213">
        <f t="shared" si="36"/>
        <v>25.62066855979328</v>
      </c>
    </row>
    <row r="214" spans="1:39" x14ac:dyDescent="0.3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142.19999999999999</v>
      </c>
      <c r="V214">
        <v>142.1</v>
      </c>
      <c r="W214">
        <v>125.5</v>
      </c>
      <c r="X214">
        <v>136.5</v>
      </c>
      <c r="Y214">
        <v>147.80000000000001</v>
      </c>
      <c r="Z214">
        <v>132</v>
      </c>
      <c r="AA214">
        <v>136.30000000000001</v>
      </c>
      <c r="AB214">
        <v>140.80000000000001</v>
      </c>
      <c r="AC214" s="10">
        <f t="shared" si="28"/>
        <v>138.45000000000002</v>
      </c>
      <c r="AD214">
        <f t="shared" si="30"/>
        <v>144.6</v>
      </c>
      <c r="AE214">
        <v>146.9</v>
      </c>
      <c r="AF214">
        <v>145.1</v>
      </c>
      <c r="AG214" s="1">
        <f t="shared" si="29"/>
        <v>137.68333333333331</v>
      </c>
      <c r="AH214" s="1">
        <f t="shared" si="31"/>
        <v>712.73333333333335</v>
      </c>
      <c r="AI214">
        <f t="shared" si="32"/>
        <v>26.547448387950958</v>
      </c>
      <c r="AJ214">
        <f t="shared" si="33"/>
        <v>27.726695824468816</v>
      </c>
      <c r="AK214">
        <f t="shared" si="34"/>
        <v>28.167715190971432</v>
      </c>
      <c r="AL214">
        <f t="shared" si="35"/>
        <v>27.822569599795472</v>
      </c>
      <c r="AM214">
        <f t="shared" si="36"/>
        <v>26.400441932450075</v>
      </c>
    </row>
    <row r="215" spans="1:39" x14ac:dyDescent="0.3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>
        <v>149.5</v>
      </c>
      <c r="V215">
        <v>149.6</v>
      </c>
      <c r="W215">
        <v>128.9</v>
      </c>
      <c r="X215">
        <v>143.30000000000001</v>
      </c>
      <c r="Y215">
        <v>155.1</v>
      </c>
      <c r="Z215">
        <v>133.19999999999999</v>
      </c>
      <c r="AA215">
        <v>141.6</v>
      </c>
      <c r="AB215">
        <v>141.9</v>
      </c>
      <c r="AC215" s="10">
        <f t="shared" si="28"/>
        <v>138.25000000000003</v>
      </c>
      <c r="AD215">
        <f t="shared" si="30"/>
        <v>149.43333333333334</v>
      </c>
      <c r="AE215">
        <v>146.5</v>
      </c>
      <c r="AF215">
        <v>149</v>
      </c>
      <c r="AG215" s="1">
        <f t="shared" si="29"/>
        <v>143.26666666666665</v>
      </c>
      <c r="AH215" s="1">
        <f t="shared" si="31"/>
        <v>726.45</v>
      </c>
      <c r="AI215">
        <f t="shared" si="32"/>
        <v>26.509098877820296</v>
      </c>
      <c r="AJ215">
        <f t="shared" si="33"/>
        <v>28.653475652626486</v>
      </c>
      <c r="AK215">
        <f t="shared" si="34"/>
        <v>28.091016170710109</v>
      </c>
      <c r="AL215">
        <f t="shared" si="35"/>
        <v>28.57038504734339</v>
      </c>
      <c r="AM215">
        <f t="shared" si="36"/>
        <v>27.47103242359773</v>
      </c>
    </row>
    <row r="216" spans="1:39" x14ac:dyDescent="0.3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136.19999999999999</v>
      </c>
      <c r="V216">
        <v>137.30000000000001</v>
      </c>
      <c r="W216">
        <v>118.8</v>
      </c>
      <c r="X216">
        <v>131.69999999999999</v>
      </c>
      <c r="Y216">
        <v>146.5</v>
      </c>
      <c r="Z216">
        <v>130.80000000000001</v>
      </c>
      <c r="AA216">
        <v>131.69999999999999</v>
      </c>
      <c r="AB216">
        <v>138</v>
      </c>
      <c r="AC216" s="10">
        <f t="shared" si="28"/>
        <v>136.51428571428571</v>
      </c>
      <c r="AD216">
        <f t="shared" si="30"/>
        <v>137.93333333333334</v>
      </c>
      <c r="AE216">
        <v>146.5</v>
      </c>
      <c r="AF216">
        <v>132.4</v>
      </c>
      <c r="AG216" s="1">
        <f t="shared" si="29"/>
        <v>133.54999999999998</v>
      </c>
      <c r="AH216" s="1">
        <f t="shared" si="31"/>
        <v>686.89761904761895</v>
      </c>
      <c r="AI216">
        <f t="shared" si="32"/>
        <v>26.176279914900611</v>
      </c>
      <c r="AJ216">
        <f t="shared" si="33"/>
        <v>26.448378820113412</v>
      </c>
      <c r="AK216">
        <f t="shared" si="34"/>
        <v>28.091016170710109</v>
      </c>
      <c r="AL216">
        <f t="shared" si="35"/>
        <v>25.387375706498421</v>
      </c>
      <c r="AM216">
        <f t="shared" si="36"/>
        <v>25.607885389749725</v>
      </c>
    </row>
    <row r="217" spans="1:39" x14ac:dyDescent="0.3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143.19999999999999</v>
      </c>
      <c r="V217">
        <v>144.9</v>
      </c>
      <c r="W217">
        <v>123.6</v>
      </c>
      <c r="X217">
        <v>136.80000000000001</v>
      </c>
      <c r="Y217">
        <v>150.1</v>
      </c>
      <c r="Z217">
        <v>132.19999999999999</v>
      </c>
      <c r="AA217">
        <v>136.80000000000001</v>
      </c>
      <c r="AB217">
        <v>140.1</v>
      </c>
      <c r="AC217" s="10">
        <f t="shared" si="28"/>
        <v>137.55714285714285</v>
      </c>
      <c r="AD217">
        <f t="shared" si="30"/>
        <v>144.76666666666668</v>
      </c>
      <c r="AE217">
        <v>146.5</v>
      </c>
      <c r="AF217">
        <v>142.69999999999999</v>
      </c>
      <c r="AG217" s="1">
        <f t="shared" si="29"/>
        <v>138.46666666666667</v>
      </c>
      <c r="AH217" s="1">
        <f t="shared" si="31"/>
        <v>709.99047619047622</v>
      </c>
      <c r="AI217">
        <f t="shared" si="32"/>
        <v>26.376245217724779</v>
      </c>
      <c r="AJ217">
        <f t="shared" si="33"/>
        <v>27.758653749577704</v>
      </c>
      <c r="AK217">
        <f t="shared" si="34"/>
        <v>28.091016170710109</v>
      </c>
      <c r="AL217">
        <f t="shared" si="35"/>
        <v>27.362375478227523</v>
      </c>
      <c r="AM217">
        <f t="shared" si="36"/>
        <v>26.550644180461841</v>
      </c>
    </row>
    <row r="218" spans="1:39" x14ac:dyDescent="0.3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>
        <v>150.1</v>
      </c>
      <c r="V218">
        <v>149.6</v>
      </c>
      <c r="W218">
        <v>128.6</v>
      </c>
      <c r="X218">
        <v>142.9</v>
      </c>
      <c r="Y218">
        <v>155.19999999999999</v>
      </c>
      <c r="Z218">
        <v>133.5</v>
      </c>
      <c r="AA218">
        <v>141.69999999999999</v>
      </c>
      <c r="AB218">
        <v>141</v>
      </c>
      <c r="AC218" s="10">
        <f t="shared" si="28"/>
        <v>137.30714285714288</v>
      </c>
      <c r="AD218">
        <f t="shared" si="30"/>
        <v>148.53333333333333</v>
      </c>
      <c r="AE218">
        <v>147.69999999999999</v>
      </c>
      <c r="AF218">
        <v>146.19999999999999</v>
      </c>
      <c r="AG218" s="1">
        <f t="shared" si="29"/>
        <v>143.31666666666663</v>
      </c>
      <c r="AH218" s="1">
        <f t="shared" si="31"/>
        <v>723.05714285714282</v>
      </c>
      <c r="AI218">
        <f t="shared" si="32"/>
        <v>26.328308330061457</v>
      </c>
      <c r="AJ218">
        <f t="shared" si="33"/>
        <v>28.480902857038508</v>
      </c>
      <c r="AK218">
        <f t="shared" si="34"/>
        <v>28.321113231494078</v>
      </c>
      <c r="AL218">
        <f t="shared" si="35"/>
        <v>28.033491905514111</v>
      </c>
      <c r="AM218">
        <f t="shared" si="36"/>
        <v>27.480619801130395</v>
      </c>
    </row>
    <row r="219" spans="1:39" x14ac:dyDescent="0.3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136.30000000000001</v>
      </c>
      <c r="V219">
        <v>137.80000000000001</v>
      </c>
      <c r="W219">
        <v>118.6</v>
      </c>
      <c r="X219">
        <v>131.9</v>
      </c>
      <c r="Y219">
        <v>146.6</v>
      </c>
      <c r="Z219">
        <v>131.69999999999999</v>
      </c>
      <c r="AA219">
        <v>131.80000000000001</v>
      </c>
      <c r="AB219">
        <v>138</v>
      </c>
      <c r="AC219" s="10">
        <f t="shared" si="28"/>
        <v>136.35714285714286</v>
      </c>
      <c r="AD219">
        <f t="shared" si="30"/>
        <v>138.16666666666666</v>
      </c>
      <c r="AE219">
        <v>147.69999999999999</v>
      </c>
      <c r="AF219">
        <v>128.6</v>
      </c>
      <c r="AG219" s="1">
        <f t="shared" si="29"/>
        <v>133.81666666666669</v>
      </c>
      <c r="AH219" s="1">
        <f t="shared" si="31"/>
        <v>684.64047619047619</v>
      </c>
      <c r="AI219">
        <f t="shared" si="32"/>
        <v>26.146148156940807</v>
      </c>
      <c r="AJ219">
        <f t="shared" si="33"/>
        <v>26.493119915265844</v>
      </c>
      <c r="AK219">
        <f t="shared" si="34"/>
        <v>28.321113231494078</v>
      </c>
      <c r="AL219">
        <f t="shared" si="35"/>
        <v>24.658735014015836</v>
      </c>
      <c r="AM219">
        <f t="shared" si="36"/>
        <v>25.659018069923949</v>
      </c>
    </row>
    <row r="220" spans="1:39" x14ac:dyDescent="0.3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143.6</v>
      </c>
      <c r="V220">
        <v>145.1</v>
      </c>
      <c r="W220">
        <v>123.3</v>
      </c>
      <c r="X220">
        <v>136.69999999999999</v>
      </c>
      <c r="Y220">
        <v>150.19999999999999</v>
      </c>
      <c r="Z220">
        <v>132.80000000000001</v>
      </c>
      <c r="AA220">
        <v>136.9</v>
      </c>
      <c r="AB220">
        <v>139.6</v>
      </c>
      <c r="AC220" s="10">
        <f t="shared" si="28"/>
        <v>136.9</v>
      </c>
      <c r="AD220">
        <f t="shared" si="30"/>
        <v>144.33333333333334</v>
      </c>
      <c r="AE220">
        <v>147.69999999999999</v>
      </c>
      <c r="AF220">
        <v>139.5</v>
      </c>
      <c r="AG220" s="1">
        <f t="shared" si="29"/>
        <v>138.61666666666667</v>
      </c>
      <c r="AH220" s="1">
        <f t="shared" si="31"/>
        <v>707.05000000000007</v>
      </c>
      <c r="AI220">
        <f t="shared" si="32"/>
        <v>26.25023968443832</v>
      </c>
      <c r="AJ220">
        <f t="shared" si="33"/>
        <v>27.6755631442946</v>
      </c>
      <c r="AK220">
        <f t="shared" si="34"/>
        <v>28.321113231494078</v>
      </c>
      <c r="AL220">
        <f t="shared" si="35"/>
        <v>26.748783316136926</v>
      </c>
      <c r="AM220">
        <f t="shared" si="36"/>
        <v>26.579406313059838</v>
      </c>
    </row>
    <row r="221" spans="1:39" x14ac:dyDescent="0.3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>
        <v>150.1</v>
      </c>
      <c r="V221">
        <v>149.9</v>
      </c>
      <c r="W221">
        <v>129.19999999999999</v>
      </c>
      <c r="X221">
        <v>143.4</v>
      </c>
      <c r="Y221">
        <v>155.5</v>
      </c>
      <c r="Z221">
        <v>134.9</v>
      </c>
      <c r="AA221">
        <v>142.19999999999999</v>
      </c>
      <c r="AB221">
        <v>141</v>
      </c>
      <c r="AC221" s="10">
        <f t="shared" si="28"/>
        <v>137.32857142857145</v>
      </c>
      <c r="AD221">
        <f t="shared" si="30"/>
        <v>148.83333333333334</v>
      </c>
      <c r="AE221">
        <v>148.5</v>
      </c>
      <c r="AF221">
        <v>145.30000000000001</v>
      </c>
      <c r="AG221" s="1">
        <f t="shared" si="29"/>
        <v>143.83333333333334</v>
      </c>
      <c r="AH221" s="1">
        <f t="shared" si="31"/>
        <v>723.79523809523823</v>
      </c>
      <c r="AI221">
        <f t="shared" si="32"/>
        <v>26.332417206146886</v>
      </c>
      <c r="AJ221">
        <f t="shared" si="33"/>
        <v>28.538427122234506</v>
      </c>
      <c r="AK221">
        <f t="shared" si="34"/>
        <v>28.474511272016727</v>
      </c>
      <c r="AL221">
        <f t="shared" si="35"/>
        <v>27.860919109926137</v>
      </c>
      <c r="AM221">
        <f t="shared" si="36"/>
        <v>27.579689368967948</v>
      </c>
    </row>
    <row r="222" spans="1:39" x14ac:dyDescent="0.3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136.6</v>
      </c>
      <c r="V222">
        <v>138.5</v>
      </c>
      <c r="W222">
        <v>119.2</v>
      </c>
      <c r="X222">
        <v>132.19999999999999</v>
      </c>
      <c r="Y222">
        <v>146.6</v>
      </c>
      <c r="Z222">
        <v>133</v>
      </c>
      <c r="AA222">
        <v>132.4</v>
      </c>
      <c r="AB222">
        <v>138.6</v>
      </c>
      <c r="AC222" s="10">
        <f t="shared" si="28"/>
        <v>137.09285714285716</v>
      </c>
      <c r="AD222">
        <f t="shared" si="30"/>
        <v>138.5</v>
      </c>
      <c r="AE222">
        <v>148.5</v>
      </c>
      <c r="AF222">
        <v>127.1</v>
      </c>
      <c r="AG222" s="1">
        <f t="shared" si="29"/>
        <v>134.35</v>
      </c>
      <c r="AH222" s="1">
        <f t="shared" si="31"/>
        <v>685.5428571428572</v>
      </c>
      <c r="AI222">
        <f t="shared" si="32"/>
        <v>26.287219569207178</v>
      </c>
      <c r="AJ222">
        <f t="shared" si="33"/>
        <v>26.557035765483615</v>
      </c>
      <c r="AK222">
        <f t="shared" si="34"/>
        <v>28.474511272016727</v>
      </c>
      <c r="AL222">
        <f t="shared" si="35"/>
        <v>24.371113688035866</v>
      </c>
      <c r="AM222">
        <f t="shared" si="36"/>
        <v>25.761283430272375</v>
      </c>
    </row>
    <row r="223" spans="1:39" x14ac:dyDescent="0.3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143.69999999999999</v>
      </c>
      <c r="V223">
        <v>145.6</v>
      </c>
      <c r="W223">
        <v>123.9</v>
      </c>
      <c r="X223">
        <v>137.1</v>
      </c>
      <c r="Y223">
        <v>150.30000000000001</v>
      </c>
      <c r="Z223">
        <v>134.1</v>
      </c>
      <c r="AA223">
        <v>137.4</v>
      </c>
      <c r="AB223">
        <v>139.9</v>
      </c>
      <c r="AC223" s="10">
        <f t="shared" si="28"/>
        <v>137.17857142857142</v>
      </c>
      <c r="AD223">
        <f t="shared" si="30"/>
        <v>144.63333333333333</v>
      </c>
      <c r="AE223">
        <v>148.5</v>
      </c>
      <c r="AF223">
        <v>138.4</v>
      </c>
      <c r="AG223" s="1">
        <f t="shared" si="29"/>
        <v>139.11666666666665</v>
      </c>
      <c r="AH223" s="1">
        <f t="shared" si="31"/>
        <v>707.82857142857142</v>
      </c>
      <c r="AI223">
        <f t="shared" si="32"/>
        <v>26.303655073548882</v>
      </c>
      <c r="AJ223">
        <f t="shared" si="33"/>
        <v>27.733087409490594</v>
      </c>
      <c r="AK223">
        <f t="shared" si="34"/>
        <v>28.474511272016727</v>
      </c>
      <c r="AL223">
        <f t="shared" si="35"/>
        <v>26.53786101041829</v>
      </c>
      <c r="AM223">
        <f t="shared" si="36"/>
        <v>26.675280088386486</v>
      </c>
    </row>
    <row r="224" spans="1:39" x14ac:dyDescent="0.3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>
        <v>150</v>
      </c>
      <c r="V224">
        <v>150.4</v>
      </c>
      <c r="W224">
        <v>129.9</v>
      </c>
      <c r="X224">
        <v>143.80000000000001</v>
      </c>
      <c r="Y224">
        <v>155.5</v>
      </c>
      <c r="Z224">
        <v>134</v>
      </c>
      <c r="AA224">
        <v>142.4</v>
      </c>
      <c r="AB224">
        <v>141.19999999999999</v>
      </c>
      <c r="AC224" s="10">
        <f t="shared" si="28"/>
        <v>137.43571428571431</v>
      </c>
      <c r="AD224">
        <f t="shared" si="30"/>
        <v>149</v>
      </c>
      <c r="AE224">
        <v>149</v>
      </c>
      <c r="AF224">
        <v>146.4</v>
      </c>
      <c r="AG224" s="1">
        <f t="shared" si="29"/>
        <v>143.93333333333331</v>
      </c>
      <c r="AH224" s="1">
        <f t="shared" si="31"/>
        <v>725.76904761904757</v>
      </c>
      <c r="AI224">
        <f t="shared" si="32"/>
        <v>26.352961586574025</v>
      </c>
      <c r="AJ224">
        <f t="shared" si="33"/>
        <v>28.57038504734339</v>
      </c>
      <c r="AK224">
        <f t="shared" si="34"/>
        <v>28.57038504734339</v>
      </c>
      <c r="AL224">
        <f t="shared" si="35"/>
        <v>28.071841415644776</v>
      </c>
      <c r="AM224">
        <f t="shared" si="36"/>
        <v>27.598864124033273</v>
      </c>
    </row>
    <row r="225" spans="1:39" x14ac:dyDescent="0.3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136.80000000000001</v>
      </c>
      <c r="V225">
        <v>139.19999999999999</v>
      </c>
      <c r="W225">
        <v>119.9</v>
      </c>
      <c r="X225">
        <v>133</v>
      </c>
      <c r="Y225">
        <v>146.69999999999999</v>
      </c>
      <c r="Z225">
        <v>132.5</v>
      </c>
      <c r="AA225">
        <v>132.80000000000001</v>
      </c>
      <c r="AB225">
        <v>139.5</v>
      </c>
      <c r="AC225" s="10">
        <f t="shared" si="28"/>
        <v>138.12142857142857</v>
      </c>
      <c r="AD225">
        <f t="shared" si="30"/>
        <v>138.76666666666665</v>
      </c>
      <c r="AE225">
        <v>149</v>
      </c>
      <c r="AF225">
        <v>128.80000000000001</v>
      </c>
      <c r="AG225" s="1">
        <f t="shared" si="29"/>
        <v>134.68333333333331</v>
      </c>
      <c r="AH225" s="1">
        <f t="shared" si="31"/>
        <v>689.37142857142851</v>
      </c>
      <c r="AI225">
        <f t="shared" si="32"/>
        <v>26.484445621307717</v>
      </c>
      <c r="AJ225">
        <f t="shared" si="33"/>
        <v>26.608168445657832</v>
      </c>
      <c r="AK225">
        <f t="shared" si="34"/>
        <v>28.57038504734339</v>
      </c>
      <c r="AL225">
        <f t="shared" si="35"/>
        <v>24.697084524146501</v>
      </c>
      <c r="AM225">
        <f t="shared" si="36"/>
        <v>25.825199280490139</v>
      </c>
    </row>
    <row r="226" spans="1:39" x14ac:dyDescent="0.3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143.80000000000001</v>
      </c>
      <c r="V226">
        <v>146.19999999999999</v>
      </c>
      <c r="W226">
        <v>124.6</v>
      </c>
      <c r="X226">
        <v>137.69999999999999</v>
      </c>
      <c r="Y226">
        <v>150.30000000000001</v>
      </c>
      <c r="Z226">
        <v>133.4</v>
      </c>
      <c r="AA226">
        <v>137.69999999999999</v>
      </c>
      <c r="AB226">
        <v>140.4</v>
      </c>
      <c r="AC226" s="10">
        <f t="shared" si="28"/>
        <v>137.6</v>
      </c>
      <c r="AD226">
        <f t="shared" si="30"/>
        <v>144.83333333333334</v>
      </c>
      <c r="AE226">
        <v>149</v>
      </c>
      <c r="AF226">
        <v>139.69999999999999</v>
      </c>
      <c r="AG226" s="1">
        <f t="shared" si="29"/>
        <v>139.33333333333331</v>
      </c>
      <c r="AH226" s="1">
        <f t="shared" si="31"/>
        <v>710.4666666666667</v>
      </c>
      <c r="AI226">
        <f t="shared" si="32"/>
        <v>26.384462969895633</v>
      </c>
      <c r="AJ226">
        <f t="shared" si="33"/>
        <v>27.771436919621255</v>
      </c>
      <c r="AK226">
        <f t="shared" si="34"/>
        <v>28.57038504734339</v>
      </c>
      <c r="AL226">
        <f t="shared" si="35"/>
        <v>26.787132826267591</v>
      </c>
      <c r="AM226">
        <f t="shared" si="36"/>
        <v>26.716825391028038</v>
      </c>
    </row>
    <row r="227" spans="1:39" x14ac:dyDescent="0.3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>
        <v>149.5</v>
      </c>
      <c r="V227">
        <v>151.30000000000001</v>
      </c>
      <c r="W227">
        <v>130.19999999999999</v>
      </c>
      <c r="X227">
        <v>145.9</v>
      </c>
      <c r="Y227">
        <v>156.69999999999999</v>
      </c>
      <c r="Z227">
        <v>133.9</v>
      </c>
      <c r="AA227">
        <v>142.9</v>
      </c>
      <c r="AB227">
        <v>142.4</v>
      </c>
      <c r="AC227" s="10">
        <f t="shared" si="28"/>
        <v>138.95714285714286</v>
      </c>
      <c r="AD227">
        <f t="shared" si="30"/>
        <v>149.53333333333333</v>
      </c>
      <c r="AE227">
        <v>150.1</v>
      </c>
      <c r="AF227">
        <v>146.9</v>
      </c>
      <c r="AG227" s="1">
        <f t="shared" si="29"/>
        <v>144.58333333333331</v>
      </c>
      <c r="AH227" s="1">
        <f t="shared" si="31"/>
        <v>730.07380952380959</v>
      </c>
      <c r="AI227">
        <f t="shared" si="32"/>
        <v>26.64469178863942</v>
      </c>
      <c r="AJ227">
        <f t="shared" si="33"/>
        <v>28.672650407691819</v>
      </c>
      <c r="AK227">
        <f t="shared" si="34"/>
        <v>28.781307353062029</v>
      </c>
      <c r="AL227">
        <f t="shared" si="35"/>
        <v>28.167715190971432</v>
      </c>
      <c r="AM227">
        <f t="shared" si="36"/>
        <v>27.723500031957926</v>
      </c>
    </row>
    <row r="228" spans="1:39" x14ac:dyDescent="0.3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137.19999999999999</v>
      </c>
      <c r="V228">
        <v>139.80000000000001</v>
      </c>
      <c r="W228">
        <v>120.1</v>
      </c>
      <c r="X228">
        <v>134</v>
      </c>
      <c r="Y228">
        <v>148</v>
      </c>
      <c r="Z228">
        <v>132.6</v>
      </c>
      <c r="AA228">
        <v>133.30000000000001</v>
      </c>
      <c r="AB228">
        <v>141.5</v>
      </c>
      <c r="AC228" s="10">
        <f t="shared" si="28"/>
        <v>141.26428571428573</v>
      </c>
      <c r="AD228">
        <f t="shared" si="30"/>
        <v>139.29999999999998</v>
      </c>
      <c r="AE228">
        <v>150.1</v>
      </c>
      <c r="AF228">
        <v>129.4</v>
      </c>
      <c r="AG228" s="1">
        <f t="shared" si="29"/>
        <v>135.28333333333333</v>
      </c>
      <c r="AH228" s="1">
        <f t="shared" si="31"/>
        <v>695.34761904761899</v>
      </c>
      <c r="AI228">
        <f t="shared" si="32"/>
        <v>27.087080780503847</v>
      </c>
      <c r="AJ228">
        <f t="shared" si="33"/>
        <v>26.710433806006261</v>
      </c>
      <c r="AK228">
        <f t="shared" si="34"/>
        <v>28.781307353062029</v>
      </c>
      <c r="AL228">
        <f t="shared" si="35"/>
        <v>24.812133054538485</v>
      </c>
      <c r="AM228">
        <f t="shared" si="36"/>
        <v>25.940247810882134</v>
      </c>
    </row>
    <row r="229" spans="1:39" x14ac:dyDescent="0.3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143.69999999999999</v>
      </c>
      <c r="V229">
        <v>146.9</v>
      </c>
      <c r="W229">
        <v>124.9</v>
      </c>
      <c r="X229">
        <v>139.19999999999999</v>
      </c>
      <c r="Y229">
        <v>151.6</v>
      </c>
      <c r="Z229">
        <v>133.4</v>
      </c>
      <c r="AA229">
        <v>138.19999999999999</v>
      </c>
      <c r="AB229">
        <v>142</v>
      </c>
      <c r="AC229" s="10">
        <f t="shared" si="28"/>
        <v>139.71428571428572</v>
      </c>
      <c r="AD229">
        <f t="shared" si="30"/>
        <v>145.36666666666667</v>
      </c>
      <c r="AE229">
        <v>150.1</v>
      </c>
      <c r="AF229">
        <v>140.30000000000001</v>
      </c>
      <c r="AG229" s="1">
        <f t="shared" si="29"/>
        <v>139.95000000000002</v>
      </c>
      <c r="AH229" s="1">
        <f t="shared" si="31"/>
        <v>715.43095238095248</v>
      </c>
      <c r="AI229">
        <f t="shared" si="32"/>
        <v>26.789872076991212</v>
      </c>
      <c r="AJ229">
        <f t="shared" si="33"/>
        <v>27.873702279969692</v>
      </c>
      <c r="AK229">
        <f t="shared" si="34"/>
        <v>28.781307353062029</v>
      </c>
      <c r="AL229">
        <f t="shared" si="35"/>
        <v>26.902181356659582</v>
      </c>
      <c r="AM229">
        <f t="shared" si="36"/>
        <v>26.83506971393092</v>
      </c>
    </row>
    <row r="230" spans="1:39" x14ac:dyDescent="0.3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>
        <v>149.6</v>
      </c>
      <c r="V230">
        <v>151.69999999999999</v>
      </c>
      <c r="W230">
        <v>130.19999999999999</v>
      </c>
      <c r="X230">
        <v>146.4</v>
      </c>
      <c r="Y230">
        <v>157.69999999999999</v>
      </c>
      <c r="Z230">
        <v>134.80000000000001</v>
      </c>
      <c r="AA230">
        <v>143.30000000000001</v>
      </c>
      <c r="AB230">
        <v>143.6</v>
      </c>
      <c r="AC230" s="10">
        <f t="shared" si="28"/>
        <v>140.6</v>
      </c>
      <c r="AD230">
        <f t="shared" si="30"/>
        <v>149.53333333333333</v>
      </c>
      <c r="AE230">
        <v>149.4</v>
      </c>
      <c r="AF230">
        <v>147.80000000000001</v>
      </c>
      <c r="AG230" s="1">
        <f t="shared" si="29"/>
        <v>145.06666666666663</v>
      </c>
      <c r="AH230" s="1">
        <f t="shared" si="31"/>
        <v>732.39999999999986</v>
      </c>
      <c r="AI230">
        <f t="shared" si="32"/>
        <v>26.959705621855569</v>
      </c>
      <c r="AJ230">
        <f t="shared" si="33"/>
        <v>28.672650407691819</v>
      </c>
      <c r="AK230">
        <f t="shared" si="34"/>
        <v>28.647084067604712</v>
      </c>
      <c r="AL230">
        <f t="shared" si="35"/>
        <v>28.340287986559414</v>
      </c>
      <c r="AM230">
        <f t="shared" si="36"/>
        <v>27.816178014773691</v>
      </c>
    </row>
    <row r="231" spans="1:39" x14ac:dyDescent="0.3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137.4</v>
      </c>
      <c r="V231">
        <v>140.30000000000001</v>
      </c>
      <c r="W231">
        <v>119.6</v>
      </c>
      <c r="X231">
        <v>134.30000000000001</v>
      </c>
      <c r="Y231">
        <v>148.9</v>
      </c>
      <c r="Z231">
        <v>133.69999999999999</v>
      </c>
      <c r="AA231">
        <v>133.6</v>
      </c>
      <c r="AB231">
        <v>142.1</v>
      </c>
      <c r="AC231" s="10">
        <f t="shared" si="28"/>
        <v>142.85714285714283</v>
      </c>
      <c r="AD231">
        <f t="shared" si="30"/>
        <v>139.46666666666667</v>
      </c>
      <c r="AE231">
        <v>149.4</v>
      </c>
      <c r="AF231">
        <v>130.5</v>
      </c>
      <c r="AG231" s="1">
        <f t="shared" si="29"/>
        <v>135.70000000000002</v>
      </c>
      <c r="AH231" s="1">
        <f t="shared" si="31"/>
        <v>697.9238095238095</v>
      </c>
      <c r="AI231">
        <f t="shared" si="32"/>
        <v>27.392507236187324</v>
      </c>
      <c r="AJ231">
        <f t="shared" si="33"/>
        <v>26.742391731115152</v>
      </c>
      <c r="AK231">
        <f t="shared" si="34"/>
        <v>28.647084067604712</v>
      </c>
      <c r="AL231">
        <f t="shared" si="35"/>
        <v>25.023055360257128</v>
      </c>
      <c r="AM231">
        <f t="shared" si="36"/>
        <v>26.020142623654348</v>
      </c>
    </row>
    <row r="232" spans="1:39" x14ac:dyDescent="0.3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143.80000000000001</v>
      </c>
      <c r="V232">
        <v>147.4</v>
      </c>
      <c r="W232">
        <v>124.6</v>
      </c>
      <c r="X232">
        <v>139.6</v>
      </c>
      <c r="Y232">
        <v>152.5</v>
      </c>
      <c r="Z232">
        <v>134.30000000000001</v>
      </c>
      <c r="AA232">
        <v>138.6</v>
      </c>
      <c r="AB232">
        <v>142.9</v>
      </c>
      <c r="AC232" s="10">
        <f t="shared" si="28"/>
        <v>141.35714285714286</v>
      </c>
      <c r="AD232">
        <f t="shared" si="30"/>
        <v>145.46666666666667</v>
      </c>
      <c r="AE232">
        <v>149.4</v>
      </c>
      <c r="AF232">
        <v>141.19999999999999</v>
      </c>
      <c r="AG232" s="1">
        <f t="shared" si="29"/>
        <v>140.36666666666667</v>
      </c>
      <c r="AH232" s="1">
        <f t="shared" si="31"/>
        <v>717.79047619047617</v>
      </c>
      <c r="AI232">
        <f t="shared" si="32"/>
        <v>27.104885910207365</v>
      </c>
      <c r="AJ232">
        <f t="shared" si="33"/>
        <v>27.892877035035017</v>
      </c>
      <c r="AK232">
        <f t="shared" si="34"/>
        <v>28.647084067604712</v>
      </c>
      <c r="AL232">
        <f t="shared" si="35"/>
        <v>27.074754152247554</v>
      </c>
      <c r="AM232">
        <f t="shared" si="36"/>
        <v>26.914964526703134</v>
      </c>
    </row>
    <row r="233" spans="1:39" x14ac:dyDescent="0.3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>
        <v>150</v>
      </c>
      <c r="V233">
        <v>152.19999999999999</v>
      </c>
      <c r="W233">
        <v>131.19999999999999</v>
      </c>
      <c r="X233">
        <v>147.5</v>
      </c>
      <c r="Y233">
        <v>159.1</v>
      </c>
      <c r="Z233">
        <v>136.1</v>
      </c>
      <c r="AA233">
        <v>144.19999999999999</v>
      </c>
      <c r="AB233">
        <v>144.9</v>
      </c>
      <c r="AC233" s="10">
        <f t="shared" si="28"/>
        <v>142.24285714285713</v>
      </c>
      <c r="AD233">
        <f t="shared" si="30"/>
        <v>149.70000000000002</v>
      </c>
      <c r="AE233">
        <v>150.6</v>
      </c>
      <c r="AF233">
        <v>146.80000000000001</v>
      </c>
      <c r="AG233" s="1">
        <f t="shared" si="29"/>
        <v>146.01666666666668</v>
      </c>
      <c r="AH233" s="1">
        <f t="shared" si="31"/>
        <v>735.35952380952381</v>
      </c>
      <c r="AI233">
        <f t="shared" si="32"/>
        <v>27.274719455071722</v>
      </c>
      <c r="AJ233">
        <f t="shared" si="33"/>
        <v>28.704608332800706</v>
      </c>
      <c r="AK233">
        <f t="shared" si="34"/>
        <v>28.877181128388685</v>
      </c>
      <c r="AL233">
        <f t="shared" si="35"/>
        <v>28.148540435906106</v>
      </c>
      <c r="AM233">
        <f t="shared" si="36"/>
        <v>27.998338187894344</v>
      </c>
    </row>
    <row r="234" spans="1:39" x14ac:dyDescent="0.3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137.69999999999999</v>
      </c>
      <c r="V234">
        <v>140.80000000000001</v>
      </c>
      <c r="W234">
        <v>120.6</v>
      </c>
      <c r="X234">
        <v>135</v>
      </c>
      <c r="Y234">
        <v>150.4</v>
      </c>
      <c r="Z234">
        <v>135.1</v>
      </c>
      <c r="AA234">
        <v>134.5</v>
      </c>
      <c r="AB234">
        <v>143.30000000000001</v>
      </c>
      <c r="AC234" s="10">
        <f t="shared" si="28"/>
        <v>144.6142857142857</v>
      </c>
      <c r="AD234">
        <f t="shared" si="30"/>
        <v>139.76666666666668</v>
      </c>
      <c r="AE234">
        <v>150.6</v>
      </c>
      <c r="AF234">
        <v>127</v>
      </c>
      <c r="AG234" s="1">
        <f t="shared" si="29"/>
        <v>136.6</v>
      </c>
      <c r="AH234" s="1">
        <f t="shared" si="31"/>
        <v>698.58095238095245</v>
      </c>
      <c r="AI234">
        <f t="shared" si="32"/>
        <v>27.729435075192434</v>
      </c>
      <c r="AJ234">
        <f t="shared" si="33"/>
        <v>26.799915996311146</v>
      </c>
      <c r="AK234">
        <f t="shared" si="34"/>
        <v>28.877181128388685</v>
      </c>
      <c r="AL234">
        <f t="shared" si="35"/>
        <v>24.351938932970537</v>
      </c>
      <c r="AM234">
        <f t="shared" si="36"/>
        <v>26.192715419242322</v>
      </c>
    </row>
    <row r="235" spans="1:39" x14ac:dyDescent="0.3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144.19999999999999</v>
      </c>
      <c r="V235">
        <v>147.9</v>
      </c>
      <c r="W235">
        <v>125.6</v>
      </c>
      <c r="X235">
        <v>140.5</v>
      </c>
      <c r="Y235">
        <v>154</v>
      </c>
      <c r="Z235">
        <v>135.69999999999999</v>
      </c>
      <c r="AA235">
        <v>139.5</v>
      </c>
      <c r="AB235">
        <v>144.19999999999999</v>
      </c>
      <c r="AC235" s="10">
        <f t="shared" si="28"/>
        <v>143.05000000000001</v>
      </c>
      <c r="AD235">
        <f t="shared" si="30"/>
        <v>145.66666666666666</v>
      </c>
      <c r="AE235">
        <v>150.6</v>
      </c>
      <c r="AF235">
        <v>139.30000000000001</v>
      </c>
      <c r="AG235" s="1">
        <f t="shared" si="29"/>
        <v>141.31666666666669</v>
      </c>
      <c r="AH235" s="1">
        <f t="shared" si="31"/>
        <v>719.93333333333351</v>
      </c>
      <c r="AI235">
        <f t="shared" si="32"/>
        <v>27.429487120956185</v>
      </c>
      <c r="AJ235">
        <f t="shared" si="33"/>
        <v>27.931226545165678</v>
      </c>
      <c r="AK235">
        <f t="shared" si="34"/>
        <v>28.877181128388685</v>
      </c>
      <c r="AL235">
        <f t="shared" si="35"/>
        <v>26.710433806006268</v>
      </c>
      <c r="AM235">
        <f t="shared" si="36"/>
        <v>27.097124699823784</v>
      </c>
    </row>
    <row r="236" spans="1:39" x14ac:dyDescent="0.3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>
        <v>150.19999999999999</v>
      </c>
      <c r="V236">
        <v>152.69999999999999</v>
      </c>
      <c r="W236">
        <v>131.4</v>
      </c>
      <c r="X236">
        <v>148</v>
      </c>
      <c r="Y236">
        <v>159.69999999999999</v>
      </c>
      <c r="Z236">
        <v>138.80000000000001</v>
      </c>
      <c r="AA236">
        <v>144.9</v>
      </c>
      <c r="AB236">
        <v>145.69999999999999</v>
      </c>
      <c r="AC236" s="10">
        <f t="shared" si="28"/>
        <v>142.82857142857145</v>
      </c>
      <c r="AD236">
        <f t="shared" si="30"/>
        <v>149.83333333333334</v>
      </c>
      <c r="AE236">
        <v>151.6</v>
      </c>
      <c r="AF236">
        <v>146.4</v>
      </c>
      <c r="AG236" s="1">
        <f t="shared" si="29"/>
        <v>146.79999999999998</v>
      </c>
      <c r="AH236" s="1">
        <f t="shared" si="31"/>
        <v>737.46190476190475</v>
      </c>
      <c r="AI236">
        <f t="shared" si="32"/>
        <v>27.387028734740099</v>
      </c>
      <c r="AJ236">
        <f t="shared" si="33"/>
        <v>28.730174672887816</v>
      </c>
      <c r="AK236">
        <f t="shared" si="34"/>
        <v>29.068928679041996</v>
      </c>
      <c r="AL236">
        <f t="shared" si="35"/>
        <v>28.071841415644776</v>
      </c>
      <c r="AM236">
        <f t="shared" si="36"/>
        <v>28.148540435906099</v>
      </c>
    </row>
    <row r="237" spans="1:39" x14ac:dyDescent="0.3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138.1</v>
      </c>
      <c r="V237">
        <v>141.5</v>
      </c>
      <c r="W237">
        <v>120.8</v>
      </c>
      <c r="X237">
        <v>135.4</v>
      </c>
      <c r="Y237">
        <v>151.5</v>
      </c>
      <c r="Z237">
        <v>137.80000000000001</v>
      </c>
      <c r="AA237">
        <v>135.30000000000001</v>
      </c>
      <c r="AB237">
        <v>144.19999999999999</v>
      </c>
      <c r="AC237" s="10">
        <f t="shared" si="28"/>
        <v>145.5</v>
      </c>
      <c r="AD237">
        <f t="shared" si="30"/>
        <v>140.06666666666666</v>
      </c>
      <c r="AE237">
        <v>151.6</v>
      </c>
      <c r="AF237">
        <v>125.5</v>
      </c>
      <c r="AG237" s="1">
        <f t="shared" si="29"/>
        <v>137.51666666666668</v>
      </c>
      <c r="AH237" s="1">
        <f t="shared" si="31"/>
        <v>700.18333333333328</v>
      </c>
      <c r="AI237">
        <f t="shared" si="32"/>
        <v>27.899268620056795</v>
      </c>
      <c r="AJ237">
        <f t="shared" si="33"/>
        <v>26.857440261507136</v>
      </c>
      <c r="AK237">
        <f t="shared" si="34"/>
        <v>29.068928679041996</v>
      </c>
      <c r="AL237">
        <f t="shared" si="35"/>
        <v>24.064317606990571</v>
      </c>
      <c r="AM237">
        <f t="shared" si="36"/>
        <v>26.368484007341198</v>
      </c>
    </row>
    <row r="238" spans="1:39" x14ac:dyDescent="0.3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144.5</v>
      </c>
      <c r="V238">
        <v>148.5</v>
      </c>
      <c r="W238">
        <v>125.8</v>
      </c>
      <c r="X238">
        <v>140.9</v>
      </c>
      <c r="Y238">
        <v>154.9</v>
      </c>
      <c r="Z238">
        <v>138.4</v>
      </c>
      <c r="AA238">
        <v>140.19999999999999</v>
      </c>
      <c r="AB238">
        <v>145</v>
      </c>
      <c r="AC238" s="10">
        <f t="shared" si="28"/>
        <v>143.73571428571429</v>
      </c>
      <c r="AD238">
        <f t="shared" si="30"/>
        <v>145.86666666666667</v>
      </c>
      <c r="AE238">
        <v>151.6</v>
      </c>
      <c r="AF238">
        <v>138.5</v>
      </c>
      <c r="AG238" s="1">
        <f t="shared" si="29"/>
        <v>142.16666666666666</v>
      </c>
      <c r="AH238" s="1">
        <f t="shared" si="31"/>
        <v>721.86904761904759</v>
      </c>
      <c r="AI238">
        <f t="shared" si="32"/>
        <v>27.560971155689884</v>
      </c>
      <c r="AJ238">
        <f t="shared" si="33"/>
        <v>27.969576055296347</v>
      </c>
      <c r="AK238">
        <f t="shared" si="34"/>
        <v>29.068928679041996</v>
      </c>
      <c r="AL238">
        <f t="shared" si="35"/>
        <v>26.557035765483615</v>
      </c>
      <c r="AM238">
        <f t="shared" si="36"/>
        <v>27.260110117879087</v>
      </c>
    </row>
    <row r="239" spans="1:39" x14ac:dyDescent="0.3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>
        <v>150.30000000000001</v>
      </c>
      <c r="V239">
        <v>153.4</v>
      </c>
      <c r="W239">
        <v>131.6</v>
      </c>
      <c r="X239">
        <v>148.30000000000001</v>
      </c>
      <c r="Y239">
        <v>160.19999999999999</v>
      </c>
      <c r="Z239">
        <v>140.19999999999999</v>
      </c>
      <c r="AA239">
        <v>145.4</v>
      </c>
      <c r="AB239">
        <v>146.69999999999999</v>
      </c>
      <c r="AC239" s="10">
        <f t="shared" si="28"/>
        <v>143.8857142857143</v>
      </c>
      <c r="AD239">
        <f t="shared" si="30"/>
        <v>149.76666666666665</v>
      </c>
      <c r="AE239">
        <v>152.19999999999999</v>
      </c>
      <c r="AF239">
        <v>146.9</v>
      </c>
      <c r="AG239" s="1">
        <f t="shared" si="29"/>
        <v>147.33333333333337</v>
      </c>
      <c r="AH239" s="1">
        <f t="shared" si="31"/>
        <v>740.08571428571429</v>
      </c>
      <c r="AI239">
        <f t="shared" si="32"/>
        <v>27.589733288287881</v>
      </c>
      <c r="AJ239">
        <f t="shared" si="33"/>
        <v>28.717391502844254</v>
      </c>
      <c r="AK239">
        <f t="shared" si="34"/>
        <v>29.18397720943398</v>
      </c>
      <c r="AL239">
        <f t="shared" si="35"/>
        <v>28.167715190971432</v>
      </c>
      <c r="AM239">
        <f t="shared" si="36"/>
        <v>28.250805796254539</v>
      </c>
    </row>
    <row r="240" spans="1:39" x14ac:dyDescent="0.3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138.30000000000001</v>
      </c>
      <c r="V240">
        <v>141.9</v>
      </c>
      <c r="W240">
        <v>121.2</v>
      </c>
      <c r="X240">
        <v>135.9</v>
      </c>
      <c r="Y240">
        <v>151.6</v>
      </c>
      <c r="Z240">
        <v>139</v>
      </c>
      <c r="AA240">
        <v>135.69999999999999</v>
      </c>
      <c r="AB240">
        <v>144.69999999999999</v>
      </c>
      <c r="AC240" s="10">
        <f t="shared" si="28"/>
        <v>145.96428571428572</v>
      </c>
      <c r="AD240">
        <f t="shared" si="30"/>
        <v>140.26666666666668</v>
      </c>
      <c r="AE240">
        <v>152.19999999999999</v>
      </c>
      <c r="AF240">
        <v>126.6</v>
      </c>
      <c r="AG240" s="1">
        <f t="shared" si="29"/>
        <v>137.98333333333335</v>
      </c>
      <c r="AH240" s="1">
        <f t="shared" si="31"/>
        <v>703.01428571428573</v>
      </c>
      <c r="AI240">
        <f t="shared" si="32"/>
        <v>27.98829426857441</v>
      </c>
      <c r="AJ240">
        <f t="shared" si="33"/>
        <v>26.895789771637801</v>
      </c>
      <c r="AK240">
        <f t="shared" si="34"/>
        <v>29.18397720943398</v>
      </c>
      <c r="AL240">
        <f t="shared" si="35"/>
        <v>24.27523991270921</v>
      </c>
      <c r="AM240">
        <f t="shared" si="36"/>
        <v>26.457966197646076</v>
      </c>
    </row>
    <row r="241" spans="1:39" x14ac:dyDescent="0.3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144.6</v>
      </c>
      <c r="V241">
        <v>149</v>
      </c>
      <c r="W241">
        <v>126.1</v>
      </c>
      <c r="X241">
        <v>141.30000000000001</v>
      </c>
      <c r="Y241">
        <v>155.19999999999999</v>
      </c>
      <c r="Z241">
        <v>139.69999999999999</v>
      </c>
      <c r="AA241">
        <v>140.69999999999999</v>
      </c>
      <c r="AB241">
        <v>145.80000000000001</v>
      </c>
      <c r="AC241" s="10">
        <f t="shared" si="28"/>
        <v>144.58571428571426</v>
      </c>
      <c r="AD241">
        <f t="shared" si="30"/>
        <v>145.89999999999998</v>
      </c>
      <c r="AE241">
        <v>152.19999999999999</v>
      </c>
      <c r="AF241">
        <v>139.19999999999999</v>
      </c>
      <c r="AG241" s="1">
        <f t="shared" si="29"/>
        <v>142.65</v>
      </c>
      <c r="AH241" s="1">
        <f t="shared" si="31"/>
        <v>724.53571428571422</v>
      </c>
      <c r="AI241">
        <f t="shared" si="32"/>
        <v>27.723956573745195</v>
      </c>
      <c r="AJ241">
        <f t="shared" si="33"/>
        <v>27.975967640318117</v>
      </c>
      <c r="AK241">
        <f t="shared" si="34"/>
        <v>29.18397720943398</v>
      </c>
      <c r="AL241">
        <f t="shared" si="35"/>
        <v>26.691259050940936</v>
      </c>
      <c r="AM241">
        <f t="shared" si="36"/>
        <v>27.352788100694859</v>
      </c>
    </row>
    <row r="242" spans="1:39" x14ac:dyDescent="0.3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>
        <v>150.6</v>
      </c>
      <c r="V242">
        <v>153.69999999999999</v>
      </c>
      <c r="W242">
        <v>131.69999999999999</v>
      </c>
      <c r="X242">
        <v>148.69999999999999</v>
      </c>
      <c r="Y242">
        <v>160.69999999999999</v>
      </c>
      <c r="Z242">
        <v>140.30000000000001</v>
      </c>
      <c r="AA242">
        <v>145.69999999999999</v>
      </c>
      <c r="AB242">
        <v>148.30000000000001</v>
      </c>
      <c r="AC242" s="10">
        <f t="shared" si="28"/>
        <v>145.94285714285712</v>
      </c>
      <c r="AD242">
        <f t="shared" si="30"/>
        <v>149.79999999999998</v>
      </c>
      <c r="AE242">
        <v>153</v>
      </c>
      <c r="AF242">
        <v>147.69999999999999</v>
      </c>
      <c r="AG242" s="1">
        <f t="shared" si="29"/>
        <v>147.61666666666665</v>
      </c>
      <c r="AH242" s="1">
        <f t="shared" si="31"/>
        <v>744.05952380952374</v>
      </c>
      <c r="AI242">
        <f t="shared" si="32"/>
        <v>27.984185392488975</v>
      </c>
      <c r="AJ242">
        <f t="shared" si="33"/>
        <v>28.723783087866035</v>
      </c>
      <c r="AK242">
        <f t="shared" si="34"/>
        <v>29.337375249956633</v>
      </c>
      <c r="AL242">
        <f t="shared" si="35"/>
        <v>28.321113231494078</v>
      </c>
      <c r="AM242">
        <f t="shared" si="36"/>
        <v>28.305134268939636</v>
      </c>
    </row>
    <row r="243" spans="1:39" x14ac:dyDescent="0.3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138.69999999999999</v>
      </c>
      <c r="V243">
        <v>142.4</v>
      </c>
      <c r="W243">
        <v>121.5</v>
      </c>
      <c r="X243">
        <v>136.19999999999999</v>
      </c>
      <c r="Y243">
        <v>151.69999999999999</v>
      </c>
      <c r="Z243">
        <v>139.5</v>
      </c>
      <c r="AA243">
        <v>136</v>
      </c>
      <c r="AB243">
        <v>146</v>
      </c>
      <c r="AC243" s="10">
        <f t="shared" si="28"/>
        <v>147.99285714285716</v>
      </c>
      <c r="AD243">
        <f t="shared" si="30"/>
        <v>140.73333333333335</v>
      </c>
      <c r="AE243">
        <v>153</v>
      </c>
      <c r="AF243">
        <v>128.9</v>
      </c>
      <c r="AG243" s="1">
        <f t="shared" si="29"/>
        <v>138.33333333333334</v>
      </c>
      <c r="AH243" s="1">
        <f t="shared" si="31"/>
        <v>708.95952380952383</v>
      </c>
      <c r="AI243">
        <f t="shared" si="32"/>
        <v>28.377267871328272</v>
      </c>
      <c r="AJ243">
        <f t="shared" si="33"/>
        <v>26.985271961942679</v>
      </c>
      <c r="AK243">
        <f t="shared" si="34"/>
        <v>29.337375249956633</v>
      </c>
      <c r="AL243">
        <f t="shared" si="35"/>
        <v>24.71625927921183</v>
      </c>
      <c r="AM243">
        <f t="shared" si="36"/>
        <v>26.525077840374735</v>
      </c>
    </row>
    <row r="244" spans="1:39" x14ac:dyDescent="0.3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145</v>
      </c>
      <c r="V244">
        <v>149.4</v>
      </c>
      <c r="W244">
        <v>126.3</v>
      </c>
      <c r="X244">
        <v>141.69999999999999</v>
      </c>
      <c r="Y244">
        <v>155.4</v>
      </c>
      <c r="Z244">
        <v>140</v>
      </c>
      <c r="AA244">
        <v>141</v>
      </c>
      <c r="AB244">
        <v>147.19999999999999</v>
      </c>
      <c r="AC244" s="10">
        <f t="shared" si="28"/>
        <v>146.62142857142857</v>
      </c>
      <c r="AD244">
        <f t="shared" si="30"/>
        <v>146.13333333333335</v>
      </c>
      <c r="AE244">
        <v>153</v>
      </c>
      <c r="AF244">
        <v>140.6</v>
      </c>
      <c r="AG244" s="1">
        <f t="shared" si="29"/>
        <v>142.96666666666667</v>
      </c>
      <c r="AH244" s="1">
        <f t="shared" si="31"/>
        <v>729.32142857142867</v>
      </c>
      <c r="AI244">
        <f t="shared" si="32"/>
        <v>28.114299801860867</v>
      </c>
      <c r="AJ244">
        <f t="shared" si="33"/>
        <v>28.020708735470564</v>
      </c>
      <c r="AK244">
        <f t="shared" si="34"/>
        <v>29.337375249956633</v>
      </c>
      <c r="AL244">
        <f t="shared" si="35"/>
        <v>26.959705621855569</v>
      </c>
      <c r="AM244">
        <f t="shared" si="36"/>
        <v>27.41350815840174</v>
      </c>
    </row>
    <row r="245" spans="1:39" x14ac:dyDescent="0.3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>
        <v>150.9</v>
      </c>
      <c r="V245">
        <v>154.30000000000001</v>
      </c>
      <c r="W245">
        <v>132.1</v>
      </c>
      <c r="X245">
        <v>149.1</v>
      </c>
      <c r="Y245">
        <v>160.80000000000001</v>
      </c>
      <c r="Z245">
        <v>140.6</v>
      </c>
      <c r="AA245">
        <v>146.1</v>
      </c>
      <c r="AB245">
        <v>149.9</v>
      </c>
      <c r="AC245" s="10">
        <f t="shared" si="28"/>
        <v>147.98571428571429</v>
      </c>
      <c r="AD245">
        <f t="shared" si="30"/>
        <v>150.26666666666668</v>
      </c>
      <c r="AE245">
        <v>153.5</v>
      </c>
      <c r="AF245">
        <v>148.4</v>
      </c>
      <c r="AG245" s="1">
        <f t="shared" si="29"/>
        <v>147.96666666666667</v>
      </c>
      <c r="AH245" s="1">
        <f t="shared" si="31"/>
        <v>748.11904761904771</v>
      </c>
      <c r="AI245">
        <f t="shared" si="32"/>
        <v>28.375898245966457</v>
      </c>
      <c r="AJ245">
        <f t="shared" si="33"/>
        <v>28.813265278170917</v>
      </c>
      <c r="AK245">
        <f t="shared" si="34"/>
        <v>29.433249025283288</v>
      </c>
      <c r="AL245">
        <f t="shared" si="35"/>
        <v>28.455336516951402</v>
      </c>
      <c r="AM245">
        <f t="shared" si="36"/>
        <v>28.372245911668298</v>
      </c>
    </row>
    <row r="246" spans="1:39" x14ac:dyDescent="0.3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139.1</v>
      </c>
      <c r="V246">
        <v>142.80000000000001</v>
      </c>
      <c r="W246">
        <v>121.7</v>
      </c>
      <c r="X246">
        <v>136.69999999999999</v>
      </c>
      <c r="Y246">
        <v>151.80000000000001</v>
      </c>
      <c r="Z246">
        <v>139.80000000000001</v>
      </c>
      <c r="AA246">
        <v>136.30000000000001</v>
      </c>
      <c r="AB246">
        <v>147</v>
      </c>
      <c r="AC246" s="10">
        <f t="shared" si="28"/>
        <v>149.56428571428569</v>
      </c>
      <c r="AD246">
        <f t="shared" si="30"/>
        <v>141.03333333333333</v>
      </c>
      <c r="AE246">
        <v>153.5</v>
      </c>
      <c r="AF246">
        <v>132.19999999999999</v>
      </c>
      <c r="AG246" s="1">
        <f t="shared" si="29"/>
        <v>138.64999999999998</v>
      </c>
      <c r="AH246" s="1">
        <f t="shared" si="31"/>
        <v>714.94761904761901</v>
      </c>
      <c r="AI246">
        <f t="shared" si="32"/>
        <v>28.67858545092632</v>
      </c>
      <c r="AJ246">
        <f t="shared" si="33"/>
        <v>27.04279622713867</v>
      </c>
      <c r="AK246">
        <f t="shared" si="34"/>
        <v>29.433249025283288</v>
      </c>
      <c r="AL246">
        <f t="shared" si="35"/>
        <v>25.349026196367753</v>
      </c>
      <c r="AM246">
        <f t="shared" si="36"/>
        <v>26.585797898081609</v>
      </c>
    </row>
    <row r="247" spans="1:39" x14ac:dyDescent="0.3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145.30000000000001</v>
      </c>
      <c r="V247">
        <v>149.9</v>
      </c>
      <c r="W247">
        <v>126.6</v>
      </c>
      <c r="X247">
        <v>142.1</v>
      </c>
      <c r="Y247">
        <v>155.5</v>
      </c>
      <c r="Z247">
        <v>140.30000000000001</v>
      </c>
      <c r="AA247">
        <v>141.30000000000001</v>
      </c>
      <c r="AB247">
        <v>148.6</v>
      </c>
      <c r="AC247" s="10">
        <f t="shared" si="28"/>
        <v>148.48571428571429</v>
      </c>
      <c r="AD247">
        <f t="shared" si="30"/>
        <v>146.5</v>
      </c>
      <c r="AE247">
        <v>153.5</v>
      </c>
      <c r="AF247">
        <v>142.30000000000001</v>
      </c>
      <c r="AG247" s="1">
        <f t="shared" si="29"/>
        <v>143.28333333333333</v>
      </c>
      <c r="AH247" s="1">
        <f t="shared" si="31"/>
        <v>734.06904761904752</v>
      </c>
      <c r="AI247">
        <f t="shared" si="32"/>
        <v>28.471772021293113</v>
      </c>
      <c r="AJ247">
        <f t="shared" si="33"/>
        <v>28.091016170710109</v>
      </c>
      <c r="AK247">
        <f t="shared" si="34"/>
        <v>29.433249025283288</v>
      </c>
      <c r="AL247">
        <f t="shared" si="35"/>
        <v>27.285676457966201</v>
      </c>
      <c r="AM247">
        <f t="shared" si="36"/>
        <v>27.474228216108621</v>
      </c>
    </row>
    <row r="248" spans="1:39" x14ac:dyDescent="0.3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>
        <v>151.19999999999999</v>
      </c>
      <c r="V248">
        <v>154.80000000000001</v>
      </c>
      <c r="W248">
        <v>135</v>
      </c>
      <c r="X248">
        <v>149.5</v>
      </c>
      <c r="Y248">
        <v>161.1</v>
      </c>
      <c r="Z248">
        <v>140.6</v>
      </c>
      <c r="AA248">
        <v>147.1</v>
      </c>
      <c r="AB248">
        <v>152.30000000000001</v>
      </c>
      <c r="AC248" s="10">
        <f t="shared" si="28"/>
        <v>150.62857142857141</v>
      </c>
      <c r="AD248">
        <f t="shared" si="30"/>
        <v>150.6</v>
      </c>
      <c r="AE248">
        <v>152.80000000000001</v>
      </c>
      <c r="AF248">
        <v>149.9</v>
      </c>
      <c r="AG248" s="1">
        <f t="shared" si="29"/>
        <v>148.70000000000002</v>
      </c>
      <c r="AH248" s="1">
        <f t="shared" si="31"/>
        <v>752.62857142857149</v>
      </c>
      <c r="AI248">
        <f t="shared" si="32"/>
        <v>28.882659629835917</v>
      </c>
      <c r="AJ248">
        <f t="shared" si="33"/>
        <v>28.877181128388685</v>
      </c>
      <c r="AK248">
        <f t="shared" si="34"/>
        <v>29.299025739825975</v>
      </c>
      <c r="AL248">
        <f t="shared" si="35"/>
        <v>28.742957842931364</v>
      </c>
      <c r="AM248">
        <f t="shared" si="36"/>
        <v>28.512860782147399</v>
      </c>
    </row>
    <row r="249" spans="1:39" x14ac:dyDescent="0.3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139.80000000000001</v>
      </c>
      <c r="V249">
        <v>143.19999999999999</v>
      </c>
      <c r="W249">
        <v>125.2</v>
      </c>
      <c r="X249">
        <v>136.80000000000001</v>
      </c>
      <c r="Y249">
        <v>151.9</v>
      </c>
      <c r="Z249">
        <v>140.19999999999999</v>
      </c>
      <c r="AA249">
        <v>137.69999999999999</v>
      </c>
      <c r="AB249">
        <v>148.30000000000001</v>
      </c>
      <c r="AC249" s="10">
        <f t="shared" si="28"/>
        <v>151.93571428571428</v>
      </c>
      <c r="AD249">
        <f t="shared" si="30"/>
        <v>141.4</v>
      </c>
      <c r="AE249">
        <v>152.80000000000001</v>
      </c>
      <c r="AF249">
        <v>133.6</v>
      </c>
      <c r="AG249" s="1">
        <f t="shared" si="29"/>
        <v>139.51666666666665</v>
      </c>
      <c r="AH249" s="1">
        <f t="shared" si="31"/>
        <v>719.25238095238092</v>
      </c>
      <c r="AI249">
        <f t="shared" si="32"/>
        <v>29.133301071047036</v>
      </c>
      <c r="AJ249">
        <f t="shared" si="33"/>
        <v>27.113103662378219</v>
      </c>
      <c r="AK249">
        <f t="shared" si="34"/>
        <v>29.299025739825975</v>
      </c>
      <c r="AL249">
        <f t="shared" si="35"/>
        <v>25.61747276728239</v>
      </c>
      <c r="AM249">
        <f t="shared" si="36"/>
        <v>26.751979108647816</v>
      </c>
    </row>
    <row r="250" spans="1:39" x14ac:dyDescent="0.3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145.80000000000001</v>
      </c>
      <c r="V250">
        <v>150.4</v>
      </c>
      <c r="W250">
        <v>129.80000000000001</v>
      </c>
      <c r="X250">
        <v>142.30000000000001</v>
      </c>
      <c r="Y250">
        <v>155.69999999999999</v>
      </c>
      <c r="Z250">
        <v>140.4</v>
      </c>
      <c r="AA250">
        <v>142.5</v>
      </c>
      <c r="AB250">
        <v>150.4</v>
      </c>
      <c r="AC250" s="10">
        <f t="shared" si="28"/>
        <v>151.04285714285717</v>
      </c>
      <c r="AD250">
        <f t="shared" si="30"/>
        <v>146.86666666666667</v>
      </c>
      <c r="AE250">
        <v>152.80000000000001</v>
      </c>
      <c r="AF250">
        <v>143.69999999999999</v>
      </c>
      <c r="AG250" s="1">
        <f t="shared" si="29"/>
        <v>144.06666666666666</v>
      </c>
      <c r="AH250" s="1">
        <f t="shared" si="31"/>
        <v>738.4761904761906</v>
      </c>
      <c r="AI250">
        <f t="shared" si="32"/>
        <v>28.962097900820872</v>
      </c>
      <c r="AJ250">
        <f t="shared" si="33"/>
        <v>28.161323605949658</v>
      </c>
      <c r="AK250">
        <f t="shared" si="34"/>
        <v>29.299025739825975</v>
      </c>
      <c r="AL250">
        <f t="shared" si="35"/>
        <v>27.554123028880834</v>
      </c>
      <c r="AM250">
        <f t="shared" si="36"/>
        <v>27.62443046412038</v>
      </c>
    </row>
    <row r="251" spans="1:39" x14ac:dyDescent="0.3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>
        <v>151.69999999999999</v>
      </c>
      <c r="V251">
        <v>155.69999999999999</v>
      </c>
      <c r="W251">
        <v>136.30000000000001</v>
      </c>
      <c r="X251">
        <v>150.1</v>
      </c>
      <c r="Y251">
        <v>161.69999999999999</v>
      </c>
      <c r="Z251">
        <v>142.5</v>
      </c>
      <c r="AA251">
        <v>148.1</v>
      </c>
      <c r="AB251">
        <v>151.9</v>
      </c>
      <c r="AC251" s="10">
        <f t="shared" si="28"/>
        <v>150.51428571428571</v>
      </c>
      <c r="AD251">
        <f t="shared" si="30"/>
        <v>150.76666666666668</v>
      </c>
      <c r="AE251">
        <v>153.9</v>
      </c>
      <c r="AF251">
        <v>150.4</v>
      </c>
      <c r="AG251" s="1">
        <f t="shared" si="29"/>
        <v>149.66666666666666</v>
      </c>
      <c r="AH251" s="1">
        <f t="shared" si="31"/>
        <v>755.24761904761897</v>
      </c>
      <c r="AI251">
        <f t="shared" si="32"/>
        <v>28.86074562404697</v>
      </c>
      <c r="AJ251">
        <f t="shared" si="33"/>
        <v>28.909139053497572</v>
      </c>
      <c r="AK251">
        <f t="shared" si="34"/>
        <v>29.509948045544615</v>
      </c>
      <c r="AL251">
        <f t="shared" si="35"/>
        <v>28.83883161825802</v>
      </c>
      <c r="AM251">
        <f t="shared" si="36"/>
        <v>28.698216747778925</v>
      </c>
    </row>
    <row r="252" spans="1:39" x14ac:dyDescent="0.3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140.1</v>
      </c>
      <c r="V252">
        <v>143.80000000000001</v>
      </c>
      <c r="W252">
        <v>126.1</v>
      </c>
      <c r="X252">
        <v>137.19999999999999</v>
      </c>
      <c r="Y252">
        <v>152.1</v>
      </c>
      <c r="Z252">
        <v>142.1</v>
      </c>
      <c r="AA252">
        <v>138.4</v>
      </c>
      <c r="AB252">
        <v>148.19999999999999</v>
      </c>
      <c r="AC252" s="10">
        <f t="shared" si="28"/>
        <v>151.15714285714284</v>
      </c>
      <c r="AD252">
        <f t="shared" si="30"/>
        <v>141.70000000000002</v>
      </c>
      <c r="AE252">
        <v>153.9</v>
      </c>
      <c r="AF252">
        <v>135.1</v>
      </c>
      <c r="AG252" s="1">
        <f t="shared" si="29"/>
        <v>140.23333333333335</v>
      </c>
      <c r="AH252" s="1">
        <f t="shared" si="31"/>
        <v>722.09047619047624</v>
      </c>
      <c r="AI252">
        <f t="shared" si="32"/>
        <v>28.984011906609812</v>
      </c>
      <c r="AJ252">
        <f t="shared" si="33"/>
        <v>27.170627927574216</v>
      </c>
      <c r="AK252">
        <f t="shared" si="34"/>
        <v>29.509948045544615</v>
      </c>
      <c r="AL252">
        <f t="shared" si="35"/>
        <v>25.90509409326236</v>
      </c>
      <c r="AM252">
        <f t="shared" si="36"/>
        <v>26.889398186616027</v>
      </c>
    </row>
    <row r="253" spans="1:39" x14ac:dyDescent="0.3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146.19999999999999</v>
      </c>
      <c r="V253">
        <v>151.19999999999999</v>
      </c>
      <c r="W253">
        <v>130.9</v>
      </c>
      <c r="X253">
        <v>142.80000000000001</v>
      </c>
      <c r="Y253">
        <v>156.1</v>
      </c>
      <c r="Z253">
        <v>142.30000000000001</v>
      </c>
      <c r="AA253">
        <v>143.4</v>
      </c>
      <c r="AB253">
        <v>150.19999999999999</v>
      </c>
      <c r="AC253" s="10">
        <f t="shared" si="28"/>
        <v>150.68571428571428</v>
      </c>
      <c r="AD253">
        <f t="shared" si="30"/>
        <v>147.06666666666666</v>
      </c>
      <c r="AE253">
        <v>153.9</v>
      </c>
      <c r="AF253">
        <v>144.6</v>
      </c>
      <c r="AG253" s="1">
        <f t="shared" si="29"/>
        <v>144.91666666666666</v>
      </c>
      <c r="AH253" s="1">
        <f t="shared" si="31"/>
        <v>741.16904761904755</v>
      </c>
      <c r="AI253">
        <f t="shared" si="32"/>
        <v>28.893616632730396</v>
      </c>
      <c r="AJ253">
        <f t="shared" si="33"/>
        <v>28.199673116080316</v>
      </c>
      <c r="AK253">
        <f t="shared" si="34"/>
        <v>29.509948045544615</v>
      </c>
      <c r="AL253">
        <f t="shared" si="35"/>
        <v>27.726695824468816</v>
      </c>
      <c r="AM253">
        <f t="shared" si="36"/>
        <v>27.787415882175697</v>
      </c>
    </row>
    <row r="254" spans="1:39" x14ac:dyDescent="0.3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>
        <v>151.80000000000001</v>
      </c>
      <c r="V254">
        <v>156.19999999999999</v>
      </c>
      <c r="W254">
        <v>136</v>
      </c>
      <c r="X254">
        <v>150.4</v>
      </c>
      <c r="Y254">
        <v>161.9</v>
      </c>
      <c r="Z254">
        <v>143.4</v>
      </c>
      <c r="AA254">
        <v>148.4</v>
      </c>
      <c r="AB254">
        <v>150.4</v>
      </c>
      <c r="AC254" s="10">
        <f t="shared" si="28"/>
        <v>148.51428571428571</v>
      </c>
      <c r="AD254">
        <f t="shared" si="30"/>
        <v>150.93333333333334</v>
      </c>
      <c r="AE254">
        <v>154.80000000000001</v>
      </c>
      <c r="AF254">
        <v>152.30000000000001</v>
      </c>
      <c r="AG254" s="1">
        <f t="shared" si="29"/>
        <v>149.94999999999999</v>
      </c>
      <c r="AH254" s="1">
        <f t="shared" si="31"/>
        <v>756.49761904761908</v>
      </c>
      <c r="AI254">
        <f t="shared" si="32"/>
        <v>28.477250522740349</v>
      </c>
      <c r="AJ254">
        <f t="shared" si="33"/>
        <v>28.941096978606456</v>
      </c>
      <c r="AK254">
        <f t="shared" si="34"/>
        <v>29.682520841132593</v>
      </c>
      <c r="AL254">
        <f t="shared" si="35"/>
        <v>29.203151964499312</v>
      </c>
      <c r="AM254">
        <f t="shared" si="36"/>
        <v>28.752545220464032</v>
      </c>
    </row>
    <row r="255" spans="1:39" x14ac:dyDescent="0.3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140.4</v>
      </c>
      <c r="V255">
        <v>144.4</v>
      </c>
      <c r="W255">
        <v>125.2</v>
      </c>
      <c r="X255">
        <v>137.69999999999999</v>
      </c>
      <c r="Y255">
        <v>152.19999999999999</v>
      </c>
      <c r="Z255">
        <v>143.5</v>
      </c>
      <c r="AA255">
        <v>138.4</v>
      </c>
      <c r="AB255">
        <v>147.69999999999999</v>
      </c>
      <c r="AC255" s="10">
        <f t="shared" si="28"/>
        <v>149.18571428571428</v>
      </c>
      <c r="AD255">
        <f t="shared" si="30"/>
        <v>142</v>
      </c>
      <c r="AE255">
        <v>154.80000000000001</v>
      </c>
      <c r="AF255">
        <v>138.9</v>
      </c>
      <c r="AG255" s="1">
        <f t="shared" si="29"/>
        <v>140.56666666666669</v>
      </c>
      <c r="AH255" s="1">
        <f t="shared" si="31"/>
        <v>725.45238095238108</v>
      </c>
      <c r="AI255">
        <f t="shared" si="32"/>
        <v>28.60599530675043</v>
      </c>
      <c r="AJ255">
        <f t="shared" si="33"/>
        <v>27.228152192770207</v>
      </c>
      <c r="AK255">
        <f t="shared" si="34"/>
        <v>29.682520841132593</v>
      </c>
      <c r="AL255">
        <f t="shared" si="35"/>
        <v>26.633734785744945</v>
      </c>
      <c r="AM255">
        <f t="shared" si="36"/>
        <v>26.953314036833799</v>
      </c>
    </row>
    <row r="256" spans="1:39" x14ac:dyDescent="0.3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146.4</v>
      </c>
      <c r="V256">
        <v>151.69999999999999</v>
      </c>
      <c r="W256">
        <v>130.30000000000001</v>
      </c>
      <c r="X256">
        <v>143.19999999999999</v>
      </c>
      <c r="Y256">
        <v>156.19999999999999</v>
      </c>
      <c r="Z256">
        <v>143.4</v>
      </c>
      <c r="AA256">
        <v>143.6</v>
      </c>
      <c r="AB256">
        <v>149.1</v>
      </c>
      <c r="AC256" s="10">
        <f t="shared" si="28"/>
        <v>148.69285714285712</v>
      </c>
      <c r="AD256">
        <f t="shared" si="30"/>
        <v>147.33333333333334</v>
      </c>
      <c r="AE256">
        <v>154.80000000000001</v>
      </c>
      <c r="AF256">
        <v>147.19999999999999</v>
      </c>
      <c r="AG256" s="1">
        <f t="shared" si="29"/>
        <v>145.19999999999999</v>
      </c>
      <c r="AH256" s="1">
        <f t="shared" si="31"/>
        <v>743.22619047619037</v>
      </c>
      <c r="AI256">
        <f t="shared" si="32"/>
        <v>28.511491156785578</v>
      </c>
      <c r="AJ256">
        <f t="shared" si="33"/>
        <v>28.250805796254536</v>
      </c>
      <c r="AK256">
        <f t="shared" si="34"/>
        <v>29.682520841132593</v>
      </c>
      <c r="AL256">
        <f t="shared" si="35"/>
        <v>28.225239456167422</v>
      </c>
      <c r="AM256">
        <f t="shared" si="36"/>
        <v>27.841744354860804</v>
      </c>
    </row>
    <row r="257" spans="1:39" x14ac:dyDescent="0.3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>
        <v>151.5</v>
      </c>
      <c r="V257">
        <v>156.69999999999999</v>
      </c>
      <c r="W257">
        <v>135.80000000000001</v>
      </c>
      <c r="X257">
        <v>151.19999999999999</v>
      </c>
      <c r="Y257">
        <v>161.19999999999999</v>
      </c>
      <c r="Z257">
        <v>145.1</v>
      </c>
      <c r="AA257">
        <v>148.6</v>
      </c>
      <c r="AB257">
        <v>149.80000000000001</v>
      </c>
      <c r="AC257" s="10">
        <f t="shared" si="28"/>
        <v>147.50714285714281</v>
      </c>
      <c r="AD257">
        <f t="shared" si="30"/>
        <v>151.16666666666666</v>
      </c>
      <c r="AE257">
        <v>154.5</v>
      </c>
      <c r="AF257">
        <v>153.4</v>
      </c>
      <c r="AG257" s="1">
        <f t="shared" si="29"/>
        <v>150.25000000000003</v>
      </c>
      <c r="AH257" s="1">
        <f t="shared" si="31"/>
        <v>756.82380952380947</v>
      </c>
      <c r="AI257">
        <f t="shared" si="32"/>
        <v>28.28413334672522</v>
      </c>
      <c r="AJ257">
        <f t="shared" si="33"/>
        <v>28.985838073758892</v>
      </c>
      <c r="AK257">
        <f t="shared" si="34"/>
        <v>29.624996575936596</v>
      </c>
      <c r="AL257">
        <f t="shared" si="35"/>
        <v>29.414074270217956</v>
      </c>
      <c r="AM257">
        <f t="shared" si="36"/>
        <v>28.81006948566003</v>
      </c>
    </row>
    <row r="258" spans="1:39" x14ac:dyDescent="0.3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140.80000000000001</v>
      </c>
      <c r="V258">
        <v>145</v>
      </c>
      <c r="W258">
        <v>124.6</v>
      </c>
      <c r="X258">
        <v>137.9</v>
      </c>
      <c r="Y258">
        <v>152.5</v>
      </c>
      <c r="Z258">
        <v>145.30000000000001</v>
      </c>
      <c r="AA258">
        <v>138.69999999999999</v>
      </c>
      <c r="AB258">
        <v>147.30000000000001</v>
      </c>
      <c r="AC258" s="10">
        <f t="shared" ref="AC258:AC321" si="37">AVERAGE(D258:Q258)</f>
        <v>147.98571428571429</v>
      </c>
      <c r="AD258">
        <f t="shared" si="30"/>
        <v>142.36666666666667</v>
      </c>
      <c r="AE258">
        <v>154.5</v>
      </c>
      <c r="AF258">
        <v>141.4</v>
      </c>
      <c r="AG258" s="1">
        <f t="shared" ref="AG258:AG321" si="38">AVERAGE(U258:Z258)</f>
        <v>141.01666666666665</v>
      </c>
      <c r="AH258" s="1">
        <f t="shared" si="31"/>
        <v>727.26904761904757</v>
      </c>
      <c r="AI258">
        <f t="shared" si="32"/>
        <v>28.375898245966457</v>
      </c>
      <c r="AJ258">
        <f t="shared" si="33"/>
        <v>27.298459628009759</v>
      </c>
      <c r="AK258">
        <f t="shared" si="34"/>
        <v>29.624996575936596</v>
      </c>
      <c r="AL258">
        <f t="shared" si="35"/>
        <v>27.113103662378219</v>
      </c>
      <c r="AM258">
        <f t="shared" si="36"/>
        <v>27.039600434627779</v>
      </c>
    </row>
    <row r="259" spans="1:39" x14ac:dyDescent="0.3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146.4</v>
      </c>
      <c r="V259">
        <v>152.30000000000001</v>
      </c>
      <c r="W259">
        <v>129.9</v>
      </c>
      <c r="X259">
        <v>143.69999999999999</v>
      </c>
      <c r="Y259">
        <v>156.1</v>
      </c>
      <c r="Z259">
        <v>145.19999999999999</v>
      </c>
      <c r="AA259">
        <v>143.80000000000001</v>
      </c>
      <c r="AB259">
        <v>148.6</v>
      </c>
      <c r="AC259" s="10">
        <f t="shared" si="37"/>
        <v>147.6142857142857</v>
      </c>
      <c r="AD259">
        <f t="shared" ref="AD259:AD322" si="39">AVERAGE(R259:T259)</f>
        <v>147.63333333333335</v>
      </c>
      <c r="AE259">
        <v>154.5</v>
      </c>
      <c r="AF259">
        <v>148.9</v>
      </c>
      <c r="AG259" s="1">
        <f t="shared" si="38"/>
        <v>145.6</v>
      </c>
      <c r="AH259" s="1">
        <f t="shared" ref="AH259:AH322" si="40">SUM(AC259:AG259)</f>
        <v>744.24761904761908</v>
      </c>
      <c r="AI259">
        <f t="shared" ref="AI259:AI322" si="41">AC259/$AH$2*100</f>
        <v>28.304677727152367</v>
      </c>
      <c r="AJ259">
        <f t="shared" ref="AJ259:AJ322" si="42">AD259/$AH$2*100</f>
        <v>28.308330061450533</v>
      </c>
      <c r="AK259">
        <f t="shared" ref="AK259:AK322" si="43">AE259/$AH$2*100</f>
        <v>29.624996575936596</v>
      </c>
      <c r="AL259">
        <f t="shared" ref="AL259:AL322" si="44">AF259/$AH$2*100</f>
        <v>28.551210292278057</v>
      </c>
      <c r="AM259">
        <f t="shared" ref="AM259:AM322" si="45">AG259/$AH$2*100</f>
        <v>27.918443375122127</v>
      </c>
    </row>
    <row r="260" spans="1:39" x14ac:dyDescent="0.3">
      <c r="A260" t="s">
        <v>30</v>
      </c>
      <c r="B260">
        <v>2020</v>
      </c>
      <c r="C260" t="s">
        <v>37</v>
      </c>
      <c r="D260">
        <v>147.19999999999999</v>
      </c>
      <c r="E260">
        <v>176.3857142857143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160.18571428571428</v>
      </c>
      <c r="P260">
        <v>150.1</v>
      </c>
      <c r="Q260">
        <v>174.57142857142858</v>
      </c>
      <c r="R260">
        <v>153.75714285714284</v>
      </c>
      <c r="S260">
        <v>148.44285714285715</v>
      </c>
      <c r="T260">
        <v>153.04285714285714</v>
      </c>
      <c r="U260">
        <v>151.64285714285717</v>
      </c>
      <c r="V260">
        <v>154.30000000000001</v>
      </c>
      <c r="W260">
        <v>138.5</v>
      </c>
      <c r="X260">
        <v>151.40000000000003</v>
      </c>
      <c r="Y260">
        <v>161.7428571428571</v>
      </c>
      <c r="Z260">
        <v>146.79999999999998</v>
      </c>
      <c r="AA260">
        <v>149.80000000000001</v>
      </c>
      <c r="AB260">
        <v>152.07142857142861</v>
      </c>
      <c r="AC260" s="10">
        <f t="shared" si="37"/>
        <v>151.85306122448978</v>
      </c>
      <c r="AD260">
        <f t="shared" si="39"/>
        <v>151.74761904761905</v>
      </c>
      <c r="AE260">
        <v>155.6</v>
      </c>
      <c r="AF260">
        <v>148.4</v>
      </c>
      <c r="AG260" s="1">
        <f t="shared" si="38"/>
        <v>150.73095238095237</v>
      </c>
      <c r="AH260" s="1">
        <f t="shared" si="40"/>
        <v>758.33163265306121</v>
      </c>
      <c r="AI260">
        <f t="shared" si="41"/>
        <v>29.117452549003236</v>
      </c>
      <c r="AJ260">
        <f t="shared" si="42"/>
        <v>29.097234269852724</v>
      </c>
      <c r="AK260">
        <f t="shared" si="43"/>
        <v>29.835918881655239</v>
      </c>
      <c r="AL260">
        <f t="shared" si="44"/>
        <v>28.455336516951402</v>
      </c>
      <c r="AM260">
        <f t="shared" si="45"/>
        <v>28.902290926688522</v>
      </c>
    </row>
    <row r="261" spans="1:39" x14ac:dyDescent="0.3">
      <c r="A261" t="s">
        <v>33</v>
      </c>
      <c r="B261">
        <v>2020</v>
      </c>
      <c r="C261" t="s">
        <v>37</v>
      </c>
      <c r="D261">
        <v>151.80000000000001</v>
      </c>
      <c r="E261">
        <v>179.85714285714286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160.14285714285714</v>
      </c>
      <c r="P261">
        <v>153.5</v>
      </c>
      <c r="Q261">
        <v>178.15714285714287</v>
      </c>
      <c r="R261">
        <v>148.14285714285714</v>
      </c>
      <c r="S261">
        <v>134.52857142857144</v>
      </c>
      <c r="T261">
        <v>146.07142857142858</v>
      </c>
      <c r="U261">
        <v>140.91428571428568</v>
      </c>
      <c r="V261">
        <v>144.80000000000001</v>
      </c>
      <c r="W261">
        <v>127.65714285714286</v>
      </c>
      <c r="X261">
        <v>139.97142857142856</v>
      </c>
      <c r="Y261">
        <v>152.74285714285716</v>
      </c>
      <c r="Z261">
        <v>147.24285714285716</v>
      </c>
      <c r="AA261">
        <v>140.28571428571428</v>
      </c>
      <c r="AB261">
        <v>149.42857142857142</v>
      </c>
      <c r="AC261" s="10">
        <f t="shared" si="37"/>
        <v>153.91836734693879</v>
      </c>
      <c r="AD261">
        <f t="shared" si="39"/>
        <v>142.91428571428571</v>
      </c>
      <c r="AE261">
        <v>155.6</v>
      </c>
      <c r="AF261">
        <v>137.1</v>
      </c>
      <c r="AG261" s="1">
        <f t="shared" si="38"/>
        <v>142.22142857142856</v>
      </c>
      <c r="AH261" s="1">
        <f t="shared" si="40"/>
        <v>731.75408163265308</v>
      </c>
      <c r="AI261">
        <f t="shared" si="41"/>
        <v>29.513469939332126</v>
      </c>
      <c r="AJ261">
        <f t="shared" si="42"/>
        <v>27.403464239081803</v>
      </c>
      <c r="AK261">
        <f t="shared" si="43"/>
        <v>29.835918881655239</v>
      </c>
      <c r="AL261">
        <f t="shared" si="44"/>
        <v>26.288589194568978</v>
      </c>
      <c r="AM261">
        <f t="shared" si="45"/>
        <v>27.270610578986293</v>
      </c>
    </row>
    <row r="262" spans="1:39" x14ac:dyDescent="0.3">
      <c r="A262" t="s">
        <v>34</v>
      </c>
      <c r="B262">
        <v>2020</v>
      </c>
      <c r="C262" t="s">
        <v>37</v>
      </c>
      <c r="D262">
        <v>148.69999999999999</v>
      </c>
      <c r="E262">
        <v>177.6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160.17142857142858</v>
      </c>
      <c r="P262">
        <v>151.4</v>
      </c>
      <c r="Q262">
        <v>175.51428571428571</v>
      </c>
      <c r="R262">
        <v>151.55714285714285</v>
      </c>
      <c r="S262">
        <v>142.65714285714284</v>
      </c>
      <c r="T262">
        <v>150.28571428571428</v>
      </c>
      <c r="U262">
        <v>146.57142857142858</v>
      </c>
      <c r="V262">
        <v>150.69999999999999</v>
      </c>
      <c r="W262">
        <v>132.77142857142857</v>
      </c>
      <c r="X262">
        <v>144.94285714285712</v>
      </c>
      <c r="Y262">
        <v>156.48571428571427</v>
      </c>
      <c r="Z262">
        <v>146.97142857142856</v>
      </c>
      <c r="AA262">
        <v>145.18571428571428</v>
      </c>
      <c r="AB262">
        <v>150.82857142857145</v>
      </c>
      <c r="AC262" s="10">
        <f t="shared" si="37"/>
        <v>152.57040816326528</v>
      </c>
      <c r="AD262">
        <f t="shared" si="39"/>
        <v>148.16666666666666</v>
      </c>
      <c r="AE262">
        <v>155.6</v>
      </c>
      <c r="AF262">
        <v>144.1</v>
      </c>
      <c r="AG262" s="1">
        <f t="shared" si="38"/>
        <v>146.40714285714284</v>
      </c>
      <c r="AH262" s="1">
        <f t="shared" si="40"/>
        <v>746.84421768707477</v>
      </c>
      <c r="AI262">
        <f t="shared" si="41"/>
        <v>29.255002067482096</v>
      </c>
      <c r="AJ262">
        <f t="shared" si="42"/>
        <v>28.410595421798956</v>
      </c>
      <c r="AK262">
        <f t="shared" si="43"/>
        <v>29.835918881655239</v>
      </c>
      <c r="AL262">
        <f t="shared" si="44"/>
        <v>27.630822049142161</v>
      </c>
      <c r="AM262">
        <f t="shared" si="45"/>
        <v>28.073211041006584</v>
      </c>
    </row>
    <row r="263" spans="1:39" x14ac:dyDescent="0.3">
      <c r="A263" t="s">
        <v>30</v>
      </c>
      <c r="B263">
        <v>2020</v>
      </c>
      <c r="C263" t="s">
        <v>38</v>
      </c>
      <c r="D263">
        <v>146.63333333333335</v>
      </c>
      <c r="E263">
        <v>179.74761904761905</v>
      </c>
      <c r="F263">
        <v>148.76666666666699</v>
      </c>
      <c r="G263">
        <v>153.01666666666665</v>
      </c>
      <c r="H263">
        <v>136.71666666666667</v>
      </c>
      <c r="I263">
        <v>143.85</v>
      </c>
      <c r="J263">
        <v>158.15</v>
      </c>
      <c r="K263">
        <v>147.38333333333335</v>
      </c>
      <c r="L263">
        <v>114.35000000000001</v>
      </c>
      <c r="M263">
        <v>157.51666666666665</v>
      </c>
      <c r="N263">
        <v>141.18333333333334</v>
      </c>
      <c r="O263">
        <v>160.74761904761905</v>
      </c>
      <c r="P263">
        <v>151.33333333333334</v>
      </c>
      <c r="Q263">
        <v>176.6952380952381</v>
      </c>
      <c r="R263">
        <v>154.10952380952384</v>
      </c>
      <c r="S263">
        <v>148.80714285714285</v>
      </c>
      <c r="T263">
        <v>153.39047619047619</v>
      </c>
      <c r="U263">
        <v>151.70714285714286</v>
      </c>
      <c r="V263">
        <v>157.06666666666663</v>
      </c>
      <c r="W263">
        <v>139.45000000000002</v>
      </c>
      <c r="X263">
        <v>151.93333333333337</v>
      </c>
      <c r="Y263">
        <v>161.85714285714286</v>
      </c>
      <c r="Z263">
        <v>148.55000000000001</v>
      </c>
      <c r="AA263">
        <v>150.53333333333333</v>
      </c>
      <c r="AB263">
        <v>152.06190476190477</v>
      </c>
      <c r="AC263" s="10">
        <f t="shared" si="37"/>
        <v>151.1493197278912</v>
      </c>
      <c r="AD263">
        <f t="shared" si="39"/>
        <v>152.10238095238097</v>
      </c>
      <c r="AE263">
        <v>154.96666666666667</v>
      </c>
      <c r="AF263">
        <v>148.28333333333333</v>
      </c>
      <c r="AG263" s="1">
        <f t="shared" si="38"/>
        <v>151.76071428571433</v>
      </c>
      <c r="AH263" s="1">
        <f t="shared" si="40"/>
        <v>758.26241496598652</v>
      </c>
      <c r="AI263">
        <f t="shared" si="41"/>
        <v>28.982511840737363</v>
      </c>
      <c r="AJ263">
        <f t="shared" si="42"/>
        <v>29.165258996155924</v>
      </c>
      <c r="AK263">
        <f t="shared" si="43"/>
        <v>29.714478766241477</v>
      </c>
      <c r="AL263">
        <f t="shared" si="44"/>
        <v>28.432965969375179</v>
      </c>
      <c r="AM263">
        <f t="shared" si="45"/>
        <v>29.099745249682712</v>
      </c>
    </row>
    <row r="264" spans="1:39" x14ac:dyDescent="0.3">
      <c r="A264" t="s">
        <v>33</v>
      </c>
      <c r="B264">
        <v>2020</v>
      </c>
      <c r="C264" t="s">
        <v>38</v>
      </c>
      <c r="D264">
        <v>150.25000000000003</v>
      </c>
      <c r="E264">
        <v>184.45952380952383</v>
      </c>
      <c r="F264">
        <v>152.93333333333334</v>
      </c>
      <c r="G264">
        <v>152.91666666666666</v>
      </c>
      <c r="H264">
        <v>130.94999999999999</v>
      </c>
      <c r="I264">
        <v>149.56666666666669</v>
      </c>
      <c r="J264">
        <v>177.16666666666671</v>
      </c>
      <c r="K264">
        <v>147.56666666666669</v>
      </c>
      <c r="L264">
        <v>116.60000000000001</v>
      </c>
      <c r="M264">
        <v>155.58333333333334</v>
      </c>
      <c r="N264">
        <v>134.1</v>
      </c>
      <c r="O264">
        <v>160.8238095238095</v>
      </c>
      <c r="P264">
        <v>154.86666666666665</v>
      </c>
      <c r="Q264">
        <v>180.6761904761905</v>
      </c>
      <c r="R264">
        <v>148.55714285714285</v>
      </c>
      <c r="S264">
        <v>135.03809523809525</v>
      </c>
      <c r="T264">
        <v>146.51190476190473</v>
      </c>
      <c r="U264">
        <v>141.23571428571427</v>
      </c>
      <c r="V264">
        <v>146.51666666666668</v>
      </c>
      <c r="W264">
        <v>128.32619047619048</v>
      </c>
      <c r="X264">
        <v>140.96190476190475</v>
      </c>
      <c r="Y264">
        <v>152.99047619047619</v>
      </c>
      <c r="Z264">
        <v>149.27380952380955</v>
      </c>
      <c r="AA264">
        <v>141.03095238095239</v>
      </c>
      <c r="AB264">
        <v>149.82142857142858</v>
      </c>
      <c r="AC264" s="10">
        <f t="shared" si="37"/>
        <v>153.4613945578231</v>
      </c>
      <c r="AD264">
        <f t="shared" si="39"/>
        <v>143.36904761904759</v>
      </c>
      <c r="AE264">
        <v>154.96666666666667</v>
      </c>
      <c r="AF264">
        <v>138.31666666666669</v>
      </c>
      <c r="AG264" s="1">
        <f t="shared" si="38"/>
        <v>143.21746031746031</v>
      </c>
      <c r="AH264" s="1">
        <f t="shared" si="40"/>
        <v>733.33123582766439</v>
      </c>
      <c r="AI264">
        <f t="shared" si="41"/>
        <v>29.425846526303978</v>
      </c>
      <c r="AJ264">
        <f t="shared" si="42"/>
        <v>27.490663720450332</v>
      </c>
      <c r="AK264">
        <f t="shared" si="43"/>
        <v>29.714478766241477</v>
      </c>
      <c r="AL264">
        <f t="shared" si="44"/>
        <v>26.521882047863848</v>
      </c>
      <c r="AM264">
        <f t="shared" si="45"/>
        <v>27.461597226660821</v>
      </c>
    </row>
    <row r="265" spans="1:39" x14ac:dyDescent="0.3">
      <c r="A265" t="s">
        <v>34</v>
      </c>
      <c r="B265">
        <v>2020</v>
      </c>
      <c r="C265" t="s">
        <v>38</v>
      </c>
      <c r="D265">
        <v>147.78333333333333</v>
      </c>
      <c r="E265">
        <v>181.4</v>
      </c>
      <c r="F265">
        <v>150.38333333333333</v>
      </c>
      <c r="G265">
        <v>152.96666666666667</v>
      </c>
      <c r="H265">
        <v>134.61666666666665</v>
      </c>
      <c r="I265">
        <v>146.49999999999997</v>
      </c>
      <c r="J265">
        <v>164.61666666666665</v>
      </c>
      <c r="K265">
        <v>147.46666666666667</v>
      </c>
      <c r="L265">
        <v>115.10000000000001</v>
      </c>
      <c r="M265">
        <v>156.88333333333333</v>
      </c>
      <c r="N265">
        <v>138.23333333333332</v>
      </c>
      <c r="O265">
        <v>160.79523809523809</v>
      </c>
      <c r="P265">
        <v>152.63333333333333</v>
      </c>
      <c r="Q265">
        <v>177.73571428571427</v>
      </c>
      <c r="R265">
        <v>151.94285714285715</v>
      </c>
      <c r="S265">
        <v>143.07619047619048</v>
      </c>
      <c r="T265">
        <v>150.68095238095236</v>
      </c>
      <c r="U265">
        <v>146.76190476190476</v>
      </c>
      <c r="V265">
        <v>153.08333333333334</v>
      </c>
      <c r="W265">
        <v>133.57857142857142</v>
      </c>
      <c r="X265">
        <v>145.74047619047619</v>
      </c>
      <c r="Y265">
        <v>156.68095238095239</v>
      </c>
      <c r="Z265">
        <v>148.8452380952381</v>
      </c>
      <c r="AA265">
        <v>145.93095238095239</v>
      </c>
      <c r="AB265">
        <v>151.00476190476189</v>
      </c>
      <c r="AC265" s="10">
        <f t="shared" si="37"/>
        <v>151.93673469387755</v>
      </c>
      <c r="AD265">
        <f t="shared" si="39"/>
        <v>148.56666666666666</v>
      </c>
      <c r="AE265">
        <v>154.96666666666667</v>
      </c>
      <c r="AF265">
        <v>144.5</v>
      </c>
      <c r="AG265" s="1">
        <f t="shared" si="38"/>
        <v>147.44841269841268</v>
      </c>
      <c r="AH265" s="1">
        <f t="shared" si="40"/>
        <v>747.41848072562357</v>
      </c>
      <c r="AI265">
        <f t="shared" si="41"/>
        <v>29.133496731813008</v>
      </c>
      <c r="AJ265">
        <f t="shared" si="42"/>
        <v>28.487294442060286</v>
      </c>
      <c r="AK265">
        <f t="shared" si="43"/>
        <v>29.714478766241477</v>
      </c>
      <c r="AL265">
        <f t="shared" si="44"/>
        <v>27.707521069403484</v>
      </c>
      <c r="AM265">
        <f t="shared" si="45"/>
        <v>28.272871982639238</v>
      </c>
    </row>
    <row r="266" spans="1:39" x14ac:dyDescent="0.3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>
        <v>151.69999999999999</v>
      </c>
      <c r="V266">
        <v>158.19999999999999</v>
      </c>
      <c r="W266">
        <v>141.4</v>
      </c>
      <c r="X266">
        <v>153.19999999999999</v>
      </c>
      <c r="Y266">
        <v>161.80000000000001</v>
      </c>
      <c r="Z266">
        <v>151.19999999999999</v>
      </c>
      <c r="AA266">
        <v>151.69999999999999</v>
      </c>
      <c r="AB266">
        <v>152.69999999999999</v>
      </c>
      <c r="AC266" s="10">
        <f t="shared" si="37"/>
        <v>152.3857142857143</v>
      </c>
      <c r="AD266">
        <f t="shared" si="39"/>
        <v>152.93333333333331</v>
      </c>
      <c r="AE266">
        <v>154.69999999999999</v>
      </c>
      <c r="AF266">
        <v>144.9</v>
      </c>
      <c r="AG266" s="1">
        <f t="shared" si="38"/>
        <v>152.91666666666666</v>
      </c>
      <c r="AH266" s="1">
        <f t="shared" si="40"/>
        <v>757.83571428571429</v>
      </c>
      <c r="AI266">
        <f t="shared" si="41"/>
        <v>29.219587468841031</v>
      </c>
      <c r="AJ266">
        <f t="shared" si="42"/>
        <v>29.324592079913071</v>
      </c>
      <c r="AK266">
        <f t="shared" si="43"/>
        <v>29.663346086067261</v>
      </c>
      <c r="AL266">
        <f t="shared" si="44"/>
        <v>27.784220089664814</v>
      </c>
      <c r="AM266">
        <f t="shared" si="45"/>
        <v>29.321396287402184</v>
      </c>
    </row>
    <row r="267" spans="1:39" x14ac:dyDescent="0.3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140.4</v>
      </c>
      <c r="V267">
        <v>148.1</v>
      </c>
      <c r="W267">
        <v>129.30000000000001</v>
      </c>
      <c r="X267">
        <v>144.5</v>
      </c>
      <c r="Y267">
        <v>152.5</v>
      </c>
      <c r="Z267">
        <v>152.19999999999999</v>
      </c>
      <c r="AA267">
        <v>142</v>
      </c>
      <c r="AB267">
        <v>150.80000000000001</v>
      </c>
      <c r="AC267" s="10">
        <f t="shared" si="37"/>
        <v>155.83571428571426</v>
      </c>
      <c r="AD267">
        <f t="shared" si="39"/>
        <v>144.29999999999998</v>
      </c>
      <c r="AE267">
        <v>154.69999999999999</v>
      </c>
      <c r="AF267">
        <v>137.1</v>
      </c>
      <c r="AG267" s="1">
        <f t="shared" si="38"/>
        <v>144.5</v>
      </c>
      <c r="AH267" s="1">
        <f t="shared" si="40"/>
        <v>736.4357142857142</v>
      </c>
      <c r="AI267">
        <f t="shared" si="41"/>
        <v>29.881116518594947</v>
      </c>
      <c r="AJ267">
        <f t="shared" si="42"/>
        <v>27.669171559272819</v>
      </c>
      <c r="AK267">
        <f t="shared" si="43"/>
        <v>29.663346086067261</v>
      </c>
      <c r="AL267">
        <f t="shared" si="44"/>
        <v>26.288589194568978</v>
      </c>
      <c r="AM267">
        <f t="shared" si="45"/>
        <v>27.707521069403484</v>
      </c>
    </row>
    <row r="268" spans="1:39" x14ac:dyDescent="0.3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146.4</v>
      </c>
      <c r="V268">
        <v>154.4</v>
      </c>
      <c r="W268">
        <v>135</v>
      </c>
      <c r="X268">
        <v>148.30000000000001</v>
      </c>
      <c r="Y268">
        <v>156.4</v>
      </c>
      <c r="Z268">
        <v>151.6</v>
      </c>
      <c r="AA268">
        <v>147</v>
      </c>
      <c r="AB268">
        <v>151.80000000000001</v>
      </c>
      <c r="AC268" s="10">
        <f t="shared" si="37"/>
        <v>153.59285714285716</v>
      </c>
      <c r="AD268">
        <f t="shared" si="39"/>
        <v>149.43333333333331</v>
      </c>
      <c r="AE268">
        <v>154.69999999999999</v>
      </c>
      <c r="AF268">
        <v>141.9</v>
      </c>
      <c r="AG268" s="1">
        <f t="shared" si="38"/>
        <v>148.68333333333334</v>
      </c>
      <c r="AH268" s="1">
        <f t="shared" si="40"/>
        <v>748.30952380952385</v>
      </c>
      <c r="AI268">
        <f t="shared" si="41"/>
        <v>29.45105415498681</v>
      </c>
      <c r="AJ268">
        <f t="shared" si="42"/>
        <v>28.653475652626483</v>
      </c>
      <c r="AK268">
        <f t="shared" si="43"/>
        <v>29.663346086067261</v>
      </c>
      <c r="AL268">
        <f t="shared" si="44"/>
        <v>27.208977437704878</v>
      </c>
      <c r="AM268">
        <f t="shared" si="45"/>
        <v>28.509664989636509</v>
      </c>
    </row>
    <row r="269" spans="1:39" x14ac:dyDescent="0.3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>
        <v>151.69999999999999</v>
      </c>
      <c r="V269">
        <v>158.19999999999999</v>
      </c>
      <c r="W269">
        <v>141.4</v>
      </c>
      <c r="X269">
        <v>153.19999999999999</v>
      </c>
      <c r="Y269">
        <v>161.80000000000001</v>
      </c>
      <c r="Z269">
        <v>151.19999999999999</v>
      </c>
      <c r="AA269">
        <v>151.69999999999999</v>
      </c>
      <c r="AB269">
        <v>152.69999999999999</v>
      </c>
      <c r="AC269" s="10">
        <f t="shared" si="37"/>
        <v>152.3857142857143</v>
      </c>
      <c r="AD269">
        <f t="shared" si="39"/>
        <v>152.93333333333331</v>
      </c>
      <c r="AE269">
        <v>154.69999999999999</v>
      </c>
      <c r="AF269">
        <v>144.9</v>
      </c>
      <c r="AG269" s="1">
        <f t="shared" si="38"/>
        <v>152.91666666666666</v>
      </c>
      <c r="AH269" s="1">
        <f t="shared" si="40"/>
        <v>757.83571428571429</v>
      </c>
      <c r="AI269">
        <f t="shared" si="41"/>
        <v>29.219587468841031</v>
      </c>
      <c r="AJ269">
        <f t="shared" si="42"/>
        <v>29.324592079913071</v>
      </c>
      <c r="AK269">
        <f t="shared" si="43"/>
        <v>29.663346086067261</v>
      </c>
      <c r="AL269">
        <f t="shared" si="44"/>
        <v>27.784220089664814</v>
      </c>
      <c r="AM269">
        <f t="shared" si="45"/>
        <v>29.321396287402184</v>
      </c>
    </row>
    <row r="270" spans="1:39" x14ac:dyDescent="0.3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140.4</v>
      </c>
      <c r="V270">
        <v>148.1</v>
      </c>
      <c r="W270">
        <v>129.30000000000001</v>
      </c>
      <c r="X270">
        <v>144.5</v>
      </c>
      <c r="Y270">
        <v>152.5</v>
      </c>
      <c r="Z270">
        <v>152.19999999999999</v>
      </c>
      <c r="AA270">
        <v>142</v>
      </c>
      <c r="AB270">
        <v>150.80000000000001</v>
      </c>
      <c r="AC270" s="10">
        <f t="shared" si="37"/>
        <v>155.83571428571426</v>
      </c>
      <c r="AD270">
        <f t="shared" si="39"/>
        <v>144.29999999999998</v>
      </c>
      <c r="AE270">
        <v>154.69999999999999</v>
      </c>
      <c r="AF270">
        <v>137.1</v>
      </c>
      <c r="AG270" s="1">
        <f t="shared" si="38"/>
        <v>144.5</v>
      </c>
      <c r="AH270" s="1">
        <f t="shared" si="40"/>
        <v>736.4357142857142</v>
      </c>
      <c r="AI270">
        <f t="shared" si="41"/>
        <v>29.881116518594947</v>
      </c>
      <c r="AJ270">
        <f t="shared" si="42"/>
        <v>27.669171559272819</v>
      </c>
      <c r="AK270">
        <f t="shared" si="43"/>
        <v>29.663346086067261</v>
      </c>
      <c r="AL270">
        <f t="shared" si="44"/>
        <v>26.288589194568978</v>
      </c>
      <c r="AM270">
        <f t="shared" si="45"/>
        <v>27.707521069403484</v>
      </c>
    </row>
    <row r="271" spans="1:39" x14ac:dyDescent="0.3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146.4</v>
      </c>
      <c r="V271">
        <v>154.4</v>
      </c>
      <c r="W271">
        <v>135</v>
      </c>
      <c r="X271">
        <v>148.30000000000001</v>
      </c>
      <c r="Y271">
        <v>156.4</v>
      </c>
      <c r="Z271">
        <v>151.6</v>
      </c>
      <c r="AA271">
        <v>147</v>
      </c>
      <c r="AB271">
        <v>151.80000000000001</v>
      </c>
      <c r="AC271" s="10">
        <f t="shared" si="37"/>
        <v>153.59285714285716</v>
      </c>
      <c r="AD271">
        <f t="shared" si="39"/>
        <v>149.43333333333331</v>
      </c>
      <c r="AE271">
        <v>154.69999999999999</v>
      </c>
      <c r="AF271">
        <v>141.9</v>
      </c>
      <c r="AG271" s="1">
        <f t="shared" si="38"/>
        <v>148.68333333333334</v>
      </c>
      <c r="AH271" s="1">
        <f t="shared" si="40"/>
        <v>748.30952380952385</v>
      </c>
      <c r="AI271">
        <f t="shared" si="41"/>
        <v>29.45105415498681</v>
      </c>
      <c r="AJ271">
        <f t="shared" si="42"/>
        <v>28.653475652626483</v>
      </c>
      <c r="AK271">
        <f t="shared" si="43"/>
        <v>29.663346086067261</v>
      </c>
      <c r="AL271">
        <f t="shared" si="44"/>
        <v>27.208977437704878</v>
      </c>
      <c r="AM271">
        <f t="shared" si="45"/>
        <v>28.509664989636509</v>
      </c>
    </row>
    <row r="272" spans="1:39" x14ac:dyDescent="0.3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>
        <v>151.9</v>
      </c>
      <c r="V272">
        <v>158.80000000000001</v>
      </c>
      <c r="W272">
        <v>143.6</v>
      </c>
      <c r="X272">
        <v>152.19999999999999</v>
      </c>
      <c r="Y272">
        <v>162.69999999999999</v>
      </c>
      <c r="Z272">
        <v>153.6</v>
      </c>
      <c r="AA272">
        <v>153</v>
      </c>
      <c r="AB272">
        <v>154.69999999999999</v>
      </c>
      <c r="AC272" s="10">
        <f t="shared" si="37"/>
        <v>154.25</v>
      </c>
      <c r="AD272">
        <f t="shared" si="39"/>
        <v>152.9</v>
      </c>
      <c r="AE272">
        <v>155.5</v>
      </c>
      <c r="AF272">
        <v>145.80000000000001</v>
      </c>
      <c r="AG272" s="1">
        <f t="shared" si="38"/>
        <v>153.80000000000001</v>
      </c>
      <c r="AH272" s="1">
        <f t="shared" si="40"/>
        <v>762.25</v>
      </c>
      <c r="AI272">
        <f t="shared" si="41"/>
        <v>29.577059688273273</v>
      </c>
      <c r="AJ272">
        <f t="shared" si="42"/>
        <v>29.3182004948913</v>
      </c>
      <c r="AK272">
        <f t="shared" si="43"/>
        <v>29.81674412658991</v>
      </c>
      <c r="AL272">
        <f t="shared" si="44"/>
        <v>27.956792885252788</v>
      </c>
      <c r="AM272">
        <f t="shared" si="45"/>
        <v>29.490773290479282</v>
      </c>
    </row>
    <row r="273" spans="1:39" x14ac:dyDescent="0.3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144.5</v>
      </c>
      <c r="V273">
        <v>148.69999999999999</v>
      </c>
      <c r="W273">
        <v>133.9</v>
      </c>
      <c r="X273">
        <v>141.19999999999999</v>
      </c>
      <c r="Y273">
        <v>155.5</v>
      </c>
      <c r="Z273">
        <v>155.19999999999999</v>
      </c>
      <c r="AA273">
        <v>144.80000000000001</v>
      </c>
      <c r="AB273">
        <v>152.9</v>
      </c>
      <c r="AC273" s="10">
        <f t="shared" si="37"/>
        <v>158.00714285714284</v>
      </c>
      <c r="AD273">
        <f t="shared" si="39"/>
        <v>144.33333333333334</v>
      </c>
      <c r="AE273">
        <v>155.5</v>
      </c>
      <c r="AF273">
        <v>138.30000000000001</v>
      </c>
      <c r="AG273" s="1">
        <f t="shared" si="38"/>
        <v>146.5</v>
      </c>
      <c r="AH273" s="1">
        <f t="shared" si="40"/>
        <v>742.64047619047619</v>
      </c>
      <c r="AI273">
        <f t="shared" si="41"/>
        <v>30.297482628584994</v>
      </c>
      <c r="AJ273">
        <f t="shared" si="42"/>
        <v>27.6755631442946</v>
      </c>
      <c r="AK273">
        <f t="shared" si="43"/>
        <v>29.81674412658991</v>
      </c>
      <c r="AL273">
        <f t="shared" si="44"/>
        <v>26.518686255352957</v>
      </c>
      <c r="AM273">
        <f t="shared" si="45"/>
        <v>28.091016170710109</v>
      </c>
    </row>
    <row r="274" spans="1:39" x14ac:dyDescent="0.3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148.4</v>
      </c>
      <c r="V274">
        <v>155</v>
      </c>
      <c r="W274">
        <v>138.5</v>
      </c>
      <c r="X274">
        <v>146</v>
      </c>
      <c r="Y274">
        <v>158.5</v>
      </c>
      <c r="Z274">
        <v>154.30000000000001</v>
      </c>
      <c r="AA274">
        <v>149</v>
      </c>
      <c r="AB274">
        <v>153.9</v>
      </c>
      <c r="AC274" s="10">
        <f t="shared" si="37"/>
        <v>155.55714285714285</v>
      </c>
      <c r="AD274">
        <f t="shared" si="39"/>
        <v>149.4</v>
      </c>
      <c r="AE274">
        <v>155.5</v>
      </c>
      <c r="AF274">
        <v>143</v>
      </c>
      <c r="AG274" s="1">
        <f t="shared" si="38"/>
        <v>150.11666666666667</v>
      </c>
      <c r="AH274" s="1">
        <f t="shared" si="40"/>
        <v>753.57380952380947</v>
      </c>
      <c r="AI274">
        <f t="shared" si="41"/>
        <v>29.827701129484385</v>
      </c>
      <c r="AJ274">
        <f t="shared" si="42"/>
        <v>28.647084067604712</v>
      </c>
      <c r="AK274">
        <f t="shared" si="43"/>
        <v>29.81674412658991</v>
      </c>
      <c r="AL274">
        <f t="shared" si="44"/>
        <v>27.419899743423521</v>
      </c>
      <c r="AM274">
        <f t="shared" si="45"/>
        <v>28.78450314557292</v>
      </c>
    </row>
    <row r="275" spans="1:39" x14ac:dyDescent="0.3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>
        <v>151.6</v>
      </c>
      <c r="V275">
        <v>159.1</v>
      </c>
      <c r="W275">
        <v>144.6</v>
      </c>
      <c r="X275">
        <v>152.80000000000001</v>
      </c>
      <c r="Y275">
        <v>161.1</v>
      </c>
      <c r="Z275">
        <v>157.4</v>
      </c>
      <c r="AA275">
        <v>153.69999999999999</v>
      </c>
      <c r="AB275">
        <v>155.4</v>
      </c>
      <c r="AC275" s="10">
        <f t="shared" si="37"/>
        <v>155.02142857142854</v>
      </c>
      <c r="AD275">
        <f t="shared" si="39"/>
        <v>153.29999999999998</v>
      </c>
      <c r="AE275">
        <v>156.30000000000001</v>
      </c>
      <c r="AF275">
        <v>146.4</v>
      </c>
      <c r="AG275" s="1">
        <f t="shared" si="38"/>
        <v>154.43333333333331</v>
      </c>
      <c r="AH275" s="1">
        <f t="shared" si="40"/>
        <v>765.45476190476188</v>
      </c>
      <c r="AI275">
        <f t="shared" si="41"/>
        <v>29.724979227348676</v>
      </c>
      <c r="AJ275">
        <f t="shared" si="42"/>
        <v>29.394899515152623</v>
      </c>
      <c r="AK275">
        <f t="shared" si="43"/>
        <v>29.970142167112563</v>
      </c>
      <c r="AL275">
        <f t="shared" si="44"/>
        <v>28.071841415644776</v>
      </c>
      <c r="AM275">
        <f t="shared" si="45"/>
        <v>29.612213405893041</v>
      </c>
    </row>
    <row r="276" spans="1:39" x14ac:dyDescent="0.3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145.4</v>
      </c>
      <c r="V276">
        <v>150</v>
      </c>
      <c r="W276">
        <v>135.1</v>
      </c>
      <c r="X276">
        <v>141.80000000000001</v>
      </c>
      <c r="Y276">
        <v>154.9</v>
      </c>
      <c r="Z276">
        <v>159.80000000000001</v>
      </c>
      <c r="AA276">
        <v>146</v>
      </c>
      <c r="AB276">
        <v>154</v>
      </c>
      <c r="AC276" s="10">
        <f t="shared" si="37"/>
        <v>159.30714285714288</v>
      </c>
      <c r="AD276">
        <f t="shared" si="39"/>
        <v>144.86666666666667</v>
      </c>
      <c r="AE276">
        <v>156.30000000000001</v>
      </c>
      <c r="AF276">
        <v>137.19999999999999</v>
      </c>
      <c r="AG276" s="1">
        <f>AVERAGE(U276:Z276)</f>
        <v>147.83333333333334</v>
      </c>
      <c r="AH276" s="1">
        <f t="shared" si="40"/>
        <v>745.50714285714287</v>
      </c>
      <c r="AI276">
        <f t="shared" si="41"/>
        <v>30.546754444434303</v>
      </c>
      <c r="AJ276">
        <f t="shared" si="42"/>
        <v>27.777828504643033</v>
      </c>
      <c r="AK276">
        <f t="shared" si="43"/>
        <v>29.970142167112563</v>
      </c>
      <c r="AL276">
        <f t="shared" si="44"/>
        <v>26.30776394963431</v>
      </c>
      <c r="AM276">
        <f t="shared" si="45"/>
        <v>28.346679571581191</v>
      </c>
    </row>
    <row r="277" spans="1:39" x14ac:dyDescent="0.3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148.69999999999999</v>
      </c>
      <c r="V277">
        <v>155.6</v>
      </c>
      <c r="W277">
        <v>139.6</v>
      </c>
      <c r="X277">
        <v>146.6</v>
      </c>
      <c r="Y277">
        <v>157.5</v>
      </c>
      <c r="Z277">
        <v>158.4</v>
      </c>
      <c r="AA277">
        <v>150</v>
      </c>
      <c r="AB277">
        <v>154.69999999999999</v>
      </c>
      <c r="AC277" s="10">
        <f t="shared" si="37"/>
        <v>156.52857142857144</v>
      </c>
      <c r="AD277">
        <f t="shared" si="39"/>
        <v>149.9</v>
      </c>
      <c r="AE277">
        <v>156.30000000000001</v>
      </c>
      <c r="AF277">
        <v>142.9</v>
      </c>
      <c r="AG277" s="1">
        <f t="shared" si="38"/>
        <v>151.06666666666666</v>
      </c>
      <c r="AH277" s="1">
        <f t="shared" si="40"/>
        <v>756.69523809523821</v>
      </c>
      <c r="AI277">
        <f t="shared" si="41"/>
        <v>30.013970178690457</v>
      </c>
      <c r="AJ277">
        <f t="shared" si="42"/>
        <v>28.742957842931364</v>
      </c>
      <c r="AK277">
        <f t="shared" si="43"/>
        <v>29.970142167112563</v>
      </c>
      <c r="AL277">
        <f t="shared" si="44"/>
        <v>27.400724988358188</v>
      </c>
      <c r="AM277">
        <f t="shared" si="45"/>
        <v>28.966663318693563</v>
      </c>
    </row>
    <row r="278" spans="1:39" x14ac:dyDescent="0.3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>
        <v>152</v>
      </c>
      <c r="V278">
        <v>159.5</v>
      </c>
      <c r="W278">
        <v>146.4</v>
      </c>
      <c r="X278">
        <v>152.4</v>
      </c>
      <c r="Y278">
        <v>162.5</v>
      </c>
      <c r="Z278">
        <v>156.19999999999999</v>
      </c>
      <c r="AA278">
        <v>154.30000000000001</v>
      </c>
      <c r="AB278">
        <v>157.5</v>
      </c>
      <c r="AC278" s="10">
        <f t="shared" si="37"/>
        <v>158.1142857142857</v>
      </c>
      <c r="AD278">
        <f t="shared" si="39"/>
        <v>153.76666666666665</v>
      </c>
      <c r="AE278">
        <v>156.5</v>
      </c>
      <c r="AF278">
        <v>146.80000000000001</v>
      </c>
      <c r="AG278" s="1">
        <f t="shared" si="38"/>
        <v>154.83333333333334</v>
      </c>
      <c r="AH278" s="1">
        <f t="shared" si="40"/>
        <v>770.01428571428573</v>
      </c>
      <c r="AI278">
        <f t="shared" si="41"/>
        <v>30.318027009012134</v>
      </c>
      <c r="AJ278">
        <f t="shared" si="42"/>
        <v>29.484381705457501</v>
      </c>
      <c r="AK278">
        <f t="shared" si="43"/>
        <v>30.008491677243221</v>
      </c>
      <c r="AL278">
        <f t="shared" si="44"/>
        <v>28.148540435906106</v>
      </c>
      <c r="AM278">
        <f t="shared" si="45"/>
        <v>29.688912426154367</v>
      </c>
    </row>
    <row r="279" spans="1:39" x14ac:dyDescent="0.3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145.1</v>
      </c>
      <c r="V279">
        <v>151</v>
      </c>
      <c r="W279">
        <v>135.4</v>
      </c>
      <c r="X279">
        <v>142</v>
      </c>
      <c r="Y279">
        <v>155.69999999999999</v>
      </c>
      <c r="Z279">
        <v>158.1</v>
      </c>
      <c r="AA279">
        <v>146.19999999999999</v>
      </c>
      <c r="AB279">
        <v>155.19999999999999</v>
      </c>
      <c r="AC279" s="10">
        <f t="shared" si="37"/>
        <v>162.06428571428569</v>
      </c>
      <c r="AD279">
        <f t="shared" si="39"/>
        <v>144.96666666666667</v>
      </c>
      <c r="AE279">
        <v>156.5</v>
      </c>
      <c r="AF279">
        <v>137.1</v>
      </c>
      <c r="AG279" s="1">
        <f t="shared" si="38"/>
        <v>147.88333333333335</v>
      </c>
      <c r="AH279" s="1">
        <f t="shared" si="40"/>
        <v>748.51428571428573</v>
      </c>
      <c r="AI279">
        <f t="shared" si="41"/>
        <v>31.075429834092709</v>
      </c>
      <c r="AJ279">
        <f t="shared" si="42"/>
        <v>27.797003259708365</v>
      </c>
      <c r="AK279">
        <f t="shared" si="43"/>
        <v>30.008491677243221</v>
      </c>
      <c r="AL279">
        <f t="shared" si="44"/>
        <v>26.288589194568978</v>
      </c>
      <c r="AM279">
        <f t="shared" si="45"/>
        <v>28.356266949113856</v>
      </c>
    </row>
    <row r="280" spans="1:39" x14ac:dyDescent="0.3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148.69999999999999</v>
      </c>
      <c r="V280">
        <v>156.30000000000001</v>
      </c>
      <c r="W280">
        <v>140.6</v>
      </c>
      <c r="X280">
        <v>146.5</v>
      </c>
      <c r="Y280">
        <v>158.5</v>
      </c>
      <c r="Z280">
        <v>157</v>
      </c>
      <c r="AA280">
        <v>150.4</v>
      </c>
      <c r="AB280">
        <v>156.4</v>
      </c>
      <c r="AC280" s="10">
        <f t="shared" si="37"/>
        <v>159.49285714285719</v>
      </c>
      <c r="AD280">
        <f t="shared" si="39"/>
        <v>150.19999999999999</v>
      </c>
      <c r="AE280">
        <v>156.5</v>
      </c>
      <c r="AF280">
        <v>143.1</v>
      </c>
      <c r="AG280" s="1">
        <f t="shared" si="38"/>
        <v>151.26666666666668</v>
      </c>
      <c r="AH280" s="1">
        <f t="shared" si="40"/>
        <v>760.55952380952385</v>
      </c>
      <c r="AI280">
        <f t="shared" si="41"/>
        <v>30.582364703841353</v>
      </c>
      <c r="AJ280">
        <f t="shared" si="42"/>
        <v>28.800482108127355</v>
      </c>
      <c r="AK280">
        <f t="shared" si="43"/>
        <v>30.008491677243221</v>
      </c>
      <c r="AL280">
        <f t="shared" si="44"/>
        <v>27.439074498488846</v>
      </c>
      <c r="AM280">
        <f t="shared" si="45"/>
        <v>29.005012828824228</v>
      </c>
    </row>
    <row r="281" spans="1:39" x14ac:dyDescent="0.3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>
        <v>152.80000000000001</v>
      </c>
      <c r="V281">
        <v>160.4</v>
      </c>
      <c r="W281">
        <v>146.1</v>
      </c>
      <c r="X281">
        <v>153.6</v>
      </c>
      <c r="Y281">
        <v>161.6</v>
      </c>
      <c r="Z281">
        <v>156.19999999999999</v>
      </c>
      <c r="AA281">
        <v>154.5</v>
      </c>
      <c r="AB281">
        <v>159.80000000000001</v>
      </c>
      <c r="AC281" s="10">
        <f t="shared" si="37"/>
        <v>161.84285714285716</v>
      </c>
      <c r="AD281">
        <f t="shared" si="39"/>
        <v>154.26666666666668</v>
      </c>
      <c r="AE281">
        <v>158</v>
      </c>
      <c r="AF281">
        <v>147.5</v>
      </c>
      <c r="AG281" s="1">
        <f t="shared" si="38"/>
        <v>155.11666666666667</v>
      </c>
      <c r="AH281" s="1">
        <f t="shared" si="40"/>
        <v>776.72619047619048</v>
      </c>
      <c r="AI281">
        <f t="shared" si="41"/>
        <v>31.03297144787663</v>
      </c>
      <c r="AJ281">
        <f t="shared" si="42"/>
        <v>29.580255480784164</v>
      </c>
      <c r="AK281">
        <f t="shared" si="43"/>
        <v>30.296113003223191</v>
      </c>
      <c r="AL281">
        <f t="shared" si="44"/>
        <v>28.28276372136342</v>
      </c>
      <c r="AM281">
        <f t="shared" si="45"/>
        <v>29.743240898839474</v>
      </c>
    </row>
    <row r="282" spans="1:39" x14ac:dyDescent="0.3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145.1</v>
      </c>
      <c r="V282">
        <v>152</v>
      </c>
      <c r="W282">
        <v>135.19999999999999</v>
      </c>
      <c r="X282">
        <v>144.4</v>
      </c>
      <c r="Y282">
        <v>156.4</v>
      </c>
      <c r="Z282">
        <v>157.9</v>
      </c>
      <c r="AA282">
        <v>146.6</v>
      </c>
      <c r="AB282">
        <v>156.69999999999999</v>
      </c>
      <c r="AC282" s="10">
        <f t="shared" si="37"/>
        <v>164.96428571428572</v>
      </c>
      <c r="AD282">
        <f t="shared" si="39"/>
        <v>145.43333333333334</v>
      </c>
      <c r="AE282">
        <v>158</v>
      </c>
      <c r="AF282">
        <v>137.30000000000001</v>
      </c>
      <c r="AG282" s="1">
        <f t="shared" si="38"/>
        <v>148.5</v>
      </c>
      <c r="AH282" s="1">
        <f t="shared" si="40"/>
        <v>754.19761904761913</v>
      </c>
      <c r="AI282">
        <f t="shared" si="41"/>
        <v>31.631497730987324</v>
      </c>
      <c r="AJ282">
        <f t="shared" si="42"/>
        <v>27.886485450013243</v>
      </c>
      <c r="AK282">
        <f t="shared" si="43"/>
        <v>30.296113003223191</v>
      </c>
      <c r="AL282">
        <f t="shared" si="44"/>
        <v>26.32693870469965</v>
      </c>
      <c r="AM282">
        <f t="shared" si="45"/>
        <v>28.474511272016727</v>
      </c>
    </row>
    <row r="283" spans="1:39" x14ac:dyDescent="0.3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149.19999999999999</v>
      </c>
      <c r="V283">
        <v>157.19999999999999</v>
      </c>
      <c r="W283">
        <v>140.4</v>
      </c>
      <c r="X283">
        <v>148.4</v>
      </c>
      <c r="Y283">
        <v>158.6</v>
      </c>
      <c r="Z283">
        <v>156.9</v>
      </c>
      <c r="AA283">
        <v>150.69999999999999</v>
      </c>
      <c r="AB283">
        <v>158.4</v>
      </c>
      <c r="AC283" s="10">
        <f t="shared" si="37"/>
        <v>162.8857142857143</v>
      </c>
      <c r="AD283">
        <f t="shared" si="39"/>
        <v>150.66666666666669</v>
      </c>
      <c r="AE283">
        <v>158</v>
      </c>
      <c r="AF283">
        <v>143.6</v>
      </c>
      <c r="AG283" s="1">
        <f t="shared" si="38"/>
        <v>151.78333333333333</v>
      </c>
      <c r="AH283" s="1">
        <f t="shared" si="40"/>
        <v>766.93571428571431</v>
      </c>
      <c r="AI283">
        <f t="shared" si="41"/>
        <v>31.232936750700794</v>
      </c>
      <c r="AJ283">
        <f t="shared" si="42"/>
        <v>28.88996429843224</v>
      </c>
      <c r="AK283">
        <f t="shared" si="43"/>
        <v>30.296113003223191</v>
      </c>
      <c r="AL283">
        <f t="shared" si="44"/>
        <v>27.534948273815502</v>
      </c>
      <c r="AM283">
        <f t="shared" si="45"/>
        <v>29.104082396661767</v>
      </c>
    </row>
    <row r="284" spans="1:39" x14ac:dyDescent="0.3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>
        <v>153.4</v>
      </c>
      <c r="V284">
        <v>161.6</v>
      </c>
      <c r="W284">
        <v>146.4</v>
      </c>
      <c r="X284">
        <v>153.9</v>
      </c>
      <c r="Y284">
        <v>162.9</v>
      </c>
      <c r="Z284">
        <v>156.6</v>
      </c>
      <c r="AA284">
        <v>155.19999999999999</v>
      </c>
      <c r="AB284">
        <v>160.69999999999999</v>
      </c>
      <c r="AC284" s="10">
        <f t="shared" si="37"/>
        <v>163.15</v>
      </c>
      <c r="AD284">
        <f t="shared" si="39"/>
        <v>154.96666666666667</v>
      </c>
      <c r="AE284">
        <v>158.4</v>
      </c>
      <c r="AF284">
        <v>148.69999999999999</v>
      </c>
      <c r="AG284" s="1">
        <f t="shared" si="38"/>
        <v>155.79999999999998</v>
      </c>
      <c r="AH284" s="1">
        <f t="shared" si="40"/>
        <v>781.01666666666665</v>
      </c>
      <c r="AI284">
        <f t="shared" si="41"/>
        <v>31.283612889087742</v>
      </c>
      <c r="AJ284">
        <f t="shared" si="42"/>
        <v>29.714478766241477</v>
      </c>
      <c r="AK284">
        <f t="shared" si="43"/>
        <v>30.372812023484514</v>
      </c>
      <c r="AL284">
        <f t="shared" si="44"/>
        <v>28.512860782147392</v>
      </c>
      <c r="AM284">
        <f t="shared" si="45"/>
        <v>29.8742683917859</v>
      </c>
    </row>
    <row r="285" spans="1:39" x14ac:dyDescent="0.3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145.5</v>
      </c>
      <c r="V285">
        <v>152.9</v>
      </c>
      <c r="W285">
        <v>135.5</v>
      </c>
      <c r="X285">
        <v>144.30000000000001</v>
      </c>
      <c r="Y285">
        <v>156.9</v>
      </c>
      <c r="Z285">
        <v>157.9</v>
      </c>
      <c r="AA285">
        <v>146.9</v>
      </c>
      <c r="AB285">
        <v>156.9</v>
      </c>
      <c r="AC285" s="10">
        <f t="shared" si="37"/>
        <v>165.4</v>
      </c>
      <c r="AD285">
        <f t="shared" si="39"/>
        <v>146.06666666666669</v>
      </c>
      <c r="AE285">
        <v>158.4</v>
      </c>
      <c r="AF285">
        <v>137.9</v>
      </c>
      <c r="AG285" s="1">
        <f t="shared" si="38"/>
        <v>148.83333333333334</v>
      </c>
      <c r="AH285" s="1">
        <f t="shared" si="40"/>
        <v>756.6</v>
      </c>
      <c r="AI285">
        <f t="shared" si="41"/>
        <v>31.715044878057689</v>
      </c>
      <c r="AJ285">
        <f t="shared" si="42"/>
        <v>28.007925565427012</v>
      </c>
      <c r="AK285">
        <f t="shared" si="43"/>
        <v>30.372812023484514</v>
      </c>
      <c r="AL285">
        <f t="shared" si="44"/>
        <v>26.441987235091631</v>
      </c>
      <c r="AM285">
        <f t="shared" si="45"/>
        <v>28.538427122234506</v>
      </c>
    </row>
    <row r="286" spans="1:39" x14ac:dyDescent="0.3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149.69999999999999</v>
      </c>
      <c r="V286">
        <v>158.30000000000001</v>
      </c>
      <c r="W286">
        <v>140.69999999999999</v>
      </c>
      <c r="X286">
        <v>148.5</v>
      </c>
      <c r="Y286">
        <v>159.4</v>
      </c>
      <c r="Z286">
        <v>157.1</v>
      </c>
      <c r="AA286">
        <v>151.19999999999999</v>
      </c>
      <c r="AB286">
        <v>158.9</v>
      </c>
      <c r="AC286" s="10">
        <f t="shared" si="37"/>
        <v>163.89285714285714</v>
      </c>
      <c r="AD286">
        <f t="shared" si="39"/>
        <v>151.33333333333334</v>
      </c>
      <c r="AE286">
        <v>158.4</v>
      </c>
      <c r="AF286">
        <v>144.6</v>
      </c>
      <c r="AG286" s="1">
        <f t="shared" si="38"/>
        <v>152.28333333333333</v>
      </c>
      <c r="AH286" s="1">
        <f t="shared" si="40"/>
        <v>770.50952380952378</v>
      </c>
      <c r="AI286">
        <f t="shared" si="41"/>
        <v>31.426053926715912</v>
      </c>
      <c r="AJ286">
        <f t="shared" si="42"/>
        <v>29.017795998867779</v>
      </c>
      <c r="AK286">
        <f t="shared" si="43"/>
        <v>30.372812023484514</v>
      </c>
      <c r="AL286">
        <f t="shared" si="44"/>
        <v>27.726695824468816</v>
      </c>
      <c r="AM286">
        <f t="shared" si="45"/>
        <v>29.199956171988422</v>
      </c>
    </row>
    <row r="287" spans="1:39" x14ac:dyDescent="0.3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>
        <v>153.9</v>
      </c>
      <c r="V287">
        <v>162.5</v>
      </c>
      <c r="W287">
        <v>147.5</v>
      </c>
      <c r="X287">
        <v>155.1</v>
      </c>
      <c r="Y287">
        <v>163.5</v>
      </c>
      <c r="Z287">
        <v>156.19999999999999</v>
      </c>
      <c r="AA287">
        <v>155.9</v>
      </c>
      <c r="AB287">
        <v>158.5</v>
      </c>
      <c r="AC287" s="10">
        <f t="shared" si="37"/>
        <v>160.73571428571427</v>
      </c>
      <c r="AD287">
        <f t="shared" si="39"/>
        <v>155.56666666666666</v>
      </c>
      <c r="AE287">
        <v>157.69999999999999</v>
      </c>
      <c r="AF287">
        <v>150.9</v>
      </c>
      <c r="AG287" s="1">
        <f t="shared" si="38"/>
        <v>156.45000000000002</v>
      </c>
      <c r="AH287" s="1">
        <f t="shared" si="40"/>
        <v>781.35238095238094</v>
      </c>
      <c r="AI287">
        <f t="shared" si="41"/>
        <v>30.820679516796172</v>
      </c>
      <c r="AJ287">
        <f t="shared" si="42"/>
        <v>29.829527296633461</v>
      </c>
      <c r="AK287">
        <f t="shared" si="43"/>
        <v>30.238588738027193</v>
      </c>
      <c r="AL287">
        <f t="shared" si="44"/>
        <v>28.934705393584682</v>
      </c>
      <c r="AM287">
        <f t="shared" si="45"/>
        <v>29.99890429971056</v>
      </c>
    </row>
    <row r="288" spans="1:39" x14ac:dyDescent="0.3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145.69999999999999</v>
      </c>
      <c r="V288">
        <v>154.1</v>
      </c>
      <c r="W288">
        <v>136.9</v>
      </c>
      <c r="X288">
        <v>145.4</v>
      </c>
      <c r="Y288">
        <v>156.1</v>
      </c>
      <c r="Z288">
        <v>157.69999999999999</v>
      </c>
      <c r="AA288">
        <v>147.6</v>
      </c>
      <c r="AB288">
        <v>156</v>
      </c>
      <c r="AC288" s="10">
        <f t="shared" si="37"/>
        <v>163.48571428571429</v>
      </c>
      <c r="AD288">
        <f t="shared" si="39"/>
        <v>146.66666666666666</v>
      </c>
      <c r="AE288">
        <v>157.69999999999999</v>
      </c>
      <c r="AF288">
        <v>142.9</v>
      </c>
      <c r="AG288" s="1">
        <f t="shared" si="38"/>
        <v>149.31666666666663</v>
      </c>
      <c r="AH288" s="1">
        <f t="shared" si="40"/>
        <v>760.06904761904752</v>
      </c>
      <c r="AI288">
        <f t="shared" si="41"/>
        <v>31.347985281092782</v>
      </c>
      <c r="AJ288">
        <f t="shared" si="42"/>
        <v>28.122974095818993</v>
      </c>
      <c r="AK288">
        <f t="shared" si="43"/>
        <v>30.238588738027193</v>
      </c>
      <c r="AL288">
        <f t="shared" si="44"/>
        <v>27.400724988358188</v>
      </c>
      <c r="AM288">
        <f t="shared" si="45"/>
        <v>28.631105105050263</v>
      </c>
    </row>
    <row r="289" spans="1:39" x14ac:dyDescent="0.3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150</v>
      </c>
      <c r="V289">
        <v>159.30000000000001</v>
      </c>
      <c r="W289">
        <v>141.9</v>
      </c>
      <c r="X289">
        <v>149.6</v>
      </c>
      <c r="Y289">
        <v>159.19999999999999</v>
      </c>
      <c r="Z289">
        <v>156.80000000000001</v>
      </c>
      <c r="AA289">
        <v>151.9</v>
      </c>
      <c r="AB289">
        <v>157.30000000000001</v>
      </c>
      <c r="AC289" s="10">
        <f t="shared" si="37"/>
        <v>161.64285714285714</v>
      </c>
      <c r="AD289">
        <f t="shared" si="39"/>
        <v>151.93333333333334</v>
      </c>
      <c r="AE289">
        <v>157.69999999999999</v>
      </c>
      <c r="AF289">
        <v>147.9</v>
      </c>
      <c r="AG289" s="1">
        <f t="shared" si="38"/>
        <v>152.79999999999998</v>
      </c>
      <c r="AH289" s="1">
        <f t="shared" si="40"/>
        <v>771.97619047619048</v>
      </c>
      <c r="AI289">
        <f t="shared" si="41"/>
        <v>30.994621937745965</v>
      </c>
      <c r="AJ289">
        <f t="shared" si="42"/>
        <v>29.132844529259767</v>
      </c>
      <c r="AK289">
        <f t="shared" si="43"/>
        <v>30.238588738027193</v>
      </c>
      <c r="AL289">
        <f t="shared" si="44"/>
        <v>28.359462741624746</v>
      </c>
      <c r="AM289">
        <f t="shared" si="45"/>
        <v>29.299025739825968</v>
      </c>
    </row>
    <row r="290" spans="1:39" x14ac:dyDescent="0.3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>
        <v>154.80000000000001</v>
      </c>
      <c r="V290">
        <v>164.3</v>
      </c>
      <c r="W290">
        <v>150.19999999999999</v>
      </c>
      <c r="X290">
        <v>157</v>
      </c>
      <c r="Y290">
        <v>163.6</v>
      </c>
      <c r="Z290">
        <v>155.19999999999999</v>
      </c>
      <c r="AA290">
        <v>157.19999999999999</v>
      </c>
      <c r="AB290">
        <v>156.69999999999999</v>
      </c>
      <c r="AC290" s="10">
        <f t="shared" si="37"/>
        <v>157.98571428571429</v>
      </c>
      <c r="AD290">
        <f t="shared" si="39"/>
        <v>157.13333333333333</v>
      </c>
      <c r="AE290">
        <v>159.80000000000001</v>
      </c>
      <c r="AF290">
        <v>154.4</v>
      </c>
      <c r="AG290" s="1">
        <f t="shared" si="38"/>
        <v>157.51666666666665</v>
      </c>
      <c r="AH290" s="1">
        <f t="shared" si="40"/>
        <v>786.83571428571429</v>
      </c>
      <c r="AI290">
        <f t="shared" si="41"/>
        <v>30.293373752499569</v>
      </c>
      <c r="AJ290">
        <f t="shared" si="42"/>
        <v>30.129931792656983</v>
      </c>
      <c r="AK290">
        <f t="shared" si="43"/>
        <v>30.641258594399151</v>
      </c>
      <c r="AL290">
        <f t="shared" si="44"/>
        <v>29.60582182087127</v>
      </c>
      <c r="AM290">
        <f t="shared" si="45"/>
        <v>30.203435020407415</v>
      </c>
    </row>
    <row r="291" spans="1:39" x14ac:dyDescent="0.3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146.5</v>
      </c>
      <c r="V291">
        <v>156.30000000000001</v>
      </c>
      <c r="W291">
        <v>140.5</v>
      </c>
      <c r="X291">
        <v>147.30000000000001</v>
      </c>
      <c r="Y291">
        <v>156.6</v>
      </c>
      <c r="Z291">
        <v>156.69999999999999</v>
      </c>
      <c r="AA291">
        <v>149.30000000000001</v>
      </c>
      <c r="AB291">
        <v>156.5</v>
      </c>
      <c r="AC291" s="10">
        <f t="shared" si="37"/>
        <v>161.37857142857143</v>
      </c>
      <c r="AD291">
        <f t="shared" si="39"/>
        <v>148.06666666666666</v>
      </c>
      <c r="AE291">
        <v>159.80000000000001</v>
      </c>
      <c r="AF291">
        <v>149.1</v>
      </c>
      <c r="AG291" s="1">
        <f t="shared" si="38"/>
        <v>150.65</v>
      </c>
      <c r="AH291" s="1">
        <f t="shared" si="40"/>
        <v>768.99523809523805</v>
      </c>
      <c r="AI291">
        <f t="shared" si="41"/>
        <v>30.943945799359017</v>
      </c>
      <c r="AJ291">
        <f t="shared" si="42"/>
        <v>28.39142066673363</v>
      </c>
      <c r="AK291">
        <f t="shared" si="43"/>
        <v>30.641258594399151</v>
      </c>
      <c r="AL291">
        <f t="shared" si="44"/>
        <v>28.589559802408715</v>
      </c>
      <c r="AM291">
        <f t="shared" si="45"/>
        <v>28.886768505921349</v>
      </c>
    </row>
    <row r="292" spans="1:39" x14ac:dyDescent="0.3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150.9</v>
      </c>
      <c r="V292">
        <v>161.30000000000001</v>
      </c>
      <c r="W292">
        <v>145.1</v>
      </c>
      <c r="X292">
        <v>151.5</v>
      </c>
      <c r="Y292">
        <v>159.5</v>
      </c>
      <c r="Z292">
        <v>155.80000000000001</v>
      </c>
      <c r="AA292">
        <v>153.4</v>
      </c>
      <c r="AB292">
        <v>156.6</v>
      </c>
      <c r="AC292" s="10">
        <f t="shared" si="37"/>
        <v>159.11428571428573</v>
      </c>
      <c r="AD292">
        <f t="shared" si="39"/>
        <v>153.46666666666667</v>
      </c>
      <c r="AE292">
        <v>159.80000000000001</v>
      </c>
      <c r="AF292">
        <v>152.4</v>
      </c>
      <c r="AG292" s="1">
        <f t="shared" si="38"/>
        <v>154.01666666666668</v>
      </c>
      <c r="AH292" s="1">
        <f t="shared" si="40"/>
        <v>778.79761904761904</v>
      </c>
      <c r="AI292">
        <f t="shared" si="41"/>
        <v>30.509774559665452</v>
      </c>
      <c r="AJ292">
        <f t="shared" si="42"/>
        <v>29.426857440261511</v>
      </c>
      <c r="AK292">
        <f t="shared" si="43"/>
        <v>30.641258594399151</v>
      </c>
      <c r="AL292">
        <f t="shared" si="44"/>
        <v>29.222326719564645</v>
      </c>
      <c r="AM292">
        <f t="shared" si="45"/>
        <v>29.532318593120831</v>
      </c>
    </row>
    <row r="293" spans="1:39" x14ac:dyDescent="0.3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>
        <v>154.80000000000001</v>
      </c>
      <c r="V293">
        <v>164.6</v>
      </c>
      <c r="W293">
        <v>151.30000000000001</v>
      </c>
      <c r="X293">
        <v>157.80000000000001</v>
      </c>
      <c r="Y293">
        <v>163.80000000000001</v>
      </c>
      <c r="Z293">
        <v>153.1</v>
      </c>
      <c r="AA293">
        <v>157.30000000000001</v>
      </c>
      <c r="AB293">
        <v>156.69999999999999</v>
      </c>
      <c r="AC293" s="10">
        <f t="shared" si="37"/>
        <v>157.98571428571429</v>
      </c>
      <c r="AD293">
        <f t="shared" si="39"/>
        <v>157.63333333333333</v>
      </c>
      <c r="AE293">
        <v>159.9</v>
      </c>
      <c r="AF293">
        <v>156</v>
      </c>
      <c r="AG293" s="1">
        <f t="shared" si="38"/>
        <v>157.56666666666666</v>
      </c>
      <c r="AH293" s="1">
        <f t="shared" si="40"/>
        <v>789.08571428571418</v>
      </c>
      <c r="AI293">
        <f t="shared" si="41"/>
        <v>30.293373752499569</v>
      </c>
      <c r="AJ293">
        <f t="shared" si="42"/>
        <v>30.225805567983638</v>
      </c>
      <c r="AK293">
        <f t="shared" si="43"/>
        <v>30.660433349464483</v>
      </c>
      <c r="AL293">
        <f t="shared" si="44"/>
        <v>29.912617901916565</v>
      </c>
      <c r="AM293">
        <f t="shared" si="45"/>
        <v>30.213022397940087</v>
      </c>
    </row>
    <row r="294" spans="1:39" x14ac:dyDescent="0.3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147.19999999999999</v>
      </c>
      <c r="V294">
        <v>156.9</v>
      </c>
      <c r="W294">
        <v>141.69999999999999</v>
      </c>
      <c r="X294">
        <v>148.6</v>
      </c>
      <c r="Y294">
        <v>157.6</v>
      </c>
      <c r="Z294">
        <v>154.9</v>
      </c>
      <c r="AA294">
        <v>150</v>
      </c>
      <c r="AB294">
        <v>156.9</v>
      </c>
      <c r="AC294" s="10">
        <f t="shared" si="37"/>
        <v>161.28571428571425</v>
      </c>
      <c r="AD294">
        <f t="shared" si="39"/>
        <v>148.79999999999998</v>
      </c>
      <c r="AE294">
        <v>159.9</v>
      </c>
      <c r="AF294">
        <v>154.80000000000001</v>
      </c>
      <c r="AG294" s="1">
        <f t="shared" si="38"/>
        <v>151.15</v>
      </c>
      <c r="AH294" s="1">
        <f t="shared" si="40"/>
        <v>775.9357142857142</v>
      </c>
      <c r="AI294">
        <f t="shared" si="41"/>
        <v>30.926140669655489</v>
      </c>
      <c r="AJ294">
        <f t="shared" si="42"/>
        <v>28.532035537212717</v>
      </c>
      <c r="AK294">
        <f t="shared" si="43"/>
        <v>30.660433349464483</v>
      </c>
      <c r="AL294">
        <f t="shared" si="44"/>
        <v>29.682520841132593</v>
      </c>
      <c r="AM294">
        <f t="shared" si="45"/>
        <v>28.982642281248005</v>
      </c>
    </row>
    <row r="295" spans="1:39" x14ac:dyDescent="0.3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151.19999999999999</v>
      </c>
      <c r="V295">
        <v>161.69999999999999</v>
      </c>
      <c r="W295">
        <v>146.19999999999999</v>
      </c>
      <c r="X295">
        <v>152.6</v>
      </c>
      <c r="Y295">
        <v>160.19999999999999</v>
      </c>
      <c r="Z295">
        <v>153.80000000000001</v>
      </c>
      <c r="AA295">
        <v>153.80000000000001</v>
      </c>
      <c r="AB295">
        <v>156.80000000000001</v>
      </c>
      <c r="AC295" s="10">
        <f t="shared" si="37"/>
        <v>159.10714285714286</v>
      </c>
      <c r="AD295">
        <f t="shared" si="39"/>
        <v>154.03333333333333</v>
      </c>
      <c r="AE295">
        <v>159.9</v>
      </c>
      <c r="AF295">
        <v>155.5</v>
      </c>
      <c r="AG295" s="1">
        <f t="shared" si="38"/>
        <v>154.2833333333333</v>
      </c>
      <c r="AH295" s="1">
        <f t="shared" si="40"/>
        <v>782.82380952380947</v>
      </c>
      <c r="AI295">
        <f t="shared" si="41"/>
        <v>30.508404934303641</v>
      </c>
      <c r="AJ295">
        <f t="shared" si="42"/>
        <v>29.535514385631718</v>
      </c>
      <c r="AK295">
        <f t="shared" si="43"/>
        <v>30.660433349464483</v>
      </c>
      <c r="AL295">
        <f t="shared" si="44"/>
        <v>29.81674412658991</v>
      </c>
      <c r="AM295">
        <f t="shared" si="45"/>
        <v>29.58345127329504</v>
      </c>
    </row>
    <row r="296" spans="1:39" x14ac:dyDescent="0.3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>
        <v>155.5</v>
      </c>
      <c r="V296">
        <v>165.3</v>
      </c>
      <c r="W296">
        <v>151.69999999999999</v>
      </c>
      <c r="X296">
        <v>158.6</v>
      </c>
      <c r="Y296">
        <v>164.1</v>
      </c>
      <c r="Z296">
        <v>154.6</v>
      </c>
      <c r="AA296">
        <v>158</v>
      </c>
      <c r="AB296">
        <v>157.6</v>
      </c>
      <c r="AC296" s="10">
        <f t="shared" si="37"/>
        <v>159.73571428571429</v>
      </c>
      <c r="AD296">
        <f t="shared" si="39"/>
        <v>158.56666666666663</v>
      </c>
      <c r="AE296">
        <v>161.4</v>
      </c>
      <c r="AF296">
        <v>156</v>
      </c>
      <c r="AG296" s="1">
        <f t="shared" si="38"/>
        <v>158.30000000000001</v>
      </c>
      <c r="AH296" s="1">
        <f t="shared" si="40"/>
        <v>794.00238095238092</v>
      </c>
      <c r="AI296">
        <f t="shared" si="41"/>
        <v>30.628931966142865</v>
      </c>
      <c r="AJ296">
        <f t="shared" si="42"/>
        <v>30.40476994859339</v>
      </c>
      <c r="AK296">
        <f t="shared" si="43"/>
        <v>30.948054675444446</v>
      </c>
      <c r="AL296">
        <f t="shared" si="44"/>
        <v>29.912617901916565</v>
      </c>
      <c r="AM296">
        <f t="shared" si="45"/>
        <v>30.353637268419181</v>
      </c>
    </row>
    <row r="297" spans="1:39" x14ac:dyDescent="0.3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147.6</v>
      </c>
      <c r="V297">
        <v>157.5</v>
      </c>
      <c r="W297">
        <v>142.1</v>
      </c>
      <c r="X297">
        <v>149.1</v>
      </c>
      <c r="Y297">
        <v>157.6</v>
      </c>
      <c r="Z297">
        <v>156.6</v>
      </c>
      <c r="AA297">
        <v>150.5</v>
      </c>
      <c r="AB297">
        <v>158</v>
      </c>
      <c r="AC297" s="10">
        <f t="shared" si="37"/>
        <v>163.14285714285714</v>
      </c>
      <c r="AD297">
        <f t="shared" si="39"/>
        <v>149.53333333333333</v>
      </c>
      <c r="AE297">
        <v>161.4</v>
      </c>
      <c r="AF297">
        <v>154.9</v>
      </c>
      <c r="AG297" s="1">
        <f t="shared" si="38"/>
        <v>151.75000000000003</v>
      </c>
      <c r="AH297" s="1">
        <f t="shared" si="40"/>
        <v>780.72619047619048</v>
      </c>
      <c r="AI297">
        <f t="shared" si="41"/>
        <v>31.282243263725928</v>
      </c>
      <c r="AJ297">
        <f t="shared" si="42"/>
        <v>28.672650407691819</v>
      </c>
      <c r="AK297">
        <f t="shared" si="43"/>
        <v>30.948054675444446</v>
      </c>
      <c r="AL297">
        <f t="shared" si="44"/>
        <v>29.701695596197926</v>
      </c>
      <c r="AM297">
        <f t="shared" si="45"/>
        <v>29.09769081164</v>
      </c>
    </row>
    <row r="298" spans="1:39" x14ac:dyDescent="0.3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151.80000000000001</v>
      </c>
      <c r="V298">
        <v>162.30000000000001</v>
      </c>
      <c r="W298">
        <v>146.6</v>
      </c>
      <c r="X298">
        <v>153.19999999999999</v>
      </c>
      <c r="Y298">
        <v>160.30000000000001</v>
      </c>
      <c r="Z298">
        <v>155.4</v>
      </c>
      <c r="AA298">
        <v>154.4</v>
      </c>
      <c r="AB298">
        <v>157.80000000000001</v>
      </c>
      <c r="AC298" s="10">
        <f t="shared" si="37"/>
        <v>160.92142857142858</v>
      </c>
      <c r="AD298">
        <f t="shared" si="39"/>
        <v>154.86666666666667</v>
      </c>
      <c r="AE298">
        <v>161.4</v>
      </c>
      <c r="AF298">
        <v>155.6</v>
      </c>
      <c r="AG298" s="1">
        <f t="shared" si="38"/>
        <v>154.93333333333334</v>
      </c>
      <c r="AH298" s="1">
        <f t="shared" si="40"/>
        <v>787.72142857142853</v>
      </c>
      <c r="AI298">
        <f t="shared" si="41"/>
        <v>30.856289776203223</v>
      </c>
      <c r="AJ298">
        <f t="shared" si="42"/>
        <v>29.695304011176148</v>
      </c>
      <c r="AK298">
        <f t="shared" si="43"/>
        <v>30.948054675444446</v>
      </c>
      <c r="AL298">
        <f t="shared" si="44"/>
        <v>29.835918881655239</v>
      </c>
      <c r="AM298">
        <f t="shared" si="45"/>
        <v>29.7080871812197</v>
      </c>
    </row>
    <row r="299" spans="1:39" x14ac:dyDescent="0.3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>
        <v>158.80000000000001</v>
      </c>
      <c r="V299">
        <v>169.1</v>
      </c>
      <c r="W299">
        <v>153.19999999999999</v>
      </c>
      <c r="X299">
        <v>160</v>
      </c>
      <c r="Y299">
        <v>167.6</v>
      </c>
      <c r="Z299">
        <v>159.30000000000001</v>
      </c>
      <c r="AA299">
        <v>161.1</v>
      </c>
      <c r="AB299">
        <v>161.1</v>
      </c>
      <c r="AC299" s="10">
        <f t="shared" si="37"/>
        <v>163.20714285714283</v>
      </c>
      <c r="AD299">
        <f t="shared" si="39"/>
        <v>163.46666666666667</v>
      </c>
      <c r="AE299">
        <v>161.6</v>
      </c>
      <c r="AF299">
        <v>161.69999999999999</v>
      </c>
      <c r="AG299" s="1">
        <f t="shared" si="38"/>
        <v>161.33333333333334</v>
      </c>
      <c r="AH299" s="1">
        <f t="shared" si="40"/>
        <v>811.30714285714282</v>
      </c>
      <c r="AI299">
        <f t="shared" si="41"/>
        <v>31.29456989198221</v>
      </c>
      <c r="AJ299">
        <f t="shared" si="42"/>
        <v>31.344332946794623</v>
      </c>
      <c r="AK299">
        <f t="shared" si="43"/>
        <v>30.986404185575108</v>
      </c>
      <c r="AL299">
        <f t="shared" si="44"/>
        <v>31.005578940640437</v>
      </c>
      <c r="AM299">
        <f t="shared" si="45"/>
        <v>30.935271505400898</v>
      </c>
    </row>
    <row r="300" spans="1:39" x14ac:dyDescent="0.3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150.1</v>
      </c>
      <c r="V300">
        <v>160.4</v>
      </c>
      <c r="W300">
        <v>145</v>
      </c>
      <c r="X300">
        <v>152.6</v>
      </c>
      <c r="Y300">
        <v>156.6</v>
      </c>
      <c r="Z300">
        <v>157.5</v>
      </c>
      <c r="AA300">
        <v>152.30000000000001</v>
      </c>
      <c r="AB300">
        <v>159.5</v>
      </c>
      <c r="AC300" s="10">
        <f t="shared" si="37"/>
        <v>165.92142857142858</v>
      </c>
      <c r="AD300">
        <f t="shared" si="39"/>
        <v>150.26666666666665</v>
      </c>
      <c r="AE300">
        <v>161.6</v>
      </c>
      <c r="AF300">
        <v>155.5</v>
      </c>
      <c r="AG300" s="1">
        <f t="shared" si="38"/>
        <v>153.70000000000002</v>
      </c>
      <c r="AH300" s="1">
        <f t="shared" si="40"/>
        <v>786.9880952380953</v>
      </c>
      <c r="AI300">
        <f t="shared" si="41"/>
        <v>31.815027529469774</v>
      </c>
      <c r="AJ300">
        <f t="shared" si="42"/>
        <v>28.813265278170913</v>
      </c>
      <c r="AK300">
        <f t="shared" si="43"/>
        <v>30.986404185575108</v>
      </c>
      <c r="AL300">
        <f t="shared" si="44"/>
        <v>29.81674412658991</v>
      </c>
      <c r="AM300">
        <f t="shared" si="45"/>
        <v>29.47159853541395</v>
      </c>
    </row>
    <row r="301" spans="1:39" x14ac:dyDescent="0.3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154.69999999999999</v>
      </c>
      <c r="V301">
        <v>165.8</v>
      </c>
      <c r="W301">
        <v>148.9</v>
      </c>
      <c r="X301">
        <v>155.80000000000001</v>
      </c>
      <c r="Y301">
        <v>161.19999999999999</v>
      </c>
      <c r="Z301">
        <v>158.6</v>
      </c>
      <c r="AA301">
        <v>156.80000000000001</v>
      </c>
      <c r="AB301">
        <v>160.4</v>
      </c>
      <c r="AC301" s="10">
        <f t="shared" si="37"/>
        <v>164.11428571428573</v>
      </c>
      <c r="AD301">
        <f t="shared" si="39"/>
        <v>158.1</v>
      </c>
      <c r="AE301">
        <v>161.6</v>
      </c>
      <c r="AF301">
        <v>159.4</v>
      </c>
      <c r="AG301" s="1">
        <f t="shared" si="38"/>
        <v>157.50000000000003</v>
      </c>
      <c r="AH301" s="1">
        <f t="shared" si="40"/>
        <v>800.71428571428567</v>
      </c>
      <c r="AI301">
        <f t="shared" si="41"/>
        <v>31.468512312932006</v>
      </c>
      <c r="AJ301">
        <f t="shared" si="42"/>
        <v>30.315287758288516</v>
      </c>
      <c r="AK301">
        <f t="shared" si="43"/>
        <v>30.986404185575108</v>
      </c>
      <c r="AL301">
        <f t="shared" si="44"/>
        <v>30.564559574137824</v>
      </c>
      <c r="AM301">
        <f t="shared" si="45"/>
        <v>30.200239227896535</v>
      </c>
    </row>
    <row r="302" spans="1:39" x14ac:dyDescent="0.3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>
        <v>159.19999999999999</v>
      </c>
      <c r="V302">
        <v>169.7</v>
      </c>
      <c r="W302">
        <v>154.19999999999999</v>
      </c>
      <c r="X302">
        <v>160.4</v>
      </c>
      <c r="Y302">
        <v>166.8</v>
      </c>
      <c r="Z302">
        <v>159.4</v>
      </c>
      <c r="AA302">
        <v>161.5</v>
      </c>
      <c r="AB302">
        <v>162.1</v>
      </c>
      <c r="AC302" s="10">
        <f t="shared" si="37"/>
        <v>165.12142857142857</v>
      </c>
      <c r="AD302">
        <f t="shared" si="39"/>
        <v>163.26666666666668</v>
      </c>
      <c r="AE302">
        <v>160.5</v>
      </c>
      <c r="AF302">
        <v>162.1</v>
      </c>
      <c r="AG302" s="1">
        <f t="shared" si="38"/>
        <v>161.61666666666665</v>
      </c>
      <c r="AH302" s="1">
        <f t="shared" si="40"/>
        <v>812.60476190476197</v>
      </c>
      <c r="AI302">
        <f t="shared" si="41"/>
        <v>31.661629488947124</v>
      </c>
      <c r="AJ302">
        <f t="shared" si="42"/>
        <v>31.305983436663965</v>
      </c>
      <c r="AK302">
        <f t="shared" si="43"/>
        <v>30.775481879856464</v>
      </c>
      <c r="AL302">
        <f t="shared" si="44"/>
        <v>31.082277960901759</v>
      </c>
      <c r="AM302">
        <f t="shared" si="45"/>
        <v>30.989599978085991</v>
      </c>
    </row>
    <row r="303" spans="1:39" x14ac:dyDescent="0.3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149.80000000000001</v>
      </c>
      <c r="V303">
        <v>160.80000000000001</v>
      </c>
      <c r="W303">
        <v>147.5</v>
      </c>
      <c r="X303">
        <v>150.69999999999999</v>
      </c>
      <c r="Y303">
        <v>158.1</v>
      </c>
      <c r="Z303">
        <v>158</v>
      </c>
      <c r="AA303">
        <v>153.4</v>
      </c>
      <c r="AB303">
        <v>160.4</v>
      </c>
      <c r="AC303" s="10">
        <f t="shared" si="37"/>
        <v>167.84285714285713</v>
      </c>
      <c r="AD303">
        <f t="shared" si="39"/>
        <v>150.86666666666667</v>
      </c>
      <c r="AE303">
        <v>160.5</v>
      </c>
      <c r="AF303">
        <v>156.1</v>
      </c>
      <c r="AG303" s="1">
        <f t="shared" si="38"/>
        <v>154.15</v>
      </c>
      <c r="AH303" s="1">
        <f t="shared" si="40"/>
        <v>789.45952380952383</v>
      </c>
      <c r="AI303">
        <f t="shared" si="41"/>
        <v>32.183456751796491</v>
      </c>
      <c r="AJ303">
        <f t="shared" si="42"/>
        <v>28.928313808562901</v>
      </c>
      <c r="AK303">
        <f t="shared" si="43"/>
        <v>30.775481879856464</v>
      </c>
      <c r="AL303">
        <f t="shared" si="44"/>
        <v>29.931792656981891</v>
      </c>
      <c r="AM303">
        <f t="shared" si="45"/>
        <v>29.557884933207941</v>
      </c>
    </row>
    <row r="304" spans="1:39" x14ac:dyDescent="0.3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154.80000000000001</v>
      </c>
      <c r="V304">
        <v>166.3</v>
      </c>
      <c r="W304">
        <v>150.69999999999999</v>
      </c>
      <c r="X304">
        <v>154.9</v>
      </c>
      <c r="Y304">
        <v>161.69999999999999</v>
      </c>
      <c r="Z304">
        <v>158.80000000000001</v>
      </c>
      <c r="AA304">
        <v>157.6</v>
      </c>
      <c r="AB304">
        <v>161.30000000000001</v>
      </c>
      <c r="AC304" s="10">
        <f t="shared" si="37"/>
        <v>166.05</v>
      </c>
      <c r="AD304">
        <f t="shared" si="39"/>
        <v>158.23333333333332</v>
      </c>
      <c r="AE304">
        <v>160.5</v>
      </c>
      <c r="AF304">
        <v>159.80000000000001</v>
      </c>
      <c r="AG304" s="1">
        <f t="shared" si="38"/>
        <v>157.86666666666667</v>
      </c>
      <c r="AH304" s="1">
        <f t="shared" si="40"/>
        <v>802.44999999999993</v>
      </c>
      <c r="AI304">
        <f t="shared" si="41"/>
        <v>31.839680785982345</v>
      </c>
      <c r="AJ304">
        <f t="shared" si="42"/>
        <v>30.340854098375626</v>
      </c>
      <c r="AK304">
        <f t="shared" si="43"/>
        <v>30.775481879856464</v>
      </c>
      <c r="AL304">
        <f t="shared" si="44"/>
        <v>30.641258594399151</v>
      </c>
      <c r="AM304">
        <f t="shared" si="45"/>
        <v>30.270546663136084</v>
      </c>
    </row>
    <row r="305" spans="1:39" x14ac:dyDescent="0.3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>
        <v>160.30000000000001</v>
      </c>
      <c r="V305">
        <v>170.4</v>
      </c>
      <c r="W305">
        <v>157.1</v>
      </c>
      <c r="X305">
        <v>160.69999999999999</v>
      </c>
      <c r="Y305">
        <v>167.2</v>
      </c>
      <c r="Z305">
        <v>160.4</v>
      </c>
      <c r="AA305">
        <v>162.80000000000001</v>
      </c>
      <c r="AB305">
        <v>163.19999999999999</v>
      </c>
      <c r="AC305" s="10">
        <f t="shared" si="37"/>
        <v>165.8642857142857</v>
      </c>
      <c r="AD305">
        <f t="shared" si="39"/>
        <v>164.13333333333335</v>
      </c>
      <c r="AE305">
        <v>161.5</v>
      </c>
      <c r="AF305">
        <v>162.5</v>
      </c>
      <c r="AG305" s="1">
        <f>AVERAGE(U305:Z305)</f>
        <v>162.68333333333334</v>
      </c>
      <c r="AH305" s="1">
        <f t="shared" si="40"/>
        <v>816.68095238095248</v>
      </c>
      <c r="AI305">
        <f t="shared" si="41"/>
        <v>31.804070526575295</v>
      </c>
      <c r="AJ305">
        <f t="shared" si="42"/>
        <v>31.472164647230166</v>
      </c>
      <c r="AK305">
        <f t="shared" si="43"/>
        <v>30.967229430509779</v>
      </c>
      <c r="AL305">
        <f t="shared" si="44"/>
        <v>31.158976981163089</v>
      </c>
      <c r="AM305">
        <f t="shared" si="45"/>
        <v>31.194130698782864</v>
      </c>
    </row>
    <row r="306" spans="1:39" x14ac:dyDescent="0.3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150.69999999999999</v>
      </c>
      <c r="V306">
        <v>161.5</v>
      </c>
      <c r="W306">
        <v>149.5</v>
      </c>
      <c r="X306">
        <v>151.19999999999999</v>
      </c>
      <c r="Y306">
        <v>160.30000000000001</v>
      </c>
      <c r="Z306">
        <v>159.6</v>
      </c>
      <c r="AA306">
        <v>155</v>
      </c>
      <c r="AB306">
        <v>161.80000000000001</v>
      </c>
      <c r="AC306" s="10">
        <f t="shared" si="37"/>
        <v>169.09285714285716</v>
      </c>
      <c r="AD306">
        <f t="shared" si="39"/>
        <v>151.76666666666668</v>
      </c>
      <c r="AE306">
        <v>161.5</v>
      </c>
      <c r="AF306">
        <v>157.69999999999999</v>
      </c>
      <c r="AG306" s="1">
        <f t="shared" si="38"/>
        <v>155.46666666666667</v>
      </c>
      <c r="AH306" s="1">
        <f t="shared" si="40"/>
        <v>795.52619047619055</v>
      </c>
      <c r="AI306">
        <f t="shared" si="41"/>
        <v>32.423141190113135</v>
      </c>
      <c r="AJ306">
        <f t="shared" si="42"/>
        <v>29.100886604150883</v>
      </c>
      <c r="AK306">
        <f t="shared" si="43"/>
        <v>30.967229430509779</v>
      </c>
      <c r="AL306">
        <f t="shared" si="44"/>
        <v>30.238588738027193</v>
      </c>
      <c r="AM306">
        <f t="shared" si="45"/>
        <v>29.810352541568129</v>
      </c>
    </row>
    <row r="307" spans="1:39" x14ac:dyDescent="0.3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155.80000000000001</v>
      </c>
      <c r="V307">
        <v>167</v>
      </c>
      <c r="W307">
        <v>153.1</v>
      </c>
      <c r="X307">
        <v>155.30000000000001</v>
      </c>
      <c r="Y307">
        <v>163.19999999999999</v>
      </c>
      <c r="Z307">
        <v>160.1</v>
      </c>
      <c r="AA307">
        <v>159</v>
      </c>
      <c r="AB307">
        <v>162.5</v>
      </c>
      <c r="AC307" s="10">
        <f t="shared" si="37"/>
        <v>167.01428571428571</v>
      </c>
      <c r="AD307">
        <f t="shared" si="39"/>
        <v>159.1</v>
      </c>
      <c r="AE307">
        <v>161.5</v>
      </c>
      <c r="AF307">
        <v>160.69999999999999</v>
      </c>
      <c r="AG307" s="1">
        <f t="shared" si="38"/>
        <v>159.08333333333334</v>
      </c>
      <c r="AH307" s="1">
        <f t="shared" si="40"/>
        <v>807.39761904761906</v>
      </c>
      <c r="AI307">
        <f t="shared" si="41"/>
        <v>32.02458020982661</v>
      </c>
      <c r="AJ307">
        <f t="shared" si="42"/>
        <v>30.507035308941827</v>
      </c>
      <c r="AK307">
        <f t="shared" si="43"/>
        <v>30.967229430509779</v>
      </c>
      <c r="AL307">
        <f t="shared" si="44"/>
        <v>30.813831389987129</v>
      </c>
      <c r="AM307">
        <f t="shared" si="45"/>
        <v>30.503839516430943</v>
      </c>
    </row>
    <row r="308" spans="1:39" x14ac:dyDescent="0.3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>
        <v>160.9</v>
      </c>
      <c r="V308">
        <v>171.1</v>
      </c>
      <c r="W308">
        <v>157.69999999999999</v>
      </c>
      <c r="X308">
        <v>161.1</v>
      </c>
      <c r="Y308">
        <v>167.5</v>
      </c>
      <c r="Z308">
        <v>160.30000000000001</v>
      </c>
      <c r="AA308">
        <v>163.30000000000001</v>
      </c>
      <c r="AB308">
        <v>163.6</v>
      </c>
      <c r="AC308" s="10">
        <f t="shared" si="37"/>
        <v>165.78571428571428</v>
      </c>
      <c r="AD308">
        <f t="shared" si="39"/>
        <v>165.3</v>
      </c>
      <c r="AE308">
        <v>162.1</v>
      </c>
      <c r="AF308">
        <v>163.1</v>
      </c>
      <c r="AG308" s="1">
        <f t="shared" si="38"/>
        <v>163.1</v>
      </c>
      <c r="AH308" s="1">
        <f t="shared" si="40"/>
        <v>819.38571428571436</v>
      </c>
      <c r="AI308">
        <f t="shared" si="41"/>
        <v>31.789004647595398</v>
      </c>
      <c r="AJ308">
        <f t="shared" si="42"/>
        <v>31.695870122992364</v>
      </c>
      <c r="AK308">
        <f t="shared" si="43"/>
        <v>31.082277960901759</v>
      </c>
      <c r="AL308">
        <f t="shared" si="44"/>
        <v>31.274025511555077</v>
      </c>
      <c r="AM308">
        <f t="shared" si="45"/>
        <v>31.274025511555077</v>
      </c>
    </row>
    <row r="309" spans="1:39" x14ac:dyDescent="0.3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153.19999999999999</v>
      </c>
      <c r="V309">
        <v>162.80000000000001</v>
      </c>
      <c r="W309">
        <v>150.4</v>
      </c>
      <c r="X309">
        <v>153.69999999999999</v>
      </c>
      <c r="Y309">
        <v>160.4</v>
      </c>
      <c r="Z309">
        <v>159.6</v>
      </c>
      <c r="AA309">
        <v>156</v>
      </c>
      <c r="AB309">
        <v>162.30000000000001</v>
      </c>
      <c r="AC309" s="10">
        <f t="shared" si="37"/>
        <v>168.17142857142858</v>
      </c>
      <c r="AD309">
        <f t="shared" si="39"/>
        <v>153.56666666666666</v>
      </c>
      <c r="AE309">
        <v>162.1</v>
      </c>
      <c r="AF309">
        <v>160.69999999999999</v>
      </c>
      <c r="AG309" s="1">
        <f t="shared" si="38"/>
        <v>156.68333333333331</v>
      </c>
      <c r="AH309" s="1">
        <f t="shared" si="40"/>
        <v>801.22142857142842</v>
      </c>
      <c r="AI309">
        <f t="shared" si="41"/>
        <v>32.246459518439728</v>
      </c>
      <c r="AJ309">
        <f t="shared" si="42"/>
        <v>29.446032195326836</v>
      </c>
      <c r="AK309">
        <f t="shared" si="43"/>
        <v>31.082277960901759</v>
      </c>
      <c r="AL309">
        <f t="shared" si="44"/>
        <v>30.813831389987129</v>
      </c>
      <c r="AM309">
        <f t="shared" si="45"/>
        <v>30.043645394862988</v>
      </c>
    </row>
    <row r="310" spans="1:39" x14ac:dyDescent="0.3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157.5</v>
      </c>
      <c r="V310">
        <v>168.4</v>
      </c>
      <c r="W310">
        <v>154</v>
      </c>
      <c r="X310">
        <v>157.6</v>
      </c>
      <c r="Y310">
        <v>163.80000000000001</v>
      </c>
      <c r="Z310">
        <v>160</v>
      </c>
      <c r="AA310">
        <v>160</v>
      </c>
      <c r="AB310">
        <v>163.19999999999999</v>
      </c>
      <c r="AC310" s="10">
        <f t="shared" si="37"/>
        <v>166.72142857142856</v>
      </c>
      <c r="AD310">
        <f t="shared" si="39"/>
        <v>161</v>
      </c>
      <c r="AE310">
        <v>162.1</v>
      </c>
      <c r="AF310">
        <v>162.6</v>
      </c>
      <c r="AG310" s="1">
        <f t="shared" si="38"/>
        <v>160.21666666666667</v>
      </c>
      <c r="AH310" s="1">
        <f t="shared" si="40"/>
        <v>812.63809523809527</v>
      </c>
      <c r="AI310">
        <f t="shared" si="41"/>
        <v>31.968425569992419</v>
      </c>
      <c r="AJ310">
        <f t="shared" si="42"/>
        <v>30.87135565518312</v>
      </c>
      <c r="AK310">
        <f t="shared" si="43"/>
        <v>31.082277960901759</v>
      </c>
      <c r="AL310">
        <f t="shared" si="44"/>
        <v>31.178151736228422</v>
      </c>
      <c r="AM310">
        <f t="shared" si="45"/>
        <v>30.721153407171364</v>
      </c>
    </row>
    <row r="311" spans="1:39" x14ac:dyDescent="0.3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>
        <v>161.30000000000001</v>
      </c>
      <c r="V311">
        <v>171.9</v>
      </c>
      <c r="W311">
        <v>157.80000000000001</v>
      </c>
      <c r="X311">
        <v>162.69999999999999</v>
      </c>
      <c r="Y311">
        <v>168.5</v>
      </c>
      <c r="Z311">
        <v>160.19999999999999</v>
      </c>
      <c r="AA311">
        <v>163.80000000000001</v>
      </c>
      <c r="AB311">
        <v>164</v>
      </c>
      <c r="AC311" s="10">
        <f t="shared" si="37"/>
        <v>166.00714285714284</v>
      </c>
      <c r="AD311">
        <f t="shared" si="39"/>
        <v>166.13333333333333</v>
      </c>
      <c r="AE311">
        <v>162.1</v>
      </c>
      <c r="AF311">
        <v>163.69999999999999</v>
      </c>
      <c r="AG311" s="1">
        <f t="shared" si="38"/>
        <v>163.73333333333335</v>
      </c>
      <c r="AH311" s="1">
        <f t="shared" si="40"/>
        <v>821.6738095238095</v>
      </c>
      <c r="AI311">
        <f t="shared" si="41"/>
        <v>31.831463033811485</v>
      </c>
      <c r="AJ311">
        <f t="shared" si="42"/>
        <v>31.855659748536784</v>
      </c>
      <c r="AK311">
        <f t="shared" si="43"/>
        <v>31.082277960901759</v>
      </c>
      <c r="AL311">
        <f t="shared" si="44"/>
        <v>31.389074041947062</v>
      </c>
      <c r="AM311">
        <f t="shared" si="45"/>
        <v>31.395465626968843</v>
      </c>
    </row>
    <row r="312" spans="1:39" x14ac:dyDescent="0.3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153.30000000000001</v>
      </c>
      <c r="V312">
        <v>162.80000000000001</v>
      </c>
      <c r="W312">
        <v>150.5</v>
      </c>
      <c r="X312">
        <v>153.9</v>
      </c>
      <c r="Y312">
        <v>160.30000000000001</v>
      </c>
      <c r="Z312">
        <v>159.6</v>
      </c>
      <c r="AA312">
        <v>156</v>
      </c>
      <c r="AB312">
        <v>162.30000000000001</v>
      </c>
      <c r="AC312" s="10">
        <f t="shared" si="37"/>
        <v>168.17142857142858</v>
      </c>
      <c r="AD312">
        <f t="shared" si="39"/>
        <v>153.6</v>
      </c>
      <c r="AE312">
        <v>162.1</v>
      </c>
      <c r="AF312">
        <v>160.80000000000001</v>
      </c>
      <c r="AG312" s="1">
        <f t="shared" si="38"/>
        <v>156.73333333333332</v>
      </c>
      <c r="AH312" s="1">
        <f t="shared" si="40"/>
        <v>801.40476190476193</v>
      </c>
      <c r="AI312">
        <f t="shared" si="41"/>
        <v>32.246459518439728</v>
      </c>
      <c r="AJ312">
        <f t="shared" si="42"/>
        <v>29.452423780348617</v>
      </c>
      <c r="AK312">
        <f t="shared" si="43"/>
        <v>31.082277960901759</v>
      </c>
      <c r="AL312">
        <f t="shared" si="44"/>
        <v>30.833006145052462</v>
      </c>
      <c r="AM312">
        <f t="shared" si="45"/>
        <v>30.053232772395656</v>
      </c>
    </row>
    <row r="313" spans="1:39" x14ac:dyDescent="0.3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157.5</v>
      </c>
      <c r="V313">
        <v>168.4</v>
      </c>
      <c r="W313">
        <v>154</v>
      </c>
      <c r="X313">
        <v>157.69999999999999</v>
      </c>
      <c r="Y313">
        <v>163.69999999999999</v>
      </c>
      <c r="Z313">
        <v>160</v>
      </c>
      <c r="AA313">
        <v>160</v>
      </c>
      <c r="AB313">
        <v>163.19999999999999</v>
      </c>
      <c r="AC313" s="10">
        <f t="shared" si="37"/>
        <v>166.72142857142856</v>
      </c>
      <c r="AD313">
        <f t="shared" si="39"/>
        <v>161.06666666666666</v>
      </c>
      <c r="AE313">
        <v>162.1</v>
      </c>
      <c r="AF313">
        <v>162.6</v>
      </c>
      <c r="AG313" s="1">
        <f t="shared" si="38"/>
        <v>160.21666666666667</v>
      </c>
      <c r="AH313" s="1">
        <f t="shared" si="40"/>
        <v>812.70476190476199</v>
      </c>
      <c r="AI313">
        <f t="shared" si="41"/>
        <v>31.968425569992419</v>
      </c>
      <c r="AJ313">
        <f t="shared" si="42"/>
        <v>30.884138825226675</v>
      </c>
      <c r="AK313">
        <f t="shared" si="43"/>
        <v>31.082277960901759</v>
      </c>
      <c r="AL313">
        <f t="shared" si="44"/>
        <v>31.178151736228422</v>
      </c>
      <c r="AM313">
        <f t="shared" si="45"/>
        <v>30.721153407171364</v>
      </c>
    </row>
    <row r="314" spans="1:39" x14ac:dyDescent="0.3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>
        <v>162</v>
      </c>
      <c r="V314">
        <v>172.5</v>
      </c>
      <c r="W314">
        <v>159.5</v>
      </c>
      <c r="X314">
        <v>163.19999999999999</v>
      </c>
      <c r="Y314">
        <v>169</v>
      </c>
      <c r="Z314">
        <v>161.1</v>
      </c>
      <c r="AA314">
        <v>164.7</v>
      </c>
      <c r="AB314">
        <v>166.3</v>
      </c>
      <c r="AC314" s="10">
        <f t="shared" si="37"/>
        <v>168.2428571428571</v>
      </c>
      <c r="AD314">
        <f t="shared" si="39"/>
        <v>167.33333333333334</v>
      </c>
      <c r="AE314">
        <v>163.6</v>
      </c>
      <c r="AF314">
        <v>165.5</v>
      </c>
      <c r="AG314" s="1">
        <f t="shared" si="38"/>
        <v>164.55</v>
      </c>
      <c r="AH314" s="1">
        <f t="shared" si="40"/>
        <v>829.22619047619037</v>
      </c>
      <c r="AI314">
        <f t="shared" si="41"/>
        <v>32.260155772057814</v>
      </c>
      <c r="AJ314">
        <f t="shared" si="42"/>
        <v>32.085756809320763</v>
      </c>
      <c r="AK314">
        <f t="shared" si="43"/>
        <v>31.369899286881729</v>
      </c>
      <c r="AL314">
        <f t="shared" si="44"/>
        <v>31.734219633123022</v>
      </c>
      <c r="AM314">
        <f t="shared" si="45"/>
        <v>31.552059460002379</v>
      </c>
    </row>
    <row r="315" spans="1:39" x14ac:dyDescent="0.3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154.30000000000001</v>
      </c>
      <c r="V315">
        <v>163.5</v>
      </c>
      <c r="W315">
        <v>152.19999999999999</v>
      </c>
      <c r="X315">
        <v>155.1</v>
      </c>
      <c r="Y315">
        <v>160.30000000000001</v>
      </c>
      <c r="Z315">
        <v>160.30000000000001</v>
      </c>
      <c r="AA315">
        <v>157</v>
      </c>
      <c r="AB315">
        <v>164.6</v>
      </c>
      <c r="AC315" s="10">
        <f t="shared" si="37"/>
        <v>171.10000000000005</v>
      </c>
      <c r="AD315">
        <f t="shared" si="39"/>
        <v>154.50000000000003</v>
      </c>
      <c r="AE315">
        <v>163.6</v>
      </c>
      <c r="AF315">
        <v>162.19999999999999</v>
      </c>
      <c r="AG315" s="1">
        <f t="shared" si="38"/>
        <v>157.61666666666667</v>
      </c>
      <c r="AH315" s="1">
        <f t="shared" si="40"/>
        <v>809.01666666666677</v>
      </c>
      <c r="AI315">
        <f t="shared" si="41"/>
        <v>32.808005916781575</v>
      </c>
      <c r="AJ315">
        <f t="shared" si="42"/>
        <v>29.624996575936603</v>
      </c>
      <c r="AK315">
        <f t="shared" si="43"/>
        <v>31.369899286881729</v>
      </c>
      <c r="AL315">
        <f t="shared" si="44"/>
        <v>31.101452715967092</v>
      </c>
      <c r="AM315">
        <f t="shared" si="45"/>
        <v>30.222609775472755</v>
      </c>
    </row>
    <row r="316" spans="1:39" x14ac:dyDescent="0.3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158.4</v>
      </c>
      <c r="V316">
        <v>169.1</v>
      </c>
      <c r="W316">
        <v>155.69999999999999</v>
      </c>
      <c r="X316">
        <v>158.6</v>
      </c>
      <c r="Y316">
        <v>163.9</v>
      </c>
      <c r="Z316">
        <v>160.80000000000001</v>
      </c>
      <c r="AA316">
        <v>161</v>
      </c>
      <c r="AB316">
        <v>165.5</v>
      </c>
      <c r="AC316" s="10">
        <f t="shared" si="37"/>
        <v>169.15714285714284</v>
      </c>
      <c r="AD316">
        <f t="shared" si="39"/>
        <v>162.1</v>
      </c>
      <c r="AE316">
        <v>163.6</v>
      </c>
      <c r="AF316">
        <v>164.2</v>
      </c>
      <c r="AG316" s="1">
        <f t="shared" si="38"/>
        <v>161.08333333333334</v>
      </c>
      <c r="AH316" s="1">
        <f t="shared" si="40"/>
        <v>820.14047619047631</v>
      </c>
      <c r="AI316">
        <f t="shared" si="41"/>
        <v>32.435467818369418</v>
      </c>
      <c r="AJ316">
        <f t="shared" si="42"/>
        <v>31.082277960901759</v>
      </c>
      <c r="AK316">
        <f t="shared" si="43"/>
        <v>31.369899286881729</v>
      </c>
      <c r="AL316">
        <f t="shared" si="44"/>
        <v>31.484947817273717</v>
      </c>
      <c r="AM316">
        <f t="shared" si="45"/>
        <v>30.887334617737565</v>
      </c>
    </row>
    <row r="317" spans="1:39" x14ac:dyDescent="0.3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>
        <v>162.9</v>
      </c>
      <c r="V317">
        <v>173.4</v>
      </c>
      <c r="W317">
        <v>158.9</v>
      </c>
      <c r="X317">
        <v>163.80000000000001</v>
      </c>
      <c r="Y317">
        <v>169.3</v>
      </c>
      <c r="Z317">
        <v>162.4</v>
      </c>
      <c r="AA317">
        <v>165.2</v>
      </c>
      <c r="AB317">
        <v>167.6</v>
      </c>
      <c r="AC317" s="10">
        <f t="shared" si="37"/>
        <v>169.52857142857144</v>
      </c>
      <c r="AD317">
        <f t="shared" si="39"/>
        <v>168.73333333333332</v>
      </c>
      <c r="AE317">
        <v>164.2</v>
      </c>
      <c r="AF317">
        <v>165.3</v>
      </c>
      <c r="AG317" s="1">
        <f t="shared" si="38"/>
        <v>165.11666666666665</v>
      </c>
      <c r="AH317" s="1">
        <f t="shared" si="40"/>
        <v>832.87857142857149</v>
      </c>
      <c r="AI317">
        <f t="shared" si="41"/>
        <v>32.506688337183512</v>
      </c>
      <c r="AJ317">
        <f t="shared" si="42"/>
        <v>32.35420338023539</v>
      </c>
      <c r="AK317">
        <f t="shared" si="43"/>
        <v>31.484947817273717</v>
      </c>
      <c r="AL317">
        <f t="shared" si="44"/>
        <v>31.695870122992364</v>
      </c>
      <c r="AM317">
        <f t="shared" si="45"/>
        <v>31.660716405372586</v>
      </c>
    </row>
    <row r="318" spans="1:39" x14ac:dyDescent="0.3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155.19999999999999</v>
      </c>
      <c r="V318">
        <v>164.2</v>
      </c>
      <c r="W318">
        <v>151.19999999999999</v>
      </c>
      <c r="X318">
        <v>156.69999999999999</v>
      </c>
      <c r="Y318">
        <v>160.80000000000001</v>
      </c>
      <c r="Z318">
        <v>161.80000000000001</v>
      </c>
      <c r="AA318">
        <v>157.30000000000001</v>
      </c>
      <c r="AB318">
        <v>165.6</v>
      </c>
      <c r="AC318" s="10">
        <f t="shared" si="37"/>
        <v>172.4928571428571</v>
      </c>
      <c r="AD318">
        <f t="shared" si="39"/>
        <v>155.76666666666668</v>
      </c>
      <c r="AE318">
        <v>164.2</v>
      </c>
      <c r="AF318">
        <v>161.6</v>
      </c>
      <c r="AG318" s="1">
        <f t="shared" si="38"/>
        <v>158.31666666666663</v>
      </c>
      <c r="AH318" s="1">
        <f t="shared" si="40"/>
        <v>812.37619047619035</v>
      </c>
      <c r="AI318">
        <f t="shared" si="41"/>
        <v>33.075082862334391</v>
      </c>
      <c r="AJ318">
        <f t="shared" si="42"/>
        <v>29.867876806764126</v>
      </c>
      <c r="AK318">
        <f t="shared" si="43"/>
        <v>31.484947817273717</v>
      </c>
      <c r="AL318">
        <f t="shared" si="44"/>
        <v>30.986404185575108</v>
      </c>
      <c r="AM318">
        <f t="shared" si="45"/>
        <v>30.356833060930065</v>
      </c>
    </row>
    <row r="319" spans="1:39" x14ac:dyDescent="0.3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159.30000000000001</v>
      </c>
      <c r="V319">
        <v>169.9</v>
      </c>
      <c r="W319">
        <v>154.80000000000001</v>
      </c>
      <c r="X319">
        <v>159.80000000000001</v>
      </c>
      <c r="Y319">
        <v>164.3</v>
      </c>
      <c r="Z319">
        <v>162.19999999999999</v>
      </c>
      <c r="AA319">
        <v>161.4</v>
      </c>
      <c r="AB319">
        <v>166.7</v>
      </c>
      <c r="AC319" s="10">
        <f t="shared" si="37"/>
        <v>170.5</v>
      </c>
      <c r="AD319">
        <f t="shared" si="39"/>
        <v>163.46666666666667</v>
      </c>
      <c r="AE319">
        <v>164.2</v>
      </c>
      <c r="AF319">
        <v>163.9</v>
      </c>
      <c r="AG319" s="1">
        <f t="shared" si="38"/>
        <v>161.7166666666667</v>
      </c>
      <c r="AH319" s="1">
        <f t="shared" si="40"/>
        <v>823.78333333333342</v>
      </c>
      <c r="AI319">
        <f t="shared" si="41"/>
        <v>32.69295738638958</v>
      </c>
      <c r="AJ319">
        <f t="shared" si="42"/>
        <v>31.344332946794623</v>
      </c>
      <c r="AK319">
        <f t="shared" si="43"/>
        <v>31.484947817273717</v>
      </c>
      <c r="AL319">
        <f t="shared" si="44"/>
        <v>31.427423552077727</v>
      </c>
      <c r="AM319">
        <f t="shared" si="45"/>
        <v>31.008774733151334</v>
      </c>
    </row>
    <row r="320" spans="1:39" x14ac:dyDescent="0.3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>
        <v>163.9</v>
      </c>
      <c r="V320">
        <v>174</v>
      </c>
      <c r="W320">
        <v>160.1</v>
      </c>
      <c r="X320">
        <v>164.5</v>
      </c>
      <c r="Y320">
        <v>169.7</v>
      </c>
      <c r="Z320">
        <v>162.80000000000001</v>
      </c>
      <c r="AA320">
        <v>166</v>
      </c>
      <c r="AB320">
        <v>167</v>
      </c>
      <c r="AC320" s="10">
        <f t="shared" si="37"/>
        <v>168.5</v>
      </c>
      <c r="AD320">
        <f t="shared" si="39"/>
        <v>170.1</v>
      </c>
      <c r="AE320">
        <v>163.4</v>
      </c>
      <c r="AF320">
        <v>165.6</v>
      </c>
      <c r="AG320" s="1">
        <f t="shared" si="38"/>
        <v>165.83333333333334</v>
      </c>
      <c r="AH320" s="1">
        <f t="shared" si="40"/>
        <v>833.43333333333339</v>
      </c>
      <c r="AI320">
        <f t="shared" si="41"/>
        <v>32.309462285082958</v>
      </c>
      <c r="AJ320">
        <f t="shared" si="42"/>
        <v>32.616258366128257</v>
      </c>
      <c r="AK320">
        <f t="shared" si="43"/>
        <v>31.331549776751071</v>
      </c>
      <c r="AL320">
        <f t="shared" si="44"/>
        <v>31.753394388188354</v>
      </c>
      <c r="AM320">
        <f t="shared" si="45"/>
        <v>31.798135483340793</v>
      </c>
    </row>
    <row r="321" spans="1:39" x14ac:dyDescent="0.3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156</v>
      </c>
      <c r="V321">
        <v>165.1</v>
      </c>
      <c r="W321">
        <v>151.80000000000001</v>
      </c>
      <c r="X321">
        <v>157.6</v>
      </c>
      <c r="Y321">
        <v>160.6</v>
      </c>
      <c r="Z321">
        <v>162.4</v>
      </c>
      <c r="AA321">
        <v>157.80000000000001</v>
      </c>
      <c r="AB321">
        <v>165.2</v>
      </c>
      <c r="AC321" s="10">
        <f t="shared" si="37"/>
        <v>171.65000000000003</v>
      </c>
      <c r="AD321">
        <f t="shared" si="39"/>
        <v>156.9</v>
      </c>
      <c r="AE321">
        <v>163.4</v>
      </c>
      <c r="AF321">
        <v>161.69999999999999</v>
      </c>
      <c r="AG321" s="1">
        <f t="shared" si="38"/>
        <v>158.91666666666666</v>
      </c>
      <c r="AH321" s="1">
        <f t="shared" si="40"/>
        <v>812.56666666666672</v>
      </c>
      <c r="AI321">
        <f t="shared" si="41"/>
        <v>32.913467069640895</v>
      </c>
      <c r="AJ321">
        <f t="shared" si="42"/>
        <v>30.085190697504551</v>
      </c>
      <c r="AK321">
        <f t="shared" si="43"/>
        <v>31.331549776751071</v>
      </c>
      <c r="AL321">
        <f t="shared" si="44"/>
        <v>31.005578940640437</v>
      </c>
      <c r="AM321">
        <f t="shared" si="45"/>
        <v>30.471881591322052</v>
      </c>
    </row>
    <row r="322" spans="1:39" x14ac:dyDescent="0.3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160.19999999999999</v>
      </c>
      <c r="V322">
        <v>170.6</v>
      </c>
      <c r="W322">
        <v>155.69999999999999</v>
      </c>
      <c r="X322">
        <v>160.6</v>
      </c>
      <c r="Y322">
        <v>164.4</v>
      </c>
      <c r="Z322">
        <v>162.6</v>
      </c>
      <c r="AA322">
        <v>162</v>
      </c>
      <c r="AB322">
        <v>166.2</v>
      </c>
      <c r="AC322" s="10">
        <f t="shared" ref="AC322:AC373" si="46">AVERAGE(D322:Q322)</f>
        <v>169.52142857142857</v>
      </c>
      <c r="AD322">
        <f t="shared" si="39"/>
        <v>164.73333333333332</v>
      </c>
      <c r="AE322">
        <v>163.4</v>
      </c>
      <c r="AF322">
        <v>164.1</v>
      </c>
      <c r="AG322" s="1">
        <f t="shared" ref="AG322:AG372" si="47">AVERAGE(U322:Z322)</f>
        <v>162.35</v>
      </c>
      <c r="AH322" s="1">
        <f t="shared" si="40"/>
        <v>824.10476190476197</v>
      </c>
      <c r="AI322">
        <f t="shared" si="41"/>
        <v>32.505318711821694</v>
      </c>
      <c r="AJ322">
        <f t="shared" si="42"/>
        <v>31.587213177622147</v>
      </c>
      <c r="AK322">
        <f t="shared" si="43"/>
        <v>31.331549776751071</v>
      </c>
      <c r="AL322">
        <f t="shared" si="44"/>
        <v>31.465773062208385</v>
      </c>
      <c r="AM322">
        <f t="shared" si="45"/>
        <v>31.130214848565092</v>
      </c>
    </row>
    <row r="323" spans="1:39" x14ac:dyDescent="0.3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>
        <v>164.9</v>
      </c>
      <c r="V323">
        <v>174.7</v>
      </c>
      <c r="W323">
        <v>160.80000000000001</v>
      </c>
      <c r="X323">
        <v>164.9</v>
      </c>
      <c r="Y323">
        <v>169.9</v>
      </c>
      <c r="Z323">
        <v>163.19999999999999</v>
      </c>
      <c r="AA323">
        <v>166.6</v>
      </c>
      <c r="AB323">
        <v>166.4</v>
      </c>
      <c r="AC323" s="10">
        <f t="shared" si="46"/>
        <v>167.40714285714284</v>
      </c>
      <c r="AD323">
        <f t="shared" ref="AD323:AD373" si="48">AVERAGE(R323:T323)</f>
        <v>171.73333333333335</v>
      </c>
      <c r="AE323">
        <v>164.5</v>
      </c>
      <c r="AF323">
        <v>165.8</v>
      </c>
      <c r="AG323" s="1">
        <f t="shared" si="47"/>
        <v>166.4</v>
      </c>
      <c r="AH323" s="1">
        <f t="shared" ref="AH323:AH373" si="49">SUM(AC323:AG323)</f>
        <v>835.84047619047612</v>
      </c>
      <c r="AI323">
        <f t="shared" ref="AI323:AI373" si="50">AC323/$AH$2*100</f>
        <v>32.099909604726122</v>
      </c>
      <c r="AJ323">
        <f t="shared" ref="AJ323:AJ373" si="51">AD323/$AH$2*100</f>
        <v>32.92944603219533</v>
      </c>
      <c r="AK323">
        <f t="shared" ref="AK323:AK373" si="52">AE323/$AH$2*100</f>
        <v>31.542472082469715</v>
      </c>
      <c r="AL323">
        <f t="shared" ref="AL323:AL373" si="53">AF323/$AH$2*100</f>
        <v>31.791743898319019</v>
      </c>
      <c r="AM323">
        <f t="shared" ref="AM323:AM373" si="54">AG323/$AH$2*100</f>
        <v>31.906792428711007</v>
      </c>
    </row>
    <row r="324" spans="1:39" x14ac:dyDescent="0.3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156.80000000000001</v>
      </c>
      <c r="V324">
        <v>166.1</v>
      </c>
      <c r="W324">
        <v>152.69999999999999</v>
      </c>
      <c r="X324">
        <v>158.4</v>
      </c>
      <c r="Y324">
        <v>161</v>
      </c>
      <c r="Z324">
        <v>162.80000000000001</v>
      </c>
      <c r="AA324">
        <v>158.6</v>
      </c>
      <c r="AB324">
        <v>165</v>
      </c>
      <c r="AC324" s="10">
        <f t="shared" si="46"/>
        <v>170.22142857142856</v>
      </c>
      <c r="AD324">
        <f t="shared" si="48"/>
        <v>158.46666666666667</v>
      </c>
      <c r="AE324">
        <v>164.5</v>
      </c>
      <c r="AF324">
        <v>161.6</v>
      </c>
      <c r="AG324" s="1">
        <f t="shared" si="47"/>
        <v>159.63333333333333</v>
      </c>
      <c r="AH324" s="1">
        <f t="shared" si="49"/>
        <v>814.42142857142858</v>
      </c>
      <c r="AI324">
        <f t="shared" si="50"/>
        <v>32.639541997279018</v>
      </c>
      <c r="AJ324">
        <f t="shared" si="51"/>
        <v>30.385595193528065</v>
      </c>
      <c r="AK324">
        <f t="shared" si="52"/>
        <v>31.542472082469715</v>
      </c>
      <c r="AL324">
        <f t="shared" si="53"/>
        <v>30.986404185575108</v>
      </c>
      <c r="AM324">
        <f t="shared" si="54"/>
        <v>30.609300669290263</v>
      </c>
    </row>
    <row r="325" spans="1:39" x14ac:dyDescent="0.3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161.1</v>
      </c>
      <c r="V325">
        <v>171.4</v>
      </c>
      <c r="W325">
        <v>156.5</v>
      </c>
      <c r="X325">
        <v>161.19999999999999</v>
      </c>
      <c r="Y325">
        <v>164.7</v>
      </c>
      <c r="Z325">
        <v>163</v>
      </c>
      <c r="AA325">
        <v>162.69999999999999</v>
      </c>
      <c r="AB325">
        <v>165.7</v>
      </c>
      <c r="AC325" s="10">
        <f t="shared" si="46"/>
        <v>168.31428571428569</v>
      </c>
      <c r="AD325">
        <f t="shared" si="48"/>
        <v>166.36666666666667</v>
      </c>
      <c r="AE325">
        <v>164.5</v>
      </c>
      <c r="AF325">
        <v>164.2</v>
      </c>
      <c r="AG325" s="1">
        <f t="shared" si="47"/>
        <v>162.98333333333335</v>
      </c>
      <c r="AH325" s="1">
        <f t="shared" si="49"/>
        <v>826.36428571428564</v>
      </c>
      <c r="AI325">
        <f t="shared" si="50"/>
        <v>32.273852025675907</v>
      </c>
      <c r="AJ325">
        <f t="shared" si="51"/>
        <v>31.900400843689226</v>
      </c>
      <c r="AK325">
        <f t="shared" si="52"/>
        <v>31.542472082469715</v>
      </c>
      <c r="AL325">
        <f t="shared" si="53"/>
        <v>31.484947817273717</v>
      </c>
      <c r="AM325">
        <f t="shared" si="54"/>
        <v>31.251654963978858</v>
      </c>
    </row>
    <row r="326" spans="1:39" x14ac:dyDescent="0.3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>
        <v>165.7</v>
      </c>
      <c r="V326">
        <v>175.3</v>
      </c>
      <c r="W326">
        <v>161.19999999999999</v>
      </c>
      <c r="X326">
        <v>165.5</v>
      </c>
      <c r="Y326">
        <v>170.3</v>
      </c>
      <c r="Z326">
        <v>164.5</v>
      </c>
      <c r="AA326">
        <v>167.3</v>
      </c>
      <c r="AB326">
        <v>166.7</v>
      </c>
      <c r="AC326" s="10">
        <f t="shared" si="46"/>
        <v>167.27857142857144</v>
      </c>
      <c r="AD326">
        <f t="shared" si="48"/>
        <v>172.93333333333331</v>
      </c>
      <c r="AE326">
        <v>165.5</v>
      </c>
      <c r="AF326">
        <v>167.4</v>
      </c>
      <c r="AG326" s="1">
        <f t="shared" si="47"/>
        <v>167.08333333333334</v>
      </c>
      <c r="AH326" s="1">
        <f t="shared" si="49"/>
        <v>840.1952380952381</v>
      </c>
      <c r="AI326">
        <f t="shared" si="50"/>
        <v>32.075256348213557</v>
      </c>
      <c r="AJ326">
        <f t="shared" si="51"/>
        <v>33.159543092979298</v>
      </c>
      <c r="AK326">
        <f t="shared" si="52"/>
        <v>31.734219633123022</v>
      </c>
      <c r="AL326">
        <f t="shared" si="53"/>
        <v>32.098539979364318</v>
      </c>
      <c r="AM326">
        <f t="shared" si="54"/>
        <v>32.037819921657437</v>
      </c>
    </row>
    <row r="327" spans="1:39" x14ac:dyDescent="0.3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157.4</v>
      </c>
      <c r="V327">
        <v>167.2</v>
      </c>
      <c r="W327">
        <v>153.1</v>
      </c>
      <c r="X327">
        <v>159.5</v>
      </c>
      <c r="Y327">
        <v>162</v>
      </c>
      <c r="Z327">
        <v>164.2</v>
      </c>
      <c r="AA327">
        <v>159.4</v>
      </c>
      <c r="AB327">
        <v>165.5</v>
      </c>
      <c r="AC327" s="10">
        <f t="shared" si="46"/>
        <v>170</v>
      </c>
      <c r="AD327">
        <f t="shared" si="48"/>
        <v>159.83333333333334</v>
      </c>
      <c r="AE327">
        <v>165.5</v>
      </c>
      <c r="AF327">
        <v>163</v>
      </c>
      <c r="AG327" s="1">
        <f t="shared" si="47"/>
        <v>160.56666666666669</v>
      </c>
      <c r="AH327" s="1">
        <f t="shared" si="49"/>
        <v>818.90000000000009</v>
      </c>
      <c r="AI327">
        <f t="shared" si="50"/>
        <v>32.597083611062921</v>
      </c>
      <c r="AJ327">
        <f t="shared" si="51"/>
        <v>30.647650179420928</v>
      </c>
      <c r="AK327">
        <f t="shared" si="52"/>
        <v>31.734219633123022</v>
      </c>
      <c r="AL327">
        <f t="shared" si="53"/>
        <v>31.254850756489745</v>
      </c>
      <c r="AM327">
        <f t="shared" si="54"/>
        <v>30.788265049900026</v>
      </c>
    </row>
    <row r="328" spans="1:39" x14ac:dyDescent="0.3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161.80000000000001</v>
      </c>
      <c r="V328">
        <v>172.2</v>
      </c>
      <c r="W328">
        <v>156.9</v>
      </c>
      <c r="X328">
        <v>162.1</v>
      </c>
      <c r="Y328">
        <v>165.4</v>
      </c>
      <c r="Z328">
        <v>164.4</v>
      </c>
      <c r="AA328">
        <v>163.5</v>
      </c>
      <c r="AB328">
        <v>166.1</v>
      </c>
      <c r="AC328" s="10">
        <f t="shared" si="46"/>
        <v>168.14285714285717</v>
      </c>
      <c r="AD328">
        <f t="shared" si="48"/>
        <v>167.60000000000002</v>
      </c>
      <c r="AE328">
        <v>165.5</v>
      </c>
      <c r="AF328">
        <v>165.7</v>
      </c>
      <c r="AG328" s="1">
        <f t="shared" si="47"/>
        <v>163.79999999999998</v>
      </c>
      <c r="AH328" s="1">
        <f t="shared" si="49"/>
        <v>830.74285714285713</v>
      </c>
      <c r="AI328">
        <f t="shared" si="50"/>
        <v>32.240981016992492</v>
      </c>
      <c r="AJ328">
        <f t="shared" si="51"/>
        <v>32.136889489494976</v>
      </c>
      <c r="AK328">
        <f t="shared" si="52"/>
        <v>31.734219633123022</v>
      </c>
      <c r="AL328">
        <f t="shared" si="53"/>
        <v>31.772569143253683</v>
      </c>
      <c r="AM328">
        <f t="shared" si="54"/>
        <v>31.408248797012391</v>
      </c>
    </row>
    <row r="329" spans="1:39" x14ac:dyDescent="0.3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>
        <v>166.5</v>
      </c>
      <c r="V329">
        <v>176</v>
      </c>
      <c r="W329">
        <v>162</v>
      </c>
      <c r="X329">
        <v>166.6</v>
      </c>
      <c r="Y329">
        <v>170.6</v>
      </c>
      <c r="Z329">
        <v>167.4</v>
      </c>
      <c r="AA329">
        <v>168.3</v>
      </c>
      <c r="AB329">
        <v>168.7</v>
      </c>
      <c r="AC329" s="10">
        <f t="shared" si="46"/>
        <v>169.38571428571433</v>
      </c>
      <c r="AD329">
        <f t="shared" si="48"/>
        <v>174.56666666666669</v>
      </c>
      <c r="AE329">
        <v>165.3</v>
      </c>
      <c r="AF329">
        <v>168.9</v>
      </c>
      <c r="AG329" s="1">
        <f t="shared" si="47"/>
        <v>168.18333333333334</v>
      </c>
      <c r="AH329" s="1">
        <f t="shared" si="49"/>
        <v>846.3357142857144</v>
      </c>
      <c r="AI329">
        <f t="shared" si="50"/>
        <v>32.479295829947326</v>
      </c>
      <c r="AJ329">
        <f t="shared" si="51"/>
        <v>33.472730759046385</v>
      </c>
      <c r="AK329">
        <f t="shared" si="52"/>
        <v>31.695870122992364</v>
      </c>
      <c r="AL329">
        <f t="shared" si="53"/>
        <v>32.386161305344281</v>
      </c>
      <c r="AM329">
        <f t="shared" si="54"/>
        <v>32.248742227376077</v>
      </c>
    </row>
    <row r="330" spans="1:39" x14ac:dyDescent="0.3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158.6</v>
      </c>
      <c r="V330">
        <v>168.2</v>
      </c>
      <c r="W330">
        <v>154.19999999999999</v>
      </c>
      <c r="X330">
        <v>160.80000000000001</v>
      </c>
      <c r="Y330">
        <v>162.69999999999999</v>
      </c>
      <c r="Z330">
        <v>166.8</v>
      </c>
      <c r="AA330">
        <v>160.6</v>
      </c>
      <c r="AB330">
        <v>166.5</v>
      </c>
      <c r="AC330" s="10">
        <f t="shared" si="46"/>
        <v>170.98571428571429</v>
      </c>
      <c r="AD330">
        <f t="shared" si="48"/>
        <v>161.53333333333333</v>
      </c>
      <c r="AE330">
        <v>165.3</v>
      </c>
      <c r="AF330">
        <v>164.5</v>
      </c>
      <c r="AG330" s="1">
        <f t="shared" si="47"/>
        <v>161.88333333333333</v>
      </c>
      <c r="AH330" s="1">
        <f t="shared" si="49"/>
        <v>824.20238095238096</v>
      </c>
      <c r="AI330">
        <f t="shared" si="50"/>
        <v>32.786091910992624</v>
      </c>
      <c r="AJ330">
        <f t="shared" si="51"/>
        <v>30.973621015531556</v>
      </c>
      <c r="AK330">
        <f t="shared" si="52"/>
        <v>31.695870122992364</v>
      </c>
      <c r="AL330">
        <f t="shared" si="53"/>
        <v>31.542472082469715</v>
      </c>
      <c r="AM330">
        <f t="shared" si="54"/>
        <v>31.040732658260211</v>
      </c>
    </row>
    <row r="331" spans="1:39" x14ac:dyDescent="0.3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162.80000000000001</v>
      </c>
      <c r="V331">
        <v>173</v>
      </c>
      <c r="W331">
        <v>157.9</v>
      </c>
      <c r="X331">
        <v>163.30000000000001</v>
      </c>
      <c r="Y331">
        <v>166</v>
      </c>
      <c r="Z331">
        <v>167.2</v>
      </c>
      <c r="AA331">
        <v>164.6</v>
      </c>
      <c r="AB331">
        <v>167.7</v>
      </c>
      <c r="AC331" s="10">
        <f t="shared" si="46"/>
        <v>169.85</v>
      </c>
      <c r="AD331">
        <f t="shared" si="48"/>
        <v>169.26666666666665</v>
      </c>
      <c r="AE331">
        <v>165.3</v>
      </c>
      <c r="AF331">
        <v>167.2</v>
      </c>
      <c r="AG331" s="1">
        <f t="shared" si="47"/>
        <v>165.03333333333333</v>
      </c>
      <c r="AH331" s="1">
        <f t="shared" si="49"/>
        <v>836.65</v>
      </c>
      <c r="AI331">
        <f t="shared" si="50"/>
        <v>32.568321478464924</v>
      </c>
      <c r="AJ331">
        <f t="shared" si="51"/>
        <v>32.45646874058383</v>
      </c>
      <c r="AK331">
        <f t="shared" si="52"/>
        <v>31.695870122992364</v>
      </c>
      <c r="AL331">
        <f t="shared" si="53"/>
        <v>32.060190469233653</v>
      </c>
      <c r="AM331">
        <f t="shared" si="54"/>
        <v>31.644737442818144</v>
      </c>
    </row>
    <row r="332" spans="1:39" x14ac:dyDescent="0.3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>
        <v>167.7</v>
      </c>
      <c r="V332">
        <v>177</v>
      </c>
      <c r="W332">
        <v>166.2</v>
      </c>
      <c r="X332">
        <v>167.2</v>
      </c>
      <c r="Y332">
        <v>170.9</v>
      </c>
      <c r="Z332">
        <v>169</v>
      </c>
      <c r="AA332">
        <v>170.2</v>
      </c>
      <c r="AB332">
        <v>170.8</v>
      </c>
      <c r="AC332" s="10">
        <f t="shared" si="46"/>
        <v>171.3857142857143</v>
      </c>
      <c r="AD332">
        <f t="shared" si="48"/>
        <v>176.56666666666669</v>
      </c>
      <c r="AE332">
        <v>167</v>
      </c>
      <c r="AF332">
        <v>173.3</v>
      </c>
      <c r="AG332" s="1">
        <f t="shared" si="47"/>
        <v>169.66666666666666</v>
      </c>
      <c r="AH332" s="1">
        <f t="shared" si="49"/>
        <v>857.91904761904755</v>
      </c>
      <c r="AI332">
        <f t="shared" si="50"/>
        <v>32.86279093125394</v>
      </c>
      <c r="AJ332">
        <f t="shared" si="51"/>
        <v>33.856225860353007</v>
      </c>
      <c r="AK332">
        <f t="shared" si="52"/>
        <v>32.021840959102988</v>
      </c>
      <c r="AL332">
        <f t="shared" si="53"/>
        <v>33.229850528218854</v>
      </c>
      <c r="AM332">
        <f t="shared" si="54"/>
        <v>32.533167760845153</v>
      </c>
    </row>
    <row r="333" spans="1:39" x14ac:dyDescent="0.3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159.80000000000001</v>
      </c>
      <c r="V333">
        <v>169</v>
      </c>
      <c r="W333">
        <v>159.30000000000001</v>
      </c>
      <c r="X333">
        <v>162.19999999999999</v>
      </c>
      <c r="Y333">
        <v>164</v>
      </c>
      <c r="Z333">
        <v>168.4</v>
      </c>
      <c r="AA333">
        <v>163.1</v>
      </c>
      <c r="AB333">
        <v>169.2</v>
      </c>
      <c r="AC333" s="10">
        <f t="shared" si="46"/>
        <v>173.39285714285714</v>
      </c>
      <c r="AD333">
        <f t="shared" si="48"/>
        <v>163.06666666666666</v>
      </c>
      <c r="AE333">
        <v>167</v>
      </c>
      <c r="AF333">
        <v>170.5</v>
      </c>
      <c r="AG333" s="1">
        <f t="shared" si="47"/>
        <v>163.78333333333333</v>
      </c>
      <c r="AH333" s="1">
        <f t="shared" si="49"/>
        <v>837.74285714285713</v>
      </c>
      <c r="AI333">
        <f t="shared" si="50"/>
        <v>33.247655657922373</v>
      </c>
      <c r="AJ333">
        <f t="shared" si="51"/>
        <v>31.2676339265333</v>
      </c>
      <c r="AK333">
        <f t="shared" si="52"/>
        <v>32.021840959102988</v>
      </c>
      <c r="AL333">
        <f t="shared" si="53"/>
        <v>32.69295738638958</v>
      </c>
      <c r="AM333">
        <f t="shared" si="54"/>
        <v>31.405053004501504</v>
      </c>
    </row>
    <row r="334" spans="1:39" x14ac:dyDescent="0.3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164</v>
      </c>
      <c r="V334">
        <v>174</v>
      </c>
      <c r="W334">
        <v>162.6</v>
      </c>
      <c r="X334">
        <v>164.4</v>
      </c>
      <c r="Y334">
        <v>166.9</v>
      </c>
      <c r="Z334">
        <v>168.8</v>
      </c>
      <c r="AA334">
        <v>166.8</v>
      </c>
      <c r="AB334">
        <v>170.1</v>
      </c>
      <c r="AC334" s="10">
        <f t="shared" si="46"/>
        <v>172.01428571428573</v>
      </c>
      <c r="AD334">
        <f t="shared" si="48"/>
        <v>171.06666666666669</v>
      </c>
      <c r="AE334">
        <v>167</v>
      </c>
      <c r="AF334">
        <v>172.2</v>
      </c>
      <c r="AG334" s="1">
        <f t="shared" si="47"/>
        <v>166.78333333333333</v>
      </c>
      <c r="AH334" s="1">
        <f t="shared" si="49"/>
        <v>849.06428571428569</v>
      </c>
      <c r="AI334">
        <f t="shared" si="50"/>
        <v>32.983317963093164</v>
      </c>
      <c r="AJ334">
        <f t="shared" si="51"/>
        <v>32.801614331759794</v>
      </c>
      <c r="AK334">
        <f t="shared" si="52"/>
        <v>32.021840959102988</v>
      </c>
      <c r="AL334">
        <f t="shared" si="53"/>
        <v>33.018928222500207</v>
      </c>
      <c r="AM334">
        <f t="shared" si="54"/>
        <v>31.98029565646144</v>
      </c>
    </row>
    <row r="335" spans="1:39" x14ac:dyDescent="0.3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>
        <v>168.9</v>
      </c>
      <c r="V335">
        <v>177.7</v>
      </c>
      <c r="W335">
        <v>167.1</v>
      </c>
      <c r="X335">
        <v>167.6</v>
      </c>
      <c r="Y335">
        <v>171.8</v>
      </c>
      <c r="Z335">
        <v>168.5</v>
      </c>
      <c r="AA335">
        <v>170.9</v>
      </c>
      <c r="AB335">
        <v>172.5</v>
      </c>
      <c r="AC335" s="10">
        <f t="shared" si="46"/>
        <v>172.83571428571432</v>
      </c>
      <c r="AD335">
        <f t="shared" si="48"/>
        <v>178.5</v>
      </c>
      <c r="AE335">
        <v>167.5</v>
      </c>
      <c r="AF335">
        <v>175.3</v>
      </c>
      <c r="AG335" s="1">
        <f t="shared" si="47"/>
        <v>170.26666666666668</v>
      </c>
      <c r="AH335" s="1">
        <f t="shared" si="49"/>
        <v>864.40238095238101</v>
      </c>
      <c r="AI335">
        <f t="shared" si="50"/>
        <v>33.140824879701249</v>
      </c>
      <c r="AJ335">
        <f t="shared" si="51"/>
        <v>34.226937791616066</v>
      </c>
      <c r="AK335">
        <f t="shared" si="52"/>
        <v>32.117714734429647</v>
      </c>
      <c r="AL335">
        <f t="shared" si="53"/>
        <v>33.613345629525476</v>
      </c>
      <c r="AM335">
        <f t="shared" si="54"/>
        <v>32.648216291237141</v>
      </c>
    </row>
    <row r="336" spans="1:39" x14ac:dyDescent="0.3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161.1</v>
      </c>
      <c r="V336">
        <v>170.1</v>
      </c>
      <c r="W336">
        <v>159.4</v>
      </c>
      <c r="X336">
        <v>163.19999999999999</v>
      </c>
      <c r="Y336">
        <v>165.2</v>
      </c>
      <c r="Z336">
        <v>168.2</v>
      </c>
      <c r="AA336">
        <v>163.80000000000001</v>
      </c>
      <c r="AB336">
        <v>170.8</v>
      </c>
      <c r="AC336" s="10">
        <f t="shared" si="46"/>
        <v>175.69285714285715</v>
      </c>
      <c r="AD336">
        <f t="shared" si="48"/>
        <v>164.56666666666666</v>
      </c>
      <c r="AE336">
        <v>167.5</v>
      </c>
      <c r="AF336">
        <v>173.5</v>
      </c>
      <c r="AG336" s="1">
        <f t="shared" si="47"/>
        <v>164.53333333333333</v>
      </c>
      <c r="AH336" s="1">
        <f t="shared" si="49"/>
        <v>845.79285714285709</v>
      </c>
      <c r="AI336">
        <f t="shared" si="50"/>
        <v>33.688675024424988</v>
      </c>
      <c r="AJ336">
        <f t="shared" si="51"/>
        <v>31.555255252513266</v>
      </c>
      <c r="AK336">
        <f t="shared" si="52"/>
        <v>32.117714734429647</v>
      </c>
      <c r="AL336">
        <f t="shared" si="53"/>
        <v>33.268200038349519</v>
      </c>
      <c r="AM336">
        <f t="shared" si="54"/>
        <v>31.548863667491489</v>
      </c>
    </row>
    <row r="337" spans="1:39" x14ac:dyDescent="0.3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165.2</v>
      </c>
      <c r="V337">
        <v>174.8</v>
      </c>
      <c r="W337">
        <v>163</v>
      </c>
      <c r="X337">
        <v>165.1</v>
      </c>
      <c r="Y337">
        <v>167.9</v>
      </c>
      <c r="Z337">
        <v>168.4</v>
      </c>
      <c r="AA337">
        <v>167.5</v>
      </c>
      <c r="AB337">
        <v>171.7</v>
      </c>
      <c r="AC337" s="10">
        <f t="shared" si="46"/>
        <v>173.78571428571431</v>
      </c>
      <c r="AD337">
        <f t="shared" si="48"/>
        <v>172.86666666666667</v>
      </c>
      <c r="AE337">
        <v>167.5</v>
      </c>
      <c r="AF337">
        <v>174.6</v>
      </c>
      <c r="AG337" s="1">
        <f t="shared" si="47"/>
        <v>167.4</v>
      </c>
      <c r="AH337" s="1">
        <f t="shared" si="49"/>
        <v>856.15238095238101</v>
      </c>
      <c r="AI337">
        <f t="shared" si="50"/>
        <v>33.322985052821892</v>
      </c>
      <c r="AJ337">
        <f t="shared" si="51"/>
        <v>33.14675992293575</v>
      </c>
      <c r="AK337">
        <f t="shared" si="52"/>
        <v>32.117714734429647</v>
      </c>
      <c r="AL337">
        <f t="shared" si="53"/>
        <v>33.479122344068159</v>
      </c>
      <c r="AM337">
        <f t="shared" si="54"/>
        <v>32.098539979364318</v>
      </c>
    </row>
    <row r="338" spans="1:39" x14ac:dyDescent="0.3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>
        <v>170.3</v>
      </c>
      <c r="V338">
        <v>178.2</v>
      </c>
      <c r="W338">
        <v>165.5</v>
      </c>
      <c r="X338">
        <v>168</v>
      </c>
      <c r="Y338">
        <v>172.6</v>
      </c>
      <c r="Z338">
        <v>169.5</v>
      </c>
      <c r="AA338">
        <v>171</v>
      </c>
      <c r="AB338">
        <v>173.6</v>
      </c>
      <c r="AC338" s="10">
        <f t="shared" si="46"/>
        <v>174.37142857142859</v>
      </c>
      <c r="AD338">
        <f t="shared" si="48"/>
        <v>179.93333333333331</v>
      </c>
      <c r="AE338">
        <v>166.8</v>
      </c>
      <c r="AF338">
        <v>176.7</v>
      </c>
      <c r="AG338" s="1">
        <f t="shared" si="47"/>
        <v>170.68333333333331</v>
      </c>
      <c r="AH338" s="1">
        <f t="shared" si="49"/>
        <v>868.4880952380953</v>
      </c>
      <c r="AI338">
        <f t="shared" si="50"/>
        <v>33.435294332490258</v>
      </c>
      <c r="AJ338">
        <f t="shared" si="51"/>
        <v>34.501775947552474</v>
      </c>
      <c r="AK338">
        <f t="shared" si="52"/>
        <v>31.98349144897233</v>
      </c>
      <c r="AL338">
        <f t="shared" si="53"/>
        <v>33.88179220044011</v>
      </c>
      <c r="AM338">
        <f t="shared" si="54"/>
        <v>32.728111104009351</v>
      </c>
    </row>
    <row r="339" spans="1:39" x14ac:dyDescent="0.3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162.1</v>
      </c>
      <c r="V339">
        <v>170.9</v>
      </c>
      <c r="W339">
        <v>157.19999999999999</v>
      </c>
      <c r="X339">
        <v>164.1</v>
      </c>
      <c r="Y339">
        <v>166.5</v>
      </c>
      <c r="Z339">
        <v>169.2</v>
      </c>
      <c r="AA339">
        <v>163.80000000000001</v>
      </c>
      <c r="AB339">
        <v>171.4</v>
      </c>
      <c r="AC339" s="10">
        <f t="shared" si="46"/>
        <v>177.55714285714288</v>
      </c>
      <c r="AD339">
        <f t="shared" si="48"/>
        <v>166.13333333333333</v>
      </c>
      <c r="AE339">
        <v>166.8</v>
      </c>
      <c r="AF339">
        <v>174.9</v>
      </c>
      <c r="AG339" s="1">
        <f t="shared" si="47"/>
        <v>165</v>
      </c>
      <c r="AH339" s="1">
        <f t="shared" si="49"/>
        <v>850.39047619047619</v>
      </c>
      <c r="AI339">
        <f t="shared" si="50"/>
        <v>34.046147243857241</v>
      </c>
      <c r="AJ339">
        <f t="shared" si="51"/>
        <v>31.855659748536784</v>
      </c>
      <c r="AK339">
        <f t="shared" si="52"/>
        <v>31.98349144897233</v>
      </c>
      <c r="AL339">
        <f t="shared" si="53"/>
        <v>33.536646609264146</v>
      </c>
      <c r="AM339">
        <f t="shared" si="54"/>
        <v>31.638345857796367</v>
      </c>
    </row>
    <row r="340" spans="1:39" x14ac:dyDescent="0.3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166.4</v>
      </c>
      <c r="V340">
        <v>175.4</v>
      </c>
      <c r="W340">
        <v>161.1</v>
      </c>
      <c r="X340">
        <v>165.8</v>
      </c>
      <c r="Y340">
        <v>169</v>
      </c>
      <c r="Z340">
        <v>169.4</v>
      </c>
      <c r="AA340">
        <v>167.5</v>
      </c>
      <c r="AB340">
        <v>172.6</v>
      </c>
      <c r="AC340" s="10">
        <f t="shared" si="46"/>
        <v>175.44285714285715</v>
      </c>
      <c r="AD340">
        <f t="shared" si="48"/>
        <v>174.33333333333334</v>
      </c>
      <c r="AE340">
        <v>166.8</v>
      </c>
      <c r="AF340">
        <v>176</v>
      </c>
      <c r="AG340" s="1">
        <f t="shared" si="47"/>
        <v>167.85</v>
      </c>
      <c r="AH340" s="1">
        <f t="shared" si="49"/>
        <v>860.42619047619053</v>
      </c>
      <c r="AI340">
        <f t="shared" si="50"/>
        <v>33.640738136761662</v>
      </c>
      <c r="AJ340">
        <f t="shared" si="51"/>
        <v>33.427989663893939</v>
      </c>
      <c r="AK340">
        <f t="shared" si="52"/>
        <v>31.98349144897233</v>
      </c>
      <c r="AL340">
        <f t="shared" si="53"/>
        <v>33.747568914982793</v>
      </c>
      <c r="AM340">
        <f t="shared" si="54"/>
        <v>32.184826377158302</v>
      </c>
    </row>
    <row r="341" spans="1:39" x14ac:dyDescent="0.3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>
        <v>171.3</v>
      </c>
      <c r="V341">
        <v>178.8</v>
      </c>
      <c r="W341">
        <v>166.3</v>
      </c>
      <c r="X341">
        <v>168.6</v>
      </c>
      <c r="Y341">
        <v>174.7</v>
      </c>
      <c r="Z341">
        <v>169.7</v>
      </c>
      <c r="AA341">
        <v>171.8</v>
      </c>
      <c r="AB341">
        <v>174.3</v>
      </c>
      <c r="AC341" s="10">
        <f t="shared" si="46"/>
        <v>174.69285714285712</v>
      </c>
      <c r="AD341">
        <f t="shared" si="48"/>
        <v>181.33333333333334</v>
      </c>
      <c r="AE341">
        <v>167.8</v>
      </c>
      <c r="AF341">
        <v>179.6</v>
      </c>
      <c r="AG341" s="1">
        <f t="shared" si="47"/>
        <v>171.56666666666669</v>
      </c>
      <c r="AH341" s="1">
        <f t="shared" si="49"/>
        <v>874.99285714285725</v>
      </c>
      <c r="AI341">
        <f t="shared" si="50"/>
        <v>33.496927473771677</v>
      </c>
      <c r="AJ341">
        <f t="shared" si="51"/>
        <v>34.770222518467122</v>
      </c>
      <c r="AK341">
        <f t="shared" si="52"/>
        <v>32.175238999625641</v>
      </c>
      <c r="AL341">
        <f t="shared" si="53"/>
        <v>34.437860097334713</v>
      </c>
      <c r="AM341">
        <f t="shared" si="54"/>
        <v>32.897488107086446</v>
      </c>
    </row>
    <row r="342" spans="1:39" x14ac:dyDescent="0.3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163.1</v>
      </c>
      <c r="V342">
        <v>171.7</v>
      </c>
      <c r="W342">
        <v>157.4</v>
      </c>
      <c r="X342">
        <v>164.6</v>
      </c>
      <c r="Y342">
        <v>169.1</v>
      </c>
      <c r="Z342">
        <v>169.8</v>
      </c>
      <c r="AA342">
        <v>164.7</v>
      </c>
      <c r="AB342">
        <v>172.3</v>
      </c>
      <c r="AC342" s="10">
        <f t="shared" si="46"/>
        <v>177.87142857142857</v>
      </c>
      <c r="AD342">
        <f t="shared" si="48"/>
        <v>167.33333333333334</v>
      </c>
      <c r="AE342">
        <v>167.8</v>
      </c>
      <c r="AF342">
        <v>179.5</v>
      </c>
      <c r="AG342" s="1">
        <f t="shared" si="47"/>
        <v>165.95000000000002</v>
      </c>
      <c r="AH342" s="1">
        <f t="shared" si="49"/>
        <v>858.45476190476188</v>
      </c>
      <c r="AI342">
        <f t="shared" si="50"/>
        <v>34.106410759776843</v>
      </c>
      <c r="AJ342">
        <f t="shared" si="51"/>
        <v>32.085756809320763</v>
      </c>
      <c r="AK342">
        <f t="shared" si="52"/>
        <v>32.175238999625641</v>
      </c>
      <c r="AL342">
        <f t="shared" si="53"/>
        <v>34.418685342269384</v>
      </c>
      <c r="AM342">
        <f t="shared" si="54"/>
        <v>31.820506030917016</v>
      </c>
    </row>
    <row r="343" spans="1:39" x14ac:dyDescent="0.3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167.4</v>
      </c>
      <c r="V343">
        <v>176.1</v>
      </c>
      <c r="W343">
        <v>161.6</v>
      </c>
      <c r="X343">
        <v>166.3</v>
      </c>
      <c r="Y343">
        <v>171.4</v>
      </c>
      <c r="Z343">
        <v>169.7</v>
      </c>
      <c r="AA343">
        <v>168.4</v>
      </c>
      <c r="AB343">
        <v>173.4</v>
      </c>
      <c r="AC343" s="10">
        <f t="shared" si="46"/>
        <v>175.77857142857144</v>
      </c>
      <c r="AD343">
        <f t="shared" si="48"/>
        <v>175.63333333333335</v>
      </c>
      <c r="AE343">
        <v>167.8</v>
      </c>
      <c r="AF343">
        <v>179.6</v>
      </c>
      <c r="AG343" s="1">
        <f t="shared" si="47"/>
        <v>168.75</v>
      </c>
      <c r="AH343" s="1">
        <f t="shared" si="49"/>
        <v>867.56190476190488</v>
      </c>
      <c r="AI343">
        <f t="shared" si="50"/>
        <v>33.705110528766703</v>
      </c>
      <c r="AJ343">
        <f t="shared" si="51"/>
        <v>33.677261479743251</v>
      </c>
      <c r="AK343">
        <f t="shared" si="52"/>
        <v>32.175238999625641</v>
      </c>
      <c r="AL343">
        <f t="shared" si="53"/>
        <v>34.437860097334713</v>
      </c>
      <c r="AM343">
        <f t="shared" si="54"/>
        <v>32.357399172746284</v>
      </c>
    </row>
    <row r="344" spans="1:39" x14ac:dyDescent="0.3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>
        <v>172.3</v>
      </c>
      <c r="V344">
        <v>179.4</v>
      </c>
      <c r="W344">
        <v>166.6</v>
      </c>
      <c r="X344">
        <v>169.3</v>
      </c>
      <c r="Y344">
        <v>175.7</v>
      </c>
      <c r="Z344">
        <v>171.1</v>
      </c>
      <c r="AA344">
        <v>172.6</v>
      </c>
      <c r="AB344">
        <v>175.3</v>
      </c>
      <c r="AC344" s="10">
        <f t="shared" si="46"/>
        <v>174.96428571428569</v>
      </c>
      <c r="AD344">
        <f t="shared" si="48"/>
        <v>182.63333333333333</v>
      </c>
      <c r="AE344">
        <v>169</v>
      </c>
      <c r="AF344">
        <v>179.1</v>
      </c>
      <c r="AG344" s="1">
        <f t="shared" si="47"/>
        <v>172.4</v>
      </c>
      <c r="AH344" s="1">
        <f t="shared" si="49"/>
        <v>878.09761904761899</v>
      </c>
      <c r="AI344">
        <f t="shared" si="50"/>
        <v>33.548973237520428</v>
      </c>
      <c r="AJ344">
        <f t="shared" si="51"/>
        <v>35.01949433431642</v>
      </c>
      <c r="AK344">
        <f t="shared" si="52"/>
        <v>32.40533606040961</v>
      </c>
      <c r="AL344">
        <f t="shared" si="53"/>
        <v>34.341986322008054</v>
      </c>
      <c r="AM344">
        <f t="shared" si="54"/>
        <v>33.057277732630872</v>
      </c>
    </row>
    <row r="345" spans="1:39" x14ac:dyDescent="0.3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164.2</v>
      </c>
      <c r="V345">
        <v>172.6</v>
      </c>
      <c r="W345">
        <v>157.69999999999999</v>
      </c>
      <c r="X345">
        <v>165.1</v>
      </c>
      <c r="Y345">
        <v>169.9</v>
      </c>
      <c r="Z345">
        <v>171.4</v>
      </c>
      <c r="AA345">
        <v>165.4</v>
      </c>
      <c r="AB345">
        <v>173.1</v>
      </c>
      <c r="AC345" s="10">
        <f t="shared" si="46"/>
        <v>178.02857142857141</v>
      </c>
      <c r="AD345">
        <f t="shared" si="48"/>
        <v>168.43333333333331</v>
      </c>
      <c r="AE345">
        <v>169</v>
      </c>
      <c r="AF345">
        <v>178.4</v>
      </c>
      <c r="AG345" s="1">
        <f t="shared" si="47"/>
        <v>166.81666666666663</v>
      </c>
      <c r="AH345" s="1">
        <f t="shared" si="49"/>
        <v>860.67857142857133</v>
      </c>
      <c r="AI345">
        <f t="shared" si="50"/>
        <v>34.136542517736643</v>
      </c>
      <c r="AJ345">
        <f t="shared" si="51"/>
        <v>32.296679115039403</v>
      </c>
      <c r="AK345">
        <f t="shared" si="52"/>
        <v>32.40533606040961</v>
      </c>
      <c r="AL345">
        <f t="shared" si="53"/>
        <v>34.207763036550745</v>
      </c>
      <c r="AM345">
        <f t="shared" si="54"/>
        <v>31.986687241483207</v>
      </c>
    </row>
    <row r="346" spans="1:39" x14ac:dyDescent="0.3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168.5</v>
      </c>
      <c r="V346">
        <v>176.8</v>
      </c>
      <c r="W346">
        <v>161.9</v>
      </c>
      <c r="X346">
        <v>166.9</v>
      </c>
      <c r="Y346">
        <v>172.3</v>
      </c>
      <c r="Z346">
        <v>171.2</v>
      </c>
      <c r="AA346">
        <v>169.1</v>
      </c>
      <c r="AB346">
        <v>174.3</v>
      </c>
      <c r="AC346" s="10">
        <f t="shared" si="46"/>
        <v>176.01428571428573</v>
      </c>
      <c r="AD346">
        <f t="shared" si="48"/>
        <v>176.9</v>
      </c>
      <c r="AE346">
        <v>169</v>
      </c>
      <c r="AF346">
        <v>178.8</v>
      </c>
      <c r="AG346" s="1">
        <f t="shared" si="47"/>
        <v>169.60000000000002</v>
      </c>
      <c r="AH346" s="1">
        <f t="shared" si="49"/>
        <v>870.3142857142858</v>
      </c>
      <c r="AI346">
        <f t="shared" si="50"/>
        <v>33.750308165706414</v>
      </c>
      <c r="AJ346">
        <f t="shared" si="51"/>
        <v>33.920141710570775</v>
      </c>
      <c r="AK346">
        <f t="shared" si="52"/>
        <v>32.40533606040961</v>
      </c>
      <c r="AL346">
        <f t="shared" si="53"/>
        <v>34.284462056812067</v>
      </c>
      <c r="AM346">
        <f t="shared" si="54"/>
        <v>32.520384590801605</v>
      </c>
    </row>
    <row r="347" spans="1:39" x14ac:dyDescent="0.3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>
        <v>173.6</v>
      </c>
      <c r="V347">
        <v>180.2</v>
      </c>
      <c r="W347">
        <v>166.9</v>
      </c>
      <c r="X347">
        <v>170</v>
      </c>
      <c r="Y347">
        <v>176.2</v>
      </c>
      <c r="Z347">
        <v>170.8</v>
      </c>
      <c r="AA347">
        <v>173.1</v>
      </c>
      <c r="AB347">
        <v>176.4</v>
      </c>
      <c r="AC347" s="10">
        <f t="shared" si="46"/>
        <v>175.87857142857143</v>
      </c>
      <c r="AD347">
        <f t="shared" si="48"/>
        <v>184.16666666666666</v>
      </c>
      <c r="AE347">
        <v>169.5</v>
      </c>
      <c r="AF347">
        <v>179.7</v>
      </c>
      <c r="AG347" s="1">
        <f t="shared" si="47"/>
        <v>172.94999999999996</v>
      </c>
      <c r="AH347" s="1">
        <f t="shared" si="49"/>
        <v>882.1952380952381</v>
      </c>
      <c r="AI347">
        <f t="shared" si="50"/>
        <v>33.724285283832032</v>
      </c>
      <c r="AJ347">
        <f t="shared" si="51"/>
        <v>35.313507245318164</v>
      </c>
      <c r="AK347">
        <f t="shared" si="52"/>
        <v>32.501209835736269</v>
      </c>
      <c r="AL347">
        <f t="shared" si="53"/>
        <v>34.457034852400042</v>
      </c>
      <c r="AM347">
        <f t="shared" si="54"/>
        <v>33.162738885490185</v>
      </c>
    </row>
    <row r="348" spans="1:39" x14ac:dyDescent="0.3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165</v>
      </c>
      <c r="V348">
        <v>173.8</v>
      </c>
      <c r="W348">
        <v>158.19999999999999</v>
      </c>
      <c r="X348">
        <v>165.8</v>
      </c>
      <c r="Y348">
        <v>170.9</v>
      </c>
      <c r="Z348">
        <v>171.1</v>
      </c>
      <c r="AA348">
        <v>166.1</v>
      </c>
      <c r="AB348">
        <v>174.1</v>
      </c>
      <c r="AC348" s="10">
        <f t="shared" si="46"/>
        <v>179.00714285714284</v>
      </c>
      <c r="AD348">
        <f t="shared" si="48"/>
        <v>169.9</v>
      </c>
      <c r="AE348">
        <v>169.5</v>
      </c>
      <c r="AF348">
        <v>179.2</v>
      </c>
      <c r="AG348" s="1">
        <f t="shared" si="47"/>
        <v>167.46666666666667</v>
      </c>
      <c r="AH348" s="1">
        <f t="shared" si="49"/>
        <v>865.07380952380959</v>
      </c>
      <c r="AI348">
        <f t="shared" si="50"/>
        <v>34.324181192304529</v>
      </c>
      <c r="AJ348">
        <f t="shared" si="51"/>
        <v>32.577908855997592</v>
      </c>
      <c r="AK348">
        <f t="shared" si="52"/>
        <v>32.501209835736269</v>
      </c>
      <c r="AL348">
        <f t="shared" si="53"/>
        <v>34.36116107707339</v>
      </c>
      <c r="AM348">
        <f t="shared" si="54"/>
        <v>32.111323149407866</v>
      </c>
    </row>
    <row r="349" spans="1:39" x14ac:dyDescent="0.3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177.8</v>
      </c>
      <c r="W349">
        <v>162.30000000000001</v>
      </c>
      <c r="X349">
        <v>167.6</v>
      </c>
      <c r="Y349">
        <v>173.1</v>
      </c>
      <c r="Z349">
        <v>170.9</v>
      </c>
      <c r="AA349">
        <v>169.7</v>
      </c>
      <c r="AB349">
        <v>175.3</v>
      </c>
      <c r="AC349" s="10">
        <f t="shared" si="46"/>
        <v>176.91428571428574</v>
      </c>
      <c r="AD349">
        <f t="shared" si="48"/>
        <v>178.36666666666667</v>
      </c>
      <c r="AE349">
        <v>169.5</v>
      </c>
      <c r="AF349">
        <v>179.5</v>
      </c>
      <c r="AG349" s="1">
        <f t="shared" si="47"/>
        <v>170.20000000000002</v>
      </c>
      <c r="AH349" s="1">
        <f t="shared" si="49"/>
        <v>874.48095238095243</v>
      </c>
      <c r="AI349">
        <f t="shared" si="50"/>
        <v>33.922880961294396</v>
      </c>
      <c r="AJ349">
        <f t="shared" si="51"/>
        <v>34.201371451528964</v>
      </c>
      <c r="AK349">
        <f t="shared" si="52"/>
        <v>32.501209835736269</v>
      </c>
      <c r="AL349">
        <f t="shared" si="53"/>
        <v>34.418685342269384</v>
      </c>
      <c r="AM349">
        <f t="shared" si="54"/>
        <v>32.635433121193593</v>
      </c>
    </row>
    <row r="350" spans="1:39" x14ac:dyDescent="0.3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>
        <v>174.4</v>
      </c>
      <c r="V350">
        <v>181.2</v>
      </c>
      <c r="W350">
        <v>167.4</v>
      </c>
      <c r="X350">
        <v>170.6</v>
      </c>
      <c r="Y350">
        <v>176.5</v>
      </c>
      <c r="Z350">
        <v>172</v>
      </c>
      <c r="AA350">
        <v>173.9</v>
      </c>
      <c r="AB350">
        <v>177.9</v>
      </c>
      <c r="AC350" s="10">
        <f t="shared" si="46"/>
        <v>177.1</v>
      </c>
      <c r="AD350">
        <f t="shared" si="48"/>
        <v>185.46666666666667</v>
      </c>
      <c r="AE350">
        <v>171.2</v>
      </c>
      <c r="AF350">
        <v>180.8</v>
      </c>
      <c r="AG350" s="1">
        <f t="shared" si="47"/>
        <v>173.68333333333331</v>
      </c>
      <c r="AH350" s="1">
        <f t="shared" si="49"/>
        <v>888.24999999999989</v>
      </c>
      <c r="AI350">
        <f t="shared" si="50"/>
        <v>33.958491220701433</v>
      </c>
      <c r="AJ350">
        <f t="shared" si="51"/>
        <v>35.562779061167468</v>
      </c>
      <c r="AK350">
        <f t="shared" si="52"/>
        <v>32.827180671846897</v>
      </c>
      <c r="AL350">
        <f t="shared" si="53"/>
        <v>34.667957158118689</v>
      </c>
      <c r="AM350">
        <f t="shared" si="54"/>
        <v>33.303353755969283</v>
      </c>
    </row>
    <row r="351" spans="1:39" x14ac:dyDescent="0.3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166</v>
      </c>
      <c r="V351">
        <v>174.7</v>
      </c>
      <c r="W351">
        <v>158.80000000000001</v>
      </c>
      <c r="X351">
        <v>166.3</v>
      </c>
      <c r="Y351">
        <v>171.2</v>
      </c>
      <c r="Z351">
        <v>172.3</v>
      </c>
      <c r="AA351">
        <v>166.8</v>
      </c>
      <c r="AB351">
        <v>175.3</v>
      </c>
      <c r="AC351" s="10">
        <f t="shared" si="46"/>
        <v>180.17142857142858</v>
      </c>
      <c r="AD351">
        <f t="shared" si="48"/>
        <v>170.56666666666669</v>
      </c>
      <c r="AE351">
        <v>171.2</v>
      </c>
      <c r="AF351">
        <v>180</v>
      </c>
      <c r="AG351" s="1">
        <f t="shared" si="47"/>
        <v>168.21666666666667</v>
      </c>
      <c r="AH351" s="1">
        <f t="shared" si="49"/>
        <v>870.15476190476193</v>
      </c>
      <c r="AI351">
        <f t="shared" si="50"/>
        <v>34.547430126279458</v>
      </c>
      <c r="AJ351">
        <f t="shared" si="51"/>
        <v>32.705740556433142</v>
      </c>
      <c r="AK351">
        <f t="shared" si="52"/>
        <v>32.827180671846897</v>
      </c>
      <c r="AL351">
        <f t="shared" si="53"/>
        <v>34.514559117596036</v>
      </c>
      <c r="AM351">
        <f t="shared" si="54"/>
        <v>32.255133812397851</v>
      </c>
    </row>
    <row r="352" spans="1:39" x14ac:dyDescent="0.3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170.4</v>
      </c>
      <c r="V352">
        <v>178.7</v>
      </c>
      <c r="W352">
        <v>162.9</v>
      </c>
      <c r="X352">
        <v>168.2</v>
      </c>
      <c r="Y352">
        <v>173.4</v>
      </c>
      <c r="Z352">
        <v>172.1</v>
      </c>
      <c r="AA352">
        <v>170.5</v>
      </c>
      <c r="AB352">
        <v>176.7</v>
      </c>
      <c r="AC352" s="10">
        <f t="shared" si="46"/>
        <v>178.11428571428573</v>
      </c>
      <c r="AD352">
        <f t="shared" si="48"/>
        <v>179.4</v>
      </c>
      <c r="AE352">
        <v>171.2</v>
      </c>
      <c r="AF352">
        <v>180.5</v>
      </c>
      <c r="AG352" s="1">
        <f t="shared" si="47"/>
        <v>170.95000000000002</v>
      </c>
      <c r="AH352" s="1">
        <f t="shared" si="49"/>
        <v>880.16428571428582</v>
      </c>
      <c r="AI352">
        <f t="shared" si="50"/>
        <v>34.152978022078365</v>
      </c>
      <c r="AJ352">
        <f t="shared" si="51"/>
        <v>34.399510587204048</v>
      </c>
      <c r="AK352">
        <f t="shared" si="52"/>
        <v>32.827180671846897</v>
      </c>
      <c r="AL352">
        <f t="shared" si="53"/>
        <v>34.610432892922695</v>
      </c>
      <c r="AM352">
        <f t="shared" si="54"/>
        <v>32.779243784183571</v>
      </c>
    </row>
    <row r="353" spans="1:39" x14ac:dyDescent="0.3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>
        <v>175.5</v>
      </c>
      <c r="V353">
        <v>182.3</v>
      </c>
      <c r="W353">
        <v>167.5</v>
      </c>
      <c r="X353">
        <v>170.8</v>
      </c>
      <c r="Y353">
        <v>176.9</v>
      </c>
      <c r="Z353">
        <v>173.4</v>
      </c>
      <c r="AA353">
        <v>174.6</v>
      </c>
      <c r="AB353">
        <v>177.8</v>
      </c>
      <c r="AC353" s="10">
        <f t="shared" si="46"/>
        <v>177.37142857142857</v>
      </c>
      <c r="AD353">
        <f t="shared" si="48"/>
        <v>186.43333333333331</v>
      </c>
      <c r="AE353">
        <v>171.8</v>
      </c>
      <c r="AF353">
        <v>181.9</v>
      </c>
      <c r="AG353" s="1">
        <f t="shared" si="47"/>
        <v>174.39999999999998</v>
      </c>
      <c r="AH353" s="1">
        <f t="shared" si="49"/>
        <v>891.90476190476193</v>
      </c>
      <c r="AI353">
        <f t="shared" si="50"/>
        <v>34.010536984450191</v>
      </c>
      <c r="AJ353">
        <f t="shared" si="51"/>
        <v>35.748135026798998</v>
      </c>
      <c r="AK353">
        <f t="shared" si="52"/>
        <v>32.942229202238885</v>
      </c>
      <c r="AL353">
        <f t="shared" si="53"/>
        <v>34.878879463837329</v>
      </c>
      <c r="AM353">
        <f t="shared" si="54"/>
        <v>33.440772833937487</v>
      </c>
    </row>
    <row r="354" spans="1:39" x14ac:dyDescent="0.3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166.9</v>
      </c>
      <c r="V354">
        <v>175.8</v>
      </c>
      <c r="W354">
        <v>158.9</v>
      </c>
      <c r="X354">
        <v>166.7</v>
      </c>
      <c r="Y354">
        <v>171.5</v>
      </c>
      <c r="Z354">
        <v>173.8</v>
      </c>
      <c r="AA354">
        <v>167.4</v>
      </c>
      <c r="AB354">
        <v>174.1</v>
      </c>
      <c r="AC354" s="10">
        <f t="shared" si="46"/>
        <v>179.64285714285714</v>
      </c>
      <c r="AD354">
        <f t="shared" si="48"/>
        <v>171.63333333333333</v>
      </c>
      <c r="AE354">
        <v>171.8</v>
      </c>
      <c r="AF354">
        <v>180.3</v>
      </c>
      <c r="AG354" s="1">
        <f t="shared" si="47"/>
        <v>168.93333333333331</v>
      </c>
      <c r="AH354" s="1">
        <f t="shared" si="49"/>
        <v>872.30952380952374</v>
      </c>
      <c r="AI354">
        <f t="shared" si="50"/>
        <v>34.446077849505571</v>
      </c>
      <c r="AJ354">
        <f t="shared" si="51"/>
        <v>32.910271277130001</v>
      </c>
      <c r="AK354">
        <f t="shared" si="52"/>
        <v>32.942229202238885</v>
      </c>
      <c r="AL354">
        <f t="shared" si="53"/>
        <v>34.572083382792037</v>
      </c>
      <c r="AM354">
        <f t="shared" si="54"/>
        <v>32.392552890366055</v>
      </c>
    </row>
    <row r="355" spans="1:39" x14ac:dyDescent="0.3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171.4</v>
      </c>
      <c r="V355">
        <v>179.8</v>
      </c>
      <c r="W355">
        <v>163</v>
      </c>
      <c r="X355">
        <v>168.5</v>
      </c>
      <c r="Y355">
        <v>173.7</v>
      </c>
      <c r="Z355">
        <v>173.6</v>
      </c>
      <c r="AA355">
        <v>171.1</v>
      </c>
      <c r="AB355">
        <v>176.5</v>
      </c>
      <c r="AC355" s="10">
        <f t="shared" si="46"/>
        <v>178.12142857142859</v>
      </c>
      <c r="AD355">
        <f t="shared" si="48"/>
        <v>180.46666666666667</v>
      </c>
      <c r="AE355">
        <v>171.8</v>
      </c>
      <c r="AF355">
        <v>181.3</v>
      </c>
      <c r="AG355" s="1">
        <f t="shared" si="47"/>
        <v>171.66666666666666</v>
      </c>
      <c r="AH355" s="1">
        <f t="shared" si="49"/>
        <v>883.35476190476186</v>
      </c>
      <c r="AI355">
        <f t="shared" si="50"/>
        <v>34.154347647440176</v>
      </c>
      <c r="AJ355">
        <f t="shared" si="51"/>
        <v>34.604041307900921</v>
      </c>
      <c r="AK355">
        <f t="shared" si="52"/>
        <v>32.942229202238885</v>
      </c>
      <c r="AL355">
        <f t="shared" si="53"/>
        <v>34.763830933445341</v>
      </c>
      <c r="AM355">
        <f t="shared" si="54"/>
        <v>32.916662862151775</v>
      </c>
    </row>
    <row r="356" spans="1:39" x14ac:dyDescent="0.3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>
        <v>176.4</v>
      </c>
      <c r="V356">
        <v>183.5</v>
      </c>
      <c r="W356">
        <v>167.8</v>
      </c>
      <c r="X356">
        <v>171.2</v>
      </c>
      <c r="Y356">
        <v>177.3</v>
      </c>
      <c r="Z356">
        <v>175.7</v>
      </c>
      <c r="AA356">
        <v>175.5</v>
      </c>
      <c r="AB356">
        <v>177.1</v>
      </c>
      <c r="AC356" s="10">
        <f t="shared" si="46"/>
        <v>176.64285714285714</v>
      </c>
      <c r="AD356">
        <f t="shared" si="48"/>
        <v>187.26666666666665</v>
      </c>
      <c r="AE356">
        <v>170.7</v>
      </c>
      <c r="AF356">
        <v>182.8</v>
      </c>
      <c r="AG356" s="1">
        <f t="shared" si="47"/>
        <v>175.31666666666669</v>
      </c>
      <c r="AH356" s="1">
        <f t="shared" si="49"/>
        <v>892.72619047619048</v>
      </c>
      <c r="AI356">
        <f t="shared" si="50"/>
        <v>33.870835197545631</v>
      </c>
      <c r="AJ356">
        <f t="shared" si="51"/>
        <v>35.907924652343432</v>
      </c>
      <c r="AK356">
        <f t="shared" si="52"/>
        <v>32.731306896520238</v>
      </c>
      <c r="AL356">
        <f t="shared" si="53"/>
        <v>35.051452259425311</v>
      </c>
      <c r="AM356">
        <f t="shared" si="54"/>
        <v>33.61654142203637</v>
      </c>
    </row>
    <row r="357" spans="1:39" x14ac:dyDescent="0.3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167.3</v>
      </c>
      <c r="V357">
        <v>177.2</v>
      </c>
      <c r="W357">
        <v>159.4</v>
      </c>
      <c r="X357">
        <v>167.1</v>
      </c>
      <c r="Y357">
        <v>171.8</v>
      </c>
      <c r="Z357">
        <v>176</v>
      </c>
      <c r="AA357">
        <v>168.2</v>
      </c>
      <c r="AB357">
        <v>174.1</v>
      </c>
      <c r="AC357" s="10">
        <f t="shared" si="46"/>
        <v>178.34999999999997</v>
      </c>
      <c r="AD357">
        <f t="shared" si="48"/>
        <v>172.63333333333333</v>
      </c>
      <c r="AE357">
        <v>170.7</v>
      </c>
      <c r="AF357">
        <v>180.6</v>
      </c>
      <c r="AG357" s="1">
        <f t="shared" si="47"/>
        <v>169.79999999999998</v>
      </c>
      <c r="AH357" s="1">
        <f t="shared" si="49"/>
        <v>872.08333333333326</v>
      </c>
      <c r="AI357">
        <f t="shared" si="50"/>
        <v>34.198175659018062</v>
      </c>
      <c r="AJ357">
        <f t="shared" si="51"/>
        <v>33.102018827783311</v>
      </c>
      <c r="AK357">
        <f t="shared" si="52"/>
        <v>32.731306896520238</v>
      </c>
      <c r="AL357">
        <f t="shared" si="53"/>
        <v>34.629607647988017</v>
      </c>
      <c r="AM357">
        <f t="shared" si="54"/>
        <v>32.558734100932256</v>
      </c>
    </row>
    <row r="358" spans="1:39" x14ac:dyDescent="0.3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172.1</v>
      </c>
      <c r="V358">
        <v>181.1</v>
      </c>
      <c r="W358">
        <v>163.4</v>
      </c>
      <c r="X358">
        <v>168.9</v>
      </c>
      <c r="Y358">
        <v>174.1</v>
      </c>
      <c r="Z358">
        <v>175.8</v>
      </c>
      <c r="AA358">
        <v>172</v>
      </c>
      <c r="AB358">
        <v>175.7</v>
      </c>
      <c r="AC358" s="10">
        <f t="shared" si="46"/>
        <v>177.19285714285715</v>
      </c>
      <c r="AD358">
        <f t="shared" si="48"/>
        <v>181.33333333333334</v>
      </c>
      <c r="AE358">
        <v>170.7</v>
      </c>
      <c r="AF358">
        <v>182</v>
      </c>
      <c r="AG358" s="1">
        <f t="shared" si="47"/>
        <v>172.56666666666669</v>
      </c>
      <c r="AH358" s="1">
        <f t="shared" si="49"/>
        <v>883.7928571428572</v>
      </c>
      <c r="AI358">
        <f t="shared" si="50"/>
        <v>33.976296350404958</v>
      </c>
      <c r="AJ358">
        <f t="shared" si="51"/>
        <v>34.770222518467122</v>
      </c>
      <c r="AK358">
        <f t="shared" si="52"/>
        <v>32.731306896520238</v>
      </c>
      <c r="AL358">
        <f t="shared" si="53"/>
        <v>34.898054218902658</v>
      </c>
      <c r="AM358">
        <f t="shared" si="54"/>
        <v>33.089235657739763</v>
      </c>
    </row>
    <row r="359" spans="1:39" x14ac:dyDescent="0.3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>
        <v>177.2</v>
      </c>
      <c r="V359">
        <v>184.7</v>
      </c>
      <c r="W359">
        <v>168.2</v>
      </c>
      <c r="X359">
        <v>171.8</v>
      </c>
      <c r="Y359">
        <v>177.8</v>
      </c>
      <c r="Z359">
        <v>178.4</v>
      </c>
      <c r="AA359">
        <v>176.5</v>
      </c>
      <c r="AB359">
        <v>177.8</v>
      </c>
      <c r="AC359" s="10">
        <f t="shared" si="46"/>
        <v>177.15000000000003</v>
      </c>
      <c r="AD359">
        <f t="shared" si="48"/>
        <v>187.96666666666667</v>
      </c>
      <c r="AE359">
        <v>172.1</v>
      </c>
      <c r="AF359">
        <v>183.2</v>
      </c>
      <c r="AG359" s="1">
        <f t="shared" si="47"/>
        <v>176.35</v>
      </c>
      <c r="AH359" s="1">
        <f t="shared" si="49"/>
        <v>896.76666666666677</v>
      </c>
      <c r="AI359">
        <f t="shared" si="50"/>
        <v>33.968078598234108</v>
      </c>
      <c r="AJ359">
        <f t="shared" si="51"/>
        <v>36.042147937800749</v>
      </c>
      <c r="AK359">
        <f t="shared" si="52"/>
        <v>32.999753467434878</v>
      </c>
      <c r="AL359">
        <f t="shared" si="53"/>
        <v>35.128151279686634</v>
      </c>
      <c r="AM359">
        <f t="shared" si="54"/>
        <v>33.814680557711455</v>
      </c>
    </row>
    <row r="360" spans="1:39" x14ac:dyDescent="0.3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168</v>
      </c>
      <c r="V360">
        <v>178.5</v>
      </c>
      <c r="W360">
        <v>159.5</v>
      </c>
      <c r="X360">
        <v>167.8</v>
      </c>
      <c r="Y360">
        <v>171.8</v>
      </c>
      <c r="Z360">
        <v>178.8</v>
      </c>
      <c r="AA360">
        <v>168.9</v>
      </c>
      <c r="AB360">
        <v>174.9</v>
      </c>
      <c r="AC360" s="10">
        <f t="shared" si="46"/>
        <v>179.41428571428574</v>
      </c>
      <c r="AD360">
        <f t="shared" si="48"/>
        <v>173.53333333333333</v>
      </c>
      <c r="AE360">
        <v>172.1</v>
      </c>
      <c r="AF360">
        <v>180.1</v>
      </c>
      <c r="AG360" s="1">
        <f t="shared" si="47"/>
        <v>170.73333333333332</v>
      </c>
      <c r="AH360" s="1">
        <f t="shared" si="49"/>
        <v>875.88095238095241</v>
      </c>
      <c r="AI360">
        <f t="shared" si="50"/>
        <v>34.40224983792767</v>
      </c>
      <c r="AJ360">
        <f t="shared" si="51"/>
        <v>33.274591623371293</v>
      </c>
      <c r="AK360">
        <f t="shared" si="52"/>
        <v>32.999753467434878</v>
      </c>
      <c r="AL360">
        <f t="shared" si="53"/>
        <v>34.533733872661365</v>
      </c>
      <c r="AM360">
        <f t="shared" si="54"/>
        <v>32.737698481542019</v>
      </c>
    </row>
    <row r="361" spans="1:39" x14ac:dyDescent="0.3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172.9</v>
      </c>
      <c r="V361">
        <v>182.3</v>
      </c>
      <c r="W361">
        <v>163.6</v>
      </c>
      <c r="X361">
        <v>169.5</v>
      </c>
      <c r="Y361">
        <v>174.3</v>
      </c>
      <c r="Z361">
        <v>178.6</v>
      </c>
      <c r="AA361">
        <v>172.8</v>
      </c>
      <c r="AB361">
        <v>176.5</v>
      </c>
      <c r="AC361" s="10">
        <f t="shared" si="46"/>
        <v>177.92142857142855</v>
      </c>
      <c r="AD361">
        <f t="shared" si="48"/>
        <v>182.1</v>
      </c>
      <c r="AE361">
        <v>172.1</v>
      </c>
      <c r="AF361">
        <v>182</v>
      </c>
      <c r="AG361" s="1">
        <f t="shared" si="47"/>
        <v>173.53333333333333</v>
      </c>
      <c r="AH361" s="1">
        <f t="shared" si="49"/>
        <v>887.65476190476181</v>
      </c>
      <c r="AI361">
        <f t="shared" si="50"/>
        <v>34.115998137309504</v>
      </c>
      <c r="AJ361">
        <f t="shared" si="51"/>
        <v>34.917228973967987</v>
      </c>
      <c r="AK361">
        <f t="shared" si="52"/>
        <v>32.999753467434878</v>
      </c>
      <c r="AL361">
        <f t="shared" si="53"/>
        <v>34.898054218902658</v>
      </c>
      <c r="AM361">
        <f t="shared" si="54"/>
        <v>33.274591623371293</v>
      </c>
    </row>
    <row r="362" spans="1:39" x14ac:dyDescent="0.3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>
        <v>178.6</v>
      </c>
      <c r="V362">
        <v>186.6</v>
      </c>
      <c r="W362">
        <v>169</v>
      </c>
      <c r="X362">
        <v>172.8</v>
      </c>
      <c r="Y362">
        <v>178.5</v>
      </c>
      <c r="Z362">
        <v>180.7</v>
      </c>
      <c r="AA362">
        <v>177.9</v>
      </c>
      <c r="AB362">
        <v>178</v>
      </c>
      <c r="AC362" s="10">
        <f t="shared" si="46"/>
        <v>176</v>
      </c>
      <c r="AD362">
        <f t="shared" si="48"/>
        <v>188.86666666666667</v>
      </c>
      <c r="AE362">
        <v>173.5</v>
      </c>
      <c r="AF362">
        <v>181.6</v>
      </c>
      <c r="AG362" s="1">
        <f t="shared" si="47"/>
        <v>177.70000000000002</v>
      </c>
      <c r="AH362" s="1">
        <f t="shared" si="49"/>
        <v>897.66666666666674</v>
      </c>
      <c r="AI362">
        <f t="shared" si="50"/>
        <v>33.747568914982793</v>
      </c>
      <c r="AJ362">
        <f t="shared" si="51"/>
        <v>36.214720733388731</v>
      </c>
      <c r="AK362">
        <f t="shared" si="52"/>
        <v>33.268200038349519</v>
      </c>
      <c r="AL362">
        <f t="shared" si="53"/>
        <v>34.821355198641335</v>
      </c>
      <c r="AM362">
        <f t="shared" si="54"/>
        <v>34.073539751093421</v>
      </c>
    </row>
    <row r="363" spans="1:39" x14ac:dyDescent="0.3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169.2</v>
      </c>
      <c r="V363">
        <v>180.8</v>
      </c>
      <c r="W363">
        <v>159.80000000000001</v>
      </c>
      <c r="X363">
        <v>168.4</v>
      </c>
      <c r="Y363">
        <v>172.5</v>
      </c>
      <c r="Z363">
        <v>181.4</v>
      </c>
      <c r="AA363">
        <v>170</v>
      </c>
      <c r="AB363">
        <v>176.3</v>
      </c>
      <c r="AC363" s="10">
        <f t="shared" si="46"/>
        <v>178.9928571428571</v>
      </c>
      <c r="AD363">
        <f t="shared" si="48"/>
        <v>175.16666666666666</v>
      </c>
      <c r="AE363">
        <v>173.5</v>
      </c>
      <c r="AF363">
        <v>182.8</v>
      </c>
      <c r="AG363" s="1">
        <f t="shared" si="47"/>
        <v>172.01666666666668</v>
      </c>
      <c r="AH363" s="1">
        <f t="shared" si="49"/>
        <v>882.47619047619037</v>
      </c>
      <c r="AI363">
        <f t="shared" si="50"/>
        <v>34.321441941580908</v>
      </c>
      <c r="AJ363">
        <f t="shared" si="51"/>
        <v>33.587779289438366</v>
      </c>
      <c r="AK363">
        <f t="shared" si="52"/>
        <v>33.268200038349519</v>
      </c>
      <c r="AL363">
        <f t="shared" si="53"/>
        <v>35.051452259425311</v>
      </c>
      <c r="AM363">
        <f t="shared" si="54"/>
        <v>32.983774504880436</v>
      </c>
    </row>
    <row r="364" spans="1:39" x14ac:dyDescent="0.3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174.2</v>
      </c>
      <c r="V364">
        <v>184.4</v>
      </c>
      <c r="W364">
        <v>164.2</v>
      </c>
      <c r="X364">
        <v>170.3</v>
      </c>
      <c r="Y364">
        <v>175</v>
      </c>
      <c r="Z364">
        <v>181</v>
      </c>
      <c r="AA364">
        <v>174.1</v>
      </c>
      <c r="AB364">
        <v>177.2</v>
      </c>
      <c r="AC364" s="10">
        <f t="shared" si="46"/>
        <v>177.04285714285714</v>
      </c>
      <c r="AD364">
        <f t="shared" si="48"/>
        <v>183.33333333333334</v>
      </c>
      <c r="AE364">
        <v>173.5</v>
      </c>
      <c r="AF364">
        <v>182.1</v>
      </c>
      <c r="AG364" s="1">
        <f t="shared" si="47"/>
        <v>174.85</v>
      </c>
      <c r="AH364" s="1">
        <f t="shared" si="49"/>
        <v>890.8261904761905</v>
      </c>
      <c r="AI364">
        <f t="shared" si="50"/>
        <v>33.947534217806954</v>
      </c>
      <c r="AJ364">
        <f t="shared" si="51"/>
        <v>35.153717619773744</v>
      </c>
      <c r="AK364">
        <f t="shared" si="52"/>
        <v>33.268200038349519</v>
      </c>
      <c r="AL364">
        <f t="shared" si="53"/>
        <v>34.917228973967987</v>
      </c>
      <c r="AM364">
        <f t="shared" si="54"/>
        <v>33.527059231731485</v>
      </c>
    </row>
    <row r="365" spans="1:39" x14ac:dyDescent="0.3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>
        <v>178.6</v>
      </c>
      <c r="V365">
        <v>186.6</v>
      </c>
      <c r="W365">
        <v>169</v>
      </c>
      <c r="X365">
        <v>172.8</v>
      </c>
      <c r="Y365">
        <v>178.5</v>
      </c>
      <c r="Z365">
        <v>180.7</v>
      </c>
      <c r="AA365">
        <v>177.9</v>
      </c>
      <c r="AB365">
        <v>178</v>
      </c>
      <c r="AC365" s="10">
        <f t="shared" si="46"/>
        <v>176.01428571428573</v>
      </c>
      <c r="AD365">
        <f t="shared" si="48"/>
        <v>188.86666666666667</v>
      </c>
      <c r="AE365">
        <v>173.5</v>
      </c>
      <c r="AF365">
        <v>181.4</v>
      </c>
      <c r="AG365" s="1">
        <f t="shared" si="47"/>
        <v>177.70000000000002</v>
      </c>
      <c r="AH365" s="1">
        <f t="shared" si="49"/>
        <v>897.48095238095243</v>
      </c>
      <c r="AI365">
        <f t="shared" si="50"/>
        <v>33.750308165706414</v>
      </c>
      <c r="AJ365">
        <f t="shared" si="51"/>
        <v>36.214720733388731</v>
      </c>
      <c r="AK365">
        <f t="shared" si="52"/>
        <v>33.268200038349519</v>
      </c>
      <c r="AL365">
        <f t="shared" si="53"/>
        <v>34.783005688510677</v>
      </c>
      <c r="AM365">
        <f t="shared" si="54"/>
        <v>34.073539751093421</v>
      </c>
    </row>
    <row r="366" spans="1:39" x14ac:dyDescent="0.3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169.2</v>
      </c>
      <c r="V366">
        <v>180.8</v>
      </c>
      <c r="W366">
        <v>159.80000000000001</v>
      </c>
      <c r="X366">
        <v>168.4</v>
      </c>
      <c r="Y366">
        <v>172.5</v>
      </c>
      <c r="Z366">
        <v>181.5</v>
      </c>
      <c r="AA366">
        <v>170</v>
      </c>
      <c r="AB366">
        <v>176.3</v>
      </c>
      <c r="AC366" s="10">
        <f t="shared" si="46"/>
        <v>179.00714285714284</v>
      </c>
      <c r="AD366">
        <f t="shared" si="48"/>
        <v>175.13333333333333</v>
      </c>
      <c r="AE366">
        <v>173.5</v>
      </c>
      <c r="AF366">
        <v>182.6</v>
      </c>
      <c r="AG366" s="1">
        <f t="shared" si="47"/>
        <v>172.03333333333333</v>
      </c>
      <c r="AH366" s="1">
        <f t="shared" si="49"/>
        <v>882.27380952380952</v>
      </c>
      <c r="AI366">
        <f t="shared" si="50"/>
        <v>34.324181192304529</v>
      </c>
      <c r="AJ366">
        <f t="shared" si="51"/>
        <v>33.581387704416585</v>
      </c>
      <c r="AK366">
        <f t="shared" si="52"/>
        <v>33.268200038349519</v>
      </c>
      <c r="AL366">
        <f t="shared" si="53"/>
        <v>35.013102749294646</v>
      </c>
      <c r="AM366">
        <f t="shared" si="54"/>
        <v>32.986970297391323</v>
      </c>
    </row>
    <row r="367" spans="1:39" x14ac:dyDescent="0.3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174.2</v>
      </c>
      <c r="V367">
        <v>184.4</v>
      </c>
      <c r="W367">
        <v>164.2</v>
      </c>
      <c r="X367">
        <v>170.3</v>
      </c>
      <c r="Y367">
        <v>175</v>
      </c>
      <c r="Z367">
        <v>181</v>
      </c>
      <c r="AA367">
        <v>174.1</v>
      </c>
      <c r="AB367">
        <v>177.2</v>
      </c>
      <c r="AC367" s="10">
        <f t="shared" si="46"/>
        <v>177.04999999999998</v>
      </c>
      <c r="AD367">
        <f t="shared" si="48"/>
        <v>183.29999999999998</v>
      </c>
      <c r="AE367">
        <v>173.5</v>
      </c>
      <c r="AF367">
        <v>181.9</v>
      </c>
      <c r="AG367" s="1">
        <f t="shared" si="47"/>
        <v>174.85</v>
      </c>
      <c r="AH367" s="1">
        <f t="shared" si="49"/>
        <v>890.59999999999991</v>
      </c>
      <c r="AI367">
        <f t="shared" si="50"/>
        <v>33.948903843168765</v>
      </c>
      <c r="AJ367">
        <f t="shared" si="51"/>
        <v>35.147326034751963</v>
      </c>
      <c r="AK367">
        <f t="shared" si="52"/>
        <v>33.268200038349519</v>
      </c>
      <c r="AL367">
        <f t="shared" si="53"/>
        <v>34.878879463837329</v>
      </c>
      <c r="AM367">
        <f t="shared" si="54"/>
        <v>33.527059231731485</v>
      </c>
    </row>
    <row r="368" spans="1:39" x14ac:dyDescent="0.3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>
        <v>179.1</v>
      </c>
      <c r="V368">
        <v>187.2</v>
      </c>
      <c r="W368">
        <v>169.4</v>
      </c>
      <c r="X368">
        <v>173.2</v>
      </c>
      <c r="Y368">
        <v>179.4</v>
      </c>
      <c r="Z368">
        <v>183.8</v>
      </c>
      <c r="AA368">
        <v>178.9</v>
      </c>
      <c r="AB368">
        <v>178.8</v>
      </c>
      <c r="AC368" s="10">
        <f t="shared" si="46"/>
        <v>176.69285714285712</v>
      </c>
      <c r="AD368">
        <f t="shared" si="48"/>
        <v>189.4</v>
      </c>
      <c r="AE368">
        <v>175.2</v>
      </c>
      <c r="AF368">
        <v>181.5</v>
      </c>
      <c r="AG368" s="1">
        <f t="shared" si="47"/>
        <v>178.68333333333331</v>
      </c>
      <c r="AH368" s="1">
        <f t="shared" si="49"/>
        <v>901.47619047619048</v>
      </c>
      <c r="AI368">
        <f t="shared" si="50"/>
        <v>33.880422575078292</v>
      </c>
      <c r="AJ368">
        <f t="shared" si="51"/>
        <v>36.316986093737164</v>
      </c>
      <c r="AK368">
        <f t="shared" si="52"/>
        <v>33.59417087446014</v>
      </c>
      <c r="AL368">
        <f t="shared" si="53"/>
        <v>34.802180443576006</v>
      </c>
      <c r="AM368">
        <f t="shared" si="54"/>
        <v>34.262091509235837</v>
      </c>
    </row>
    <row r="369" spans="1:40" x14ac:dyDescent="0.3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169.6</v>
      </c>
      <c r="V369">
        <v>181.5</v>
      </c>
      <c r="W369">
        <v>160.1</v>
      </c>
      <c r="X369">
        <v>168.8</v>
      </c>
      <c r="Y369">
        <v>174.2</v>
      </c>
      <c r="Z369">
        <v>184.4</v>
      </c>
      <c r="AA369">
        <v>170.9</v>
      </c>
      <c r="AB369">
        <v>177.4</v>
      </c>
      <c r="AC369" s="10">
        <f t="shared" si="46"/>
        <v>180.08571428571432</v>
      </c>
      <c r="AD369">
        <f t="shared" si="48"/>
        <v>175.86666666666667</v>
      </c>
      <c r="AE369">
        <v>175.2</v>
      </c>
      <c r="AF369">
        <v>182.1</v>
      </c>
      <c r="AG369" s="1">
        <f t="shared" si="47"/>
        <v>173.10000000000002</v>
      </c>
      <c r="AH369" s="1">
        <f t="shared" si="49"/>
        <v>886.35238095238105</v>
      </c>
      <c r="AI369">
        <f t="shared" si="50"/>
        <v>34.530994621937758</v>
      </c>
      <c r="AJ369">
        <f t="shared" si="51"/>
        <v>33.72200257489569</v>
      </c>
      <c r="AK369">
        <f t="shared" si="52"/>
        <v>33.59417087446014</v>
      </c>
      <c r="AL369">
        <f t="shared" si="53"/>
        <v>34.917228973967987</v>
      </c>
      <c r="AM369">
        <f t="shared" si="54"/>
        <v>33.191501018088196</v>
      </c>
    </row>
    <row r="370" spans="1:40" x14ac:dyDescent="0.3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174.6</v>
      </c>
      <c r="V370">
        <v>185</v>
      </c>
      <c r="W370">
        <v>164.5</v>
      </c>
      <c r="X370">
        <v>170.7</v>
      </c>
      <c r="Y370">
        <v>176.4</v>
      </c>
      <c r="Z370">
        <v>184</v>
      </c>
      <c r="AA370">
        <v>175</v>
      </c>
      <c r="AB370">
        <v>178.1</v>
      </c>
      <c r="AC370" s="10">
        <f t="shared" si="46"/>
        <v>177.87142857142859</v>
      </c>
      <c r="AD370">
        <f t="shared" si="48"/>
        <v>183.93333333333331</v>
      </c>
      <c r="AE370">
        <v>175.2</v>
      </c>
      <c r="AF370">
        <v>181.7</v>
      </c>
      <c r="AG370" s="1">
        <f t="shared" si="47"/>
        <v>175.86666666666665</v>
      </c>
      <c r="AH370" s="1">
        <f t="shared" si="49"/>
        <v>894.57142857142856</v>
      </c>
      <c r="AI370">
        <f t="shared" si="50"/>
        <v>34.10641075977685</v>
      </c>
      <c r="AJ370">
        <f t="shared" si="51"/>
        <v>35.268766150165725</v>
      </c>
      <c r="AK370">
        <f t="shared" si="52"/>
        <v>33.59417087446014</v>
      </c>
      <c r="AL370">
        <f t="shared" si="53"/>
        <v>34.840529953706664</v>
      </c>
      <c r="AM370">
        <f t="shared" si="54"/>
        <v>33.722002574895683</v>
      </c>
    </row>
    <row r="371" spans="1:40" x14ac:dyDescent="0.3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>
        <v>179.8</v>
      </c>
      <c r="V371">
        <v>187.8</v>
      </c>
      <c r="W371">
        <v>169.7</v>
      </c>
      <c r="X371">
        <v>173.8</v>
      </c>
      <c r="Y371">
        <v>180.3</v>
      </c>
      <c r="Z371">
        <v>184.9</v>
      </c>
      <c r="AA371">
        <v>179.5</v>
      </c>
      <c r="AB371">
        <v>179.8</v>
      </c>
      <c r="AC371" s="10">
        <f t="shared" si="46"/>
        <v>177.90000000000006</v>
      </c>
      <c r="AD371">
        <f t="shared" si="48"/>
        <v>189.9666666666667</v>
      </c>
      <c r="AE371">
        <v>175.6</v>
      </c>
      <c r="AF371">
        <v>182.5</v>
      </c>
      <c r="AG371" s="1">
        <f t="shared" si="47"/>
        <v>179.38333333333333</v>
      </c>
      <c r="AH371" s="1">
        <f t="shared" si="49"/>
        <v>905.35000000000014</v>
      </c>
      <c r="AI371">
        <f t="shared" si="50"/>
        <v>34.111889261224093</v>
      </c>
      <c r="AJ371">
        <f t="shared" si="51"/>
        <v>36.425643039107378</v>
      </c>
      <c r="AK371">
        <f t="shared" si="52"/>
        <v>33.67086989472147</v>
      </c>
      <c r="AL371">
        <f t="shared" si="53"/>
        <v>34.99392799422931</v>
      </c>
      <c r="AM371">
        <f t="shared" si="54"/>
        <v>34.396314794693161</v>
      </c>
    </row>
    <row r="372" spans="1:40" x14ac:dyDescent="0.3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170.1</v>
      </c>
      <c r="V372">
        <v>182.2</v>
      </c>
      <c r="W372">
        <v>160.4</v>
      </c>
      <c r="X372">
        <v>169.2</v>
      </c>
      <c r="Y372">
        <v>174.8</v>
      </c>
      <c r="Z372">
        <v>185.6</v>
      </c>
      <c r="AA372">
        <v>171.6</v>
      </c>
      <c r="AB372">
        <v>178.2</v>
      </c>
      <c r="AC372" s="10">
        <f t="shared" si="46"/>
        <v>181.37857142857141</v>
      </c>
      <c r="AD372">
        <f t="shared" si="48"/>
        <v>176.23333333333335</v>
      </c>
      <c r="AE372">
        <v>175.6</v>
      </c>
      <c r="AF372">
        <v>183.4</v>
      </c>
      <c r="AG372" s="1">
        <f t="shared" si="47"/>
        <v>173.71666666666661</v>
      </c>
      <c r="AH372" s="1">
        <f t="shared" si="49"/>
        <v>890.32857142857131</v>
      </c>
      <c r="AI372">
        <f t="shared" si="50"/>
        <v>34.778896812425245</v>
      </c>
      <c r="AJ372">
        <f t="shared" si="51"/>
        <v>33.792310010135232</v>
      </c>
      <c r="AK372">
        <f t="shared" si="52"/>
        <v>33.67086989472147</v>
      </c>
      <c r="AL372">
        <f t="shared" si="53"/>
        <v>35.166500789817299</v>
      </c>
      <c r="AM372">
        <f t="shared" si="54"/>
        <v>33.309745340991057</v>
      </c>
    </row>
    <row r="373" spans="1:40" x14ac:dyDescent="0.3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175.2</v>
      </c>
      <c r="V373">
        <v>185.7</v>
      </c>
      <c r="W373">
        <v>164.8</v>
      </c>
      <c r="X373">
        <v>171.2</v>
      </c>
      <c r="Y373">
        <v>177.1</v>
      </c>
      <c r="Z373">
        <v>185.2</v>
      </c>
      <c r="AA373">
        <v>175.7</v>
      </c>
      <c r="AB373">
        <v>179.1</v>
      </c>
      <c r="AC373" s="10">
        <f t="shared" si="46"/>
        <v>179.1357142857143</v>
      </c>
      <c r="AD373">
        <f t="shared" si="48"/>
        <v>184.4</v>
      </c>
      <c r="AE373">
        <v>175.6</v>
      </c>
      <c r="AF373">
        <v>182.8</v>
      </c>
      <c r="AG373" s="1">
        <f>AVERAGE(U373:Z373)</f>
        <v>176.53333333333333</v>
      </c>
      <c r="AH373" s="1">
        <f t="shared" si="49"/>
        <v>898.46904761904761</v>
      </c>
      <c r="AI373">
        <f t="shared" si="50"/>
        <v>34.348834448817108</v>
      </c>
      <c r="AJ373">
        <f t="shared" si="51"/>
        <v>35.35824834047061</v>
      </c>
      <c r="AK373">
        <f t="shared" si="52"/>
        <v>33.67086989472147</v>
      </c>
      <c r="AL373">
        <f t="shared" si="53"/>
        <v>35.051452259425311</v>
      </c>
      <c r="AM373">
        <f t="shared" si="54"/>
        <v>33.849834275331226</v>
      </c>
    </row>
    <row r="376" spans="1:40" x14ac:dyDescent="0.3">
      <c r="AC376" s="31">
        <f>SUM(AC2:AC373)</f>
        <v>52674.82499999999</v>
      </c>
      <c r="AD376" s="32">
        <f t="shared" ref="AD376:AG376" si="55">SUM(AD2:AD373)</f>
        <v>52165.33333333335</v>
      </c>
      <c r="AE376" s="32">
        <f t="shared" si="55"/>
        <v>51850.099999999962</v>
      </c>
      <c r="AF376" s="32">
        <f t="shared" si="55"/>
        <v>50803.299999999988</v>
      </c>
      <c r="AG376" s="33">
        <f t="shared" si="55"/>
        <v>50331.652777777774</v>
      </c>
      <c r="AH376" s="1">
        <f>SUM(AH2:AH373)</f>
        <v>257825.21111111104</v>
      </c>
      <c r="AI376" s="28">
        <f>AC376/$AH$376*100</f>
        <v>20.430439976368142</v>
      </c>
      <c r="AJ376" s="28">
        <f t="shared" ref="AJ376:AM376" si="56">AD376/$AH$376*100</f>
        <v>20.232828709234507</v>
      </c>
      <c r="AK376" s="28">
        <f t="shared" si="56"/>
        <v>20.110562414183349</v>
      </c>
      <c r="AL376" s="28">
        <f t="shared" si="56"/>
        <v>19.704550916902402</v>
      </c>
      <c r="AM376" s="28">
        <f t="shared" si="56"/>
        <v>19.521617983311611</v>
      </c>
      <c r="AN376" s="7">
        <f>SUM(AI376:AM376)</f>
        <v>100.00000000000001</v>
      </c>
    </row>
    <row r="378" spans="1:40" ht="14.4" customHeight="1" x14ac:dyDescent="0.3">
      <c r="AE378" s="34" t="s">
        <v>90</v>
      </c>
      <c r="AF378" s="34"/>
      <c r="AG378" s="34"/>
      <c r="AH378" s="29">
        <v>45047</v>
      </c>
      <c r="AI378" s="30">
        <f>AVERAGE(AI371:AI373)</f>
        <v>34.413206840822149</v>
      </c>
      <c r="AJ378" s="28">
        <f t="shared" ref="AJ378:AM378" si="57">AVERAGE(AJ371:AJ373)</f>
        <v>35.192067129904409</v>
      </c>
      <c r="AK378" s="30">
        <f t="shared" si="57"/>
        <v>33.67086989472147</v>
      </c>
      <c r="AL378" s="30">
        <f t="shared" si="57"/>
        <v>35.07062701449064</v>
      </c>
      <c r="AM378" s="30">
        <f t="shared" si="57"/>
        <v>33.851964803671819</v>
      </c>
      <c r="AN378" s="1"/>
    </row>
  </sheetData>
  <mergeCells count="1">
    <mergeCell ref="AE378:AG378"/>
  </mergeCells>
  <pageMargins left="0.7" right="0.7" top="0.75" bottom="0.75" header="0.3" footer="0.3"/>
  <pageSetup paperSize="9" orientation="portrait" horizontalDpi="0" verticalDpi="0" r:id="rId1"/>
  <ignoredErrors>
    <ignoredError sqref="AC1:AC373 AD1:AD373 AG1:AG3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E559-238B-4AEE-838D-D4EF0BFD964E}">
  <dimension ref="A1:AM14"/>
  <sheetViews>
    <sheetView topLeftCell="I1" zoomScaleNormal="100" workbookViewId="0">
      <selection activeCell="AD17" sqref="AD17"/>
    </sheetView>
  </sheetViews>
  <sheetFormatPr defaultRowHeight="14.4" x14ac:dyDescent="0.3"/>
  <cols>
    <col min="15" max="24" width="0" hidden="1" customWidth="1"/>
    <col min="33" max="33" width="20" bestFit="1" customWidth="1"/>
  </cols>
  <sheetData>
    <row r="1" spans="1:39" x14ac:dyDescent="0.3">
      <c r="A1" s="13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5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6" t="s">
        <v>29</v>
      </c>
      <c r="AF1" s="17" t="s">
        <v>1</v>
      </c>
      <c r="AG1" s="17" t="s">
        <v>88</v>
      </c>
      <c r="AI1" s="35" t="s">
        <v>89</v>
      </c>
      <c r="AJ1" s="35"/>
      <c r="AK1" s="35"/>
      <c r="AL1" s="35"/>
      <c r="AM1" s="35"/>
    </row>
    <row r="2" spans="1:39" x14ac:dyDescent="0.3">
      <c r="A2" s="19" t="s">
        <v>34</v>
      </c>
      <c r="B2" s="20">
        <v>2017</v>
      </c>
      <c r="C2" s="21" t="s">
        <v>31</v>
      </c>
      <c r="D2" s="21">
        <v>132.80000000000001</v>
      </c>
      <c r="E2" s="21">
        <v>138.19999999999999</v>
      </c>
      <c r="F2" s="21">
        <v>132.19999999999999</v>
      </c>
      <c r="G2" s="21">
        <v>135.4</v>
      </c>
      <c r="H2" s="21">
        <v>119.1</v>
      </c>
      <c r="I2" s="21">
        <v>133</v>
      </c>
      <c r="J2" s="21">
        <v>119.4</v>
      </c>
      <c r="K2" s="21">
        <v>159.5</v>
      </c>
      <c r="L2" s="21">
        <v>115.6</v>
      </c>
      <c r="M2" s="21">
        <v>139.6</v>
      </c>
      <c r="N2" s="21">
        <v>126.6</v>
      </c>
      <c r="O2" s="21">
        <v>142.80000000000001</v>
      </c>
      <c r="P2" s="21">
        <v>133.1</v>
      </c>
      <c r="Q2" s="21">
        <v>143.80000000000001</v>
      </c>
      <c r="R2" s="21">
        <v>136.6</v>
      </c>
      <c r="S2" s="21">
        <v>130.19999999999999</v>
      </c>
      <c r="T2" s="21">
        <v>135.6</v>
      </c>
      <c r="U2" s="21">
        <v>129.6</v>
      </c>
      <c r="V2" s="21">
        <v>126.8</v>
      </c>
      <c r="W2" s="21">
        <v>129.4</v>
      </c>
      <c r="X2" s="21">
        <v>127.1</v>
      </c>
      <c r="Y2" s="21">
        <v>117</v>
      </c>
      <c r="Z2" s="21">
        <v>124.2</v>
      </c>
      <c r="AA2" s="21">
        <v>133.30000000000001</v>
      </c>
      <c r="AB2" s="21">
        <v>121.7</v>
      </c>
      <c r="AC2" s="21">
        <v>124.4</v>
      </c>
      <c r="AD2" s="22">
        <v>130.30000000000001</v>
      </c>
      <c r="AF2" s="27">
        <v>2017</v>
      </c>
      <c r="AG2" s="10">
        <f>((SUM(D3:AD3)-SUM(D2:AD2))/SUM(D2:AD2))*100</f>
        <v>4.3507760156051134</v>
      </c>
      <c r="AI2" s="35"/>
      <c r="AJ2" s="35"/>
      <c r="AK2" s="35"/>
      <c r="AL2" s="35"/>
      <c r="AM2" s="35"/>
    </row>
    <row r="3" spans="1:39" x14ac:dyDescent="0.3">
      <c r="A3" s="23" t="s">
        <v>34</v>
      </c>
      <c r="B3" s="24">
        <v>2017</v>
      </c>
      <c r="C3" s="25" t="s">
        <v>46</v>
      </c>
      <c r="D3" s="25">
        <v>135.80000000000001</v>
      </c>
      <c r="E3" s="25">
        <v>143.30000000000001</v>
      </c>
      <c r="F3" s="25">
        <v>145.19999999999999</v>
      </c>
      <c r="G3" s="25">
        <v>141</v>
      </c>
      <c r="H3" s="25">
        <v>120.5</v>
      </c>
      <c r="I3" s="25">
        <v>141.5</v>
      </c>
      <c r="J3" s="25">
        <v>161.69999999999999</v>
      </c>
      <c r="K3" s="25">
        <v>129.1</v>
      </c>
      <c r="L3" s="25">
        <v>121.5</v>
      </c>
      <c r="M3" s="25">
        <v>137.1</v>
      </c>
      <c r="N3" s="25">
        <v>128.80000000000001</v>
      </c>
      <c r="O3" s="25">
        <v>149</v>
      </c>
      <c r="P3" s="25">
        <v>140.5</v>
      </c>
      <c r="Q3" s="25">
        <v>154.19999999999999</v>
      </c>
      <c r="R3" s="25">
        <v>143.1</v>
      </c>
      <c r="S3" s="25">
        <v>135.1</v>
      </c>
      <c r="T3" s="25">
        <v>142</v>
      </c>
      <c r="U3" s="25">
        <v>139.1</v>
      </c>
      <c r="V3" s="25">
        <v>136.6</v>
      </c>
      <c r="W3" s="25">
        <v>134.69999999999999</v>
      </c>
      <c r="X3" s="25">
        <v>133.1</v>
      </c>
      <c r="Y3" s="25">
        <v>118.5</v>
      </c>
      <c r="Z3" s="25">
        <v>129</v>
      </c>
      <c r="AA3" s="25">
        <v>138.5</v>
      </c>
      <c r="AB3" s="25">
        <v>126.5</v>
      </c>
      <c r="AC3" s="25">
        <v>128.6</v>
      </c>
      <c r="AD3" s="26">
        <v>137.19999999999999</v>
      </c>
      <c r="AF3" s="27">
        <v>2018</v>
      </c>
      <c r="AG3" s="10">
        <f>((SUM(D5:AD5)-SUM(D4:AD4))/SUM(D4:AD4))*100</f>
        <v>2.0258527047577268</v>
      </c>
      <c r="AI3" s="35"/>
      <c r="AJ3" s="35"/>
      <c r="AK3" s="35"/>
      <c r="AL3" s="35"/>
      <c r="AM3" s="35"/>
    </row>
    <row r="4" spans="1:39" x14ac:dyDescent="0.3">
      <c r="A4" s="19" t="s">
        <v>34</v>
      </c>
      <c r="B4" s="20">
        <v>2018</v>
      </c>
      <c r="C4" s="21" t="s">
        <v>31</v>
      </c>
      <c r="D4" s="21">
        <v>136</v>
      </c>
      <c r="E4" s="21">
        <v>144.19999999999999</v>
      </c>
      <c r="F4" s="21">
        <v>143.69999999999999</v>
      </c>
      <c r="G4" s="21">
        <v>141.1</v>
      </c>
      <c r="H4" s="21">
        <v>120.7</v>
      </c>
      <c r="I4" s="21">
        <v>141.30000000000001</v>
      </c>
      <c r="J4" s="21">
        <v>151.6</v>
      </c>
      <c r="K4" s="21">
        <v>127.3</v>
      </c>
      <c r="L4" s="21">
        <v>118.8</v>
      </c>
      <c r="M4" s="21">
        <v>137.5</v>
      </c>
      <c r="N4" s="21">
        <v>129</v>
      </c>
      <c r="O4" s="21">
        <v>149.5</v>
      </c>
      <c r="P4" s="21">
        <v>139.19999999999999</v>
      </c>
      <c r="Q4" s="21">
        <v>154.69999999999999</v>
      </c>
      <c r="R4" s="21">
        <v>143.5</v>
      </c>
      <c r="S4" s="21">
        <v>135.5</v>
      </c>
      <c r="T4" s="21">
        <v>142.30000000000001</v>
      </c>
      <c r="U4" s="21">
        <v>140.4</v>
      </c>
      <c r="V4" s="21">
        <v>136.6</v>
      </c>
      <c r="W4" s="21">
        <v>134.9</v>
      </c>
      <c r="X4" s="21">
        <v>133.30000000000001</v>
      </c>
      <c r="Y4" s="21">
        <v>119.3</v>
      </c>
      <c r="Z4" s="21">
        <v>129.69999999999999</v>
      </c>
      <c r="AA4" s="21">
        <v>139</v>
      </c>
      <c r="AB4" s="21">
        <v>127.3</v>
      </c>
      <c r="AC4" s="21">
        <v>129.1</v>
      </c>
      <c r="AD4" s="22">
        <v>136.9</v>
      </c>
      <c r="AF4" s="27">
        <v>2019</v>
      </c>
      <c r="AG4" s="10">
        <f>((SUM(D7:AD7)-SUM(D6:AD6))/SUM(D6:AD6))*100</f>
        <v>7.0493991989319591</v>
      </c>
      <c r="AI4" s="35"/>
      <c r="AJ4" s="35"/>
      <c r="AK4" s="35"/>
      <c r="AL4" s="35"/>
      <c r="AM4" s="35"/>
    </row>
    <row r="5" spans="1:39" x14ac:dyDescent="0.3">
      <c r="A5" s="23" t="s">
        <v>34</v>
      </c>
      <c r="B5" s="24">
        <v>2018</v>
      </c>
      <c r="C5" s="25" t="s">
        <v>46</v>
      </c>
      <c r="D5" s="25">
        <v>137.5</v>
      </c>
      <c r="E5" s="25">
        <v>150.5</v>
      </c>
      <c r="F5" s="25">
        <v>138.80000000000001</v>
      </c>
      <c r="G5" s="25">
        <v>142.1</v>
      </c>
      <c r="H5" s="25">
        <v>122</v>
      </c>
      <c r="I5" s="25">
        <v>139.4</v>
      </c>
      <c r="J5" s="25">
        <v>135.19999999999999</v>
      </c>
      <c r="K5" s="25">
        <v>119.8</v>
      </c>
      <c r="L5" s="25">
        <v>110.3</v>
      </c>
      <c r="M5" s="25">
        <v>140.6</v>
      </c>
      <c r="N5" s="25">
        <v>133.80000000000001</v>
      </c>
      <c r="O5" s="25">
        <v>154.6</v>
      </c>
      <c r="P5" s="25">
        <v>138.19999999999999</v>
      </c>
      <c r="Q5" s="25">
        <v>163</v>
      </c>
      <c r="R5" s="25">
        <v>148.1</v>
      </c>
      <c r="S5" s="25">
        <v>139.4</v>
      </c>
      <c r="T5" s="25">
        <v>146.80000000000001</v>
      </c>
      <c r="U5" s="25">
        <v>146.5</v>
      </c>
      <c r="V5" s="25">
        <v>142.69999999999999</v>
      </c>
      <c r="W5" s="25">
        <v>143.19999999999999</v>
      </c>
      <c r="X5" s="25">
        <v>144.9</v>
      </c>
      <c r="Y5" s="25">
        <v>123.6</v>
      </c>
      <c r="Z5" s="25">
        <v>136.80000000000001</v>
      </c>
      <c r="AA5" s="25">
        <v>150.1</v>
      </c>
      <c r="AB5" s="25">
        <v>132.19999999999999</v>
      </c>
      <c r="AC5" s="25">
        <v>136.80000000000001</v>
      </c>
      <c r="AD5" s="26">
        <v>140.1</v>
      </c>
      <c r="AF5" s="27">
        <v>2020</v>
      </c>
      <c r="AG5" s="10">
        <f>((SUM(D9:AD9)-SUM(D8:AD8))/SUM(D8:AD8))*100</f>
        <v>6.5521882165287524</v>
      </c>
      <c r="AI5" s="35"/>
      <c r="AJ5" s="35"/>
      <c r="AK5" s="35"/>
      <c r="AL5" s="35"/>
      <c r="AM5" s="35"/>
    </row>
    <row r="6" spans="1:39" x14ac:dyDescent="0.3">
      <c r="A6" s="19" t="s">
        <v>34</v>
      </c>
      <c r="B6" s="20">
        <v>2019</v>
      </c>
      <c r="C6" s="21" t="s">
        <v>31</v>
      </c>
      <c r="D6" s="21">
        <v>137.1</v>
      </c>
      <c r="E6" s="21">
        <v>151.4</v>
      </c>
      <c r="F6" s="21">
        <v>140.19999999999999</v>
      </c>
      <c r="G6" s="21">
        <v>142.1</v>
      </c>
      <c r="H6" s="21">
        <v>121.8</v>
      </c>
      <c r="I6" s="21">
        <v>135.4</v>
      </c>
      <c r="J6" s="21">
        <v>131.30000000000001</v>
      </c>
      <c r="K6" s="21">
        <v>120.3</v>
      </c>
      <c r="L6" s="21">
        <v>109.1</v>
      </c>
      <c r="M6" s="21">
        <v>139.4</v>
      </c>
      <c r="N6" s="21">
        <v>133.30000000000001</v>
      </c>
      <c r="O6" s="21">
        <v>154.6</v>
      </c>
      <c r="P6" s="21">
        <v>137.4</v>
      </c>
      <c r="Q6" s="21">
        <v>163.19999999999999</v>
      </c>
      <c r="R6" s="21">
        <v>147.6</v>
      </c>
      <c r="S6" s="21">
        <v>139</v>
      </c>
      <c r="T6" s="21">
        <v>146.4</v>
      </c>
      <c r="U6" s="21">
        <v>147.69999999999999</v>
      </c>
      <c r="V6" s="21">
        <v>139.5</v>
      </c>
      <c r="W6" s="21">
        <v>143.6</v>
      </c>
      <c r="X6" s="21">
        <v>145.1</v>
      </c>
      <c r="Y6" s="21">
        <v>123.3</v>
      </c>
      <c r="Z6" s="21">
        <v>136.69999999999999</v>
      </c>
      <c r="AA6" s="21">
        <v>150.19999999999999</v>
      </c>
      <c r="AB6" s="21">
        <v>132.80000000000001</v>
      </c>
      <c r="AC6" s="21">
        <v>136.9</v>
      </c>
      <c r="AD6" s="22">
        <v>139.6</v>
      </c>
      <c r="AF6" s="27">
        <v>2021</v>
      </c>
      <c r="AG6" s="10">
        <f>((SUM(D11:AD11)-SUM(D10:AD10))/SUM(D10:AD10))*100</f>
        <v>5.8088650479954751</v>
      </c>
      <c r="AI6" s="35"/>
      <c r="AJ6" s="35"/>
      <c r="AK6" s="35"/>
      <c r="AL6" s="35"/>
      <c r="AM6" s="35"/>
    </row>
    <row r="7" spans="1:39" x14ac:dyDescent="0.3">
      <c r="A7" s="23" t="s">
        <v>34</v>
      </c>
      <c r="B7" s="24">
        <v>2019</v>
      </c>
      <c r="C7" s="25" t="s">
        <v>46</v>
      </c>
      <c r="D7" s="25">
        <v>143.5</v>
      </c>
      <c r="E7" s="25">
        <v>165</v>
      </c>
      <c r="F7" s="25">
        <v>151.1</v>
      </c>
      <c r="G7" s="25">
        <v>148.30000000000001</v>
      </c>
      <c r="H7" s="25">
        <v>125.7</v>
      </c>
      <c r="I7" s="25">
        <v>145.69999999999999</v>
      </c>
      <c r="J7" s="25">
        <v>217</v>
      </c>
      <c r="K7" s="25">
        <v>138.30000000000001</v>
      </c>
      <c r="L7" s="25">
        <v>114</v>
      </c>
      <c r="M7" s="25">
        <v>148.69999999999999</v>
      </c>
      <c r="N7" s="25">
        <v>135.80000000000001</v>
      </c>
      <c r="O7" s="25">
        <v>158</v>
      </c>
      <c r="P7" s="25">
        <v>155</v>
      </c>
      <c r="Q7" s="25">
        <v>168.5</v>
      </c>
      <c r="R7" s="25">
        <v>150.30000000000001</v>
      </c>
      <c r="S7" s="25">
        <v>141.30000000000001</v>
      </c>
      <c r="T7" s="25">
        <v>149</v>
      </c>
      <c r="U7" s="25">
        <v>152.80000000000001</v>
      </c>
      <c r="V7" s="25">
        <v>143.69999999999999</v>
      </c>
      <c r="W7" s="25">
        <v>145.80000000000001</v>
      </c>
      <c r="X7" s="25">
        <v>150.4</v>
      </c>
      <c r="Y7" s="25">
        <v>129.80000000000001</v>
      </c>
      <c r="Z7" s="25">
        <v>142.30000000000001</v>
      </c>
      <c r="AA7" s="25">
        <v>155.69999999999999</v>
      </c>
      <c r="AB7" s="25">
        <v>140.4</v>
      </c>
      <c r="AC7" s="25">
        <v>142.5</v>
      </c>
      <c r="AD7" s="26">
        <v>150.4</v>
      </c>
      <c r="AF7" s="27">
        <v>2022</v>
      </c>
      <c r="AG7" s="10">
        <f>((SUM(D13:AD13)-SUM(D12:AD12))/SUM(D12:AD12))*100</f>
        <v>6.0126934639795548</v>
      </c>
    </row>
    <row r="8" spans="1:39" x14ac:dyDescent="0.3">
      <c r="A8" s="19" t="s">
        <v>34</v>
      </c>
      <c r="B8" s="20">
        <v>2020</v>
      </c>
      <c r="C8" s="21" t="s">
        <v>31</v>
      </c>
      <c r="D8" s="21">
        <v>144.30000000000001</v>
      </c>
      <c r="E8" s="21">
        <v>167.4</v>
      </c>
      <c r="F8" s="21">
        <v>154.9</v>
      </c>
      <c r="G8" s="21">
        <v>150.1</v>
      </c>
      <c r="H8" s="21">
        <v>129.9</v>
      </c>
      <c r="I8" s="21">
        <v>143.19999999999999</v>
      </c>
      <c r="J8" s="21">
        <v>197</v>
      </c>
      <c r="K8" s="21">
        <v>140.4</v>
      </c>
      <c r="L8" s="21">
        <v>114.1</v>
      </c>
      <c r="M8" s="21">
        <v>150.9</v>
      </c>
      <c r="N8" s="21">
        <v>136.1</v>
      </c>
      <c r="O8" s="21">
        <v>158.6</v>
      </c>
      <c r="P8" s="21">
        <v>153.5</v>
      </c>
      <c r="Q8" s="21">
        <v>169.2</v>
      </c>
      <c r="R8" s="21">
        <v>150.5</v>
      </c>
      <c r="S8" s="21">
        <v>141.5</v>
      </c>
      <c r="T8" s="21">
        <v>149.19999999999999</v>
      </c>
      <c r="U8" s="21">
        <v>153.9</v>
      </c>
      <c r="V8" s="21">
        <v>144.6</v>
      </c>
      <c r="W8" s="21">
        <v>146.19999999999999</v>
      </c>
      <c r="X8" s="21">
        <v>151.19999999999999</v>
      </c>
      <c r="Y8" s="21">
        <v>130.9</v>
      </c>
      <c r="Z8" s="21">
        <v>142.80000000000001</v>
      </c>
      <c r="AA8" s="21">
        <v>156.1</v>
      </c>
      <c r="AB8" s="21">
        <v>142.30000000000001</v>
      </c>
      <c r="AC8" s="21">
        <v>143.4</v>
      </c>
      <c r="AD8" s="22">
        <v>150.19999999999999</v>
      </c>
    </row>
    <row r="9" spans="1:39" x14ac:dyDescent="0.3">
      <c r="A9" s="23" t="s">
        <v>34</v>
      </c>
      <c r="B9" s="24">
        <v>2020</v>
      </c>
      <c r="C9" s="25" t="s">
        <v>46</v>
      </c>
      <c r="D9" s="25">
        <v>146</v>
      </c>
      <c r="E9" s="25">
        <v>191</v>
      </c>
      <c r="F9" s="25">
        <v>175.3</v>
      </c>
      <c r="G9" s="25">
        <v>154.1</v>
      </c>
      <c r="H9" s="25">
        <v>146.6</v>
      </c>
      <c r="I9" s="25">
        <v>147.69999999999999</v>
      </c>
      <c r="J9" s="25">
        <v>230.5</v>
      </c>
      <c r="K9" s="25">
        <v>160.19999999999999</v>
      </c>
      <c r="L9" s="25">
        <v>115.3</v>
      </c>
      <c r="M9" s="25">
        <v>163</v>
      </c>
      <c r="N9" s="25">
        <v>149.19999999999999</v>
      </c>
      <c r="O9" s="25">
        <v>164.8</v>
      </c>
      <c r="P9" s="25">
        <v>165.4</v>
      </c>
      <c r="Q9" s="25">
        <v>185.4</v>
      </c>
      <c r="R9" s="25">
        <v>155</v>
      </c>
      <c r="S9" s="25">
        <v>145.4</v>
      </c>
      <c r="T9" s="25">
        <v>153.6</v>
      </c>
      <c r="U9" s="25">
        <v>158.4</v>
      </c>
      <c r="V9" s="25">
        <v>144.6</v>
      </c>
      <c r="W9" s="25">
        <v>149.69999999999999</v>
      </c>
      <c r="X9" s="25">
        <v>158.30000000000001</v>
      </c>
      <c r="Y9" s="25">
        <v>140.69999999999999</v>
      </c>
      <c r="Z9" s="25">
        <v>148.5</v>
      </c>
      <c r="AA9" s="25">
        <v>159.4</v>
      </c>
      <c r="AB9" s="25">
        <v>157.1</v>
      </c>
      <c r="AC9" s="25">
        <v>151.19999999999999</v>
      </c>
      <c r="AD9" s="26">
        <v>158.9</v>
      </c>
    </row>
    <row r="10" spans="1:39" x14ac:dyDescent="0.3">
      <c r="A10" s="19" t="s">
        <v>34</v>
      </c>
      <c r="B10" s="20">
        <v>2021</v>
      </c>
      <c r="C10" s="21" t="s">
        <v>31</v>
      </c>
      <c r="D10" s="21">
        <v>144.9</v>
      </c>
      <c r="E10" s="21">
        <v>190.1</v>
      </c>
      <c r="F10" s="21">
        <v>175.3</v>
      </c>
      <c r="G10" s="21">
        <v>154.1</v>
      </c>
      <c r="H10" s="21">
        <v>150.9</v>
      </c>
      <c r="I10" s="21">
        <v>149.6</v>
      </c>
      <c r="J10" s="21">
        <v>194.2</v>
      </c>
      <c r="K10" s="21">
        <v>160.4</v>
      </c>
      <c r="L10" s="21">
        <v>114.6</v>
      </c>
      <c r="M10" s="21">
        <v>164</v>
      </c>
      <c r="N10" s="21">
        <v>151.80000000000001</v>
      </c>
      <c r="O10" s="21">
        <v>165.6</v>
      </c>
      <c r="P10" s="21">
        <v>161</v>
      </c>
      <c r="Q10" s="21">
        <v>186.5</v>
      </c>
      <c r="R10" s="21">
        <v>155.5</v>
      </c>
      <c r="S10" s="21">
        <v>146.1</v>
      </c>
      <c r="T10" s="21">
        <v>154.19999999999999</v>
      </c>
      <c r="U10" s="21">
        <v>157.69999999999999</v>
      </c>
      <c r="V10" s="21">
        <v>147.9</v>
      </c>
      <c r="W10" s="21">
        <v>150</v>
      </c>
      <c r="X10" s="21">
        <v>159.30000000000001</v>
      </c>
      <c r="Y10" s="21">
        <v>141.9</v>
      </c>
      <c r="Z10" s="21">
        <v>149.6</v>
      </c>
      <c r="AA10" s="21">
        <v>159.19999999999999</v>
      </c>
      <c r="AB10" s="21">
        <v>156.80000000000001</v>
      </c>
      <c r="AC10" s="21">
        <v>151.9</v>
      </c>
      <c r="AD10" s="22">
        <v>157.30000000000001</v>
      </c>
    </row>
    <row r="11" spans="1:39" x14ac:dyDescent="0.3">
      <c r="A11" s="23" t="s">
        <v>34</v>
      </c>
      <c r="B11" s="24">
        <v>2021</v>
      </c>
      <c r="C11" s="25" t="s">
        <v>46</v>
      </c>
      <c r="D11" s="25">
        <v>148.69999999999999</v>
      </c>
      <c r="E11" s="25">
        <v>198.8</v>
      </c>
      <c r="F11" s="25">
        <v>177.9</v>
      </c>
      <c r="G11" s="25">
        <v>159.9</v>
      </c>
      <c r="H11" s="25">
        <v>187.6</v>
      </c>
      <c r="I11" s="25">
        <v>154.9</v>
      </c>
      <c r="J11" s="25">
        <v>188.3</v>
      </c>
      <c r="K11" s="25">
        <v>164.4</v>
      </c>
      <c r="L11" s="25">
        <v>121</v>
      </c>
      <c r="M11" s="25">
        <v>170.5</v>
      </c>
      <c r="N11" s="25">
        <v>164.2</v>
      </c>
      <c r="O11" s="25">
        <v>176.5</v>
      </c>
      <c r="P11" s="25">
        <v>168.2</v>
      </c>
      <c r="Q11" s="25">
        <v>192.4</v>
      </c>
      <c r="R11" s="25">
        <v>168.5</v>
      </c>
      <c r="S11" s="25">
        <v>158.69999999999999</v>
      </c>
      <c r="T11" s="25">
        <v>167</v>
      </c>
      <c r="U11" s="25">
        <v>163.4</v>
      </c>
      <c r="V11" s="25">
        <v>164.1</v>
      </c>
      <c r="W11" s="25">
        <v>160.19999999999999</v>
      </c>
      <c r="X11" s="25">
        <v>170.6</v>
      </c>
      <c r="Y11" s="25">
        <v>155.69999999999999</v>
      </c>
      <c r="Z11" s="25">
        <v>160.6</v>
      </c>
      <c r="AA11" s="25">
        <v>164.4</v>
      </c>
      <c r="AB11" s="25">
        <v>162.6</v>
      </c>
      <c r="AC11" s="25">
        <v>162</v>
      </c>
      <c r="AD11" s="26">
        <v>166.2</v>
      </c>
    </row>
    <row r="12" spans="1:39" x14ac:dyDescent="0.3">
      <c r="A12" s="19" t="s">
        <v>34</v>
      </c>
      <c r="B12" s="20">
        <v>2022</v>
      </c>
      <c r="C12" s="21" t="s">
        <v>31</v>
      </c>
      <c r="D12" s="21">
        <v>149.5</v>
      </c>
      <c r="E12" s="21">
        <v>198.7</v>
      </c>
      <c r="F12" s="21">
        <v>178.8</v>
      </c>
      <c r="G12" s="21">
        <v>160.5</v>
      </c>
      <c r="H12" s="21">
        <v>184.7</v>
      </c>
      <c r="I12" s="21">
        <v>153.69999999999999</v>
      </c>
      <c r="J12" s="21">
        <v>174.3</v>
      </c>
      <c r="K12" s="21">
        <v>163.9</v>
      </c>
      <c r="L12" s="21">
        <v>120</v>
      </c>
      <c r="M12" s="21">
        <v>172.1</v>
      </c>
      <c r="N12" s="21">
        <v>164.3</v>
      </c>
      <c r="O12" s="21">
        <v>177.3</v>
      </c>
      <c r="P12" s="21">
        <v>166.4</v>
      </c>
      <c r="Q12" s="21">
        <v>192.2</v>
      </c>
      <c r="R12" s="21">
        <v>169.9</v>
      </c>
      <c r="S12" s="21">
        <v>160.69999999999999</v>
      </c>
      <c r="T12" s="21">
        <v>168.5</v>
      </c>
      <c r="U12" s="21">
        <v>164.5</v>
      </c>
      <c r="V12" s="21">
        <v>164.2</v>
      </c>
      <c r="W12" s="21">
        <v>161.1</v>
      </c>
      <c r="X12" s="21">
        <v>171.4</v>
      </c>
      <c r="Y12" s="21">
        <v>156.5</v>
      </c>
      <c r="Z12" s="21">
        <v>161.19999999999999</v>
      </c>
      <c r="AA12" s="21">
        <v>164.7</v>
      </c>
      <c r="AB12" s="21">
        <v>163</v>
      </c>
      <c r="AC12" s="21">
        <v>162.69999999999999</v>
      </c>
      <c r="AD12" s="22">
        <v>165.7</v>
      </c>
    </row>
    <row r="13" spans="1:39" x14ac:dyDescent="0.3">
      <c r="A13" s="23" t="s">
        <v>34</v>
      </c>
      <c r="B13" s="24">
        <v>2022</v>
      </c>
      <c r="C13" s="25" t="s">
        <v>46</v>
      </c>
      <c r="D13" s="25">
        <v>169.2</v>
      </c>
      <c r="E13" s="25">
        <v>209</v>
      </c>
      <c r="F13" s="25">
        <v>190.2</v>
      </c>
      <c r="G13" s="25">
        <v>173.6</v>
      </c>
      <c r="H13" s="25">
        <v>188.5</v>
      </c>
      <c r="I13" s="25">
        <v>158</v>
      </c>
      <c r="J13" s="25">
        <v>159.9</v>
      </c>
      <c r="K13" s="25">
        <v>170.8</v>
      </c>
      <c r="L13" s="25">
        <v>121.8</v>
      </c>
      <c r="M13" s="25">
        <v>205.2</v>
      </c>
      <c r="N13" s="25">
        <v>171</v>
      </c>
      <c r="O13" s="25">
        <v>190.3</v>
      </c>
      <c r="P13" s="25">
        <v>175.9</v>
      </c>
      <c r="Q13" s="25">
        <v>197.3</v>
      </c>
      <c r="R13" s="25">
        <v>184</v>
      </c>
      <c r="S13" s="25">
        <v>177</v>
      </c>
      <c r="T13" s="25">
        <v>183</v>
      </c>
      <c r="U13" s="25">
        <v>170.7</v>
      </c>
      <c r="V13" s="25">
        <v>182</v>
      </c>
      <c r="W13" s="25">
        <v>172.1</v>
      </c>
      <c r="X13" s="25">
        <v>181.1</v>
      </c>
      <c r="Y13" s="25">
        <v>163.4</v>
      </c>
      <c r="Z13" s="25">
        <v>168.9</v>
      </c>
      <c r="AA13" s="25">
        <v>174.1</v>
      </c>
      <c r="AB13" s="25">
        <v>175.8</v>
      </c>
      <c r="AC13" s="25">
        <v>172</v>
      </c>
      <c r="AD13" s="26">
        <v>175.7</v>
      </c>
    </row>
    <row r="14" spans="1:39" x14ac:dyDescent="0.3">
      <c r="A14" s="19" t="s">
        <v>34</v>
      </c>
      <c r="B14" s="20">
        <v>2023</v>
      </c>
      <c r="C14" s="21" t="s">
        <v>31</v>
      </c>
      <c r="D14" s="21">
        <v>173.8</v>
      </c>
      <c r="E14" s="21">
        <v>210.7</v>
      </c>
      <c r="F14" s="21">
        <v>194.5</v>
      </c>
      <c r="G14" s="21">
        <v>174.6</v>
      </c>
      <c r="H14" s="21">
        <v>187.2</v>
      </c>
      <c r="I14" s="21">
        <v>158.30000000000001</v>
      </c>
      <c r="J14" s="21">
        <v>153.9</v>
      </c>
      <c r="K14" s="21">
        <v>170.9</v>
      </c>
      <c r="L14" s="21">
        <v>121.1</v>
      </c>
      <c r="M14" s="21">
        <v>208.4</v>
      </c>
      <c r="N14" s="21">
        <v>171.4</v>
      </c>
      <c r="O14" s="21">
        <v>191.2</v>
      </c>
      <c r="P14" s="21">
        <v>176.7</v>
      </c>
      <c r="Q14" s="21">
        <v>198.2</v>
      </c>
      <c r="R14" s="21">
        <v>184.9</v>
      </c>
      <c r="S14" s="21">
        <v>177.6</v>
      </c>
      <c r="T14" s="21">
        <v>183.8</v>
      </c>
      <c r="U14" s="21">
        <v>172.1</v>
      </c>
      <c r="V14" s="21">
        <v>182</v>
      </c>
      <c r="W14" s="21">
        <v>172.9</v>
      </c>
      <c r="X14" s="21">
        <v>182.3</v>
      </c>
      <c r="Y14" s="21">
        <v>163.6</v>
      </c>
      <c r="Z14" s="21">
        <v>169.5</v>
      </c>
      <c r="AA14" s="21">
        <v>174.3</v>
      </c>
      <c r="AB14" s="21">
        <v>178.6</v>
      </c>
      <c r="AC14" s="21">
        <v>172.8</v>
      </c>
      <c r="AD14" s="22">
        <v>176.5</v>
      </c>
    </row>
  </sheetData>
  <autoFilter ref="A1:AD14" xr:uid="{4492E559-238B-4AEE-838D-D4EF0BFD964E}"/>
  <mergeCells count="1">
    <mergeCell ref="AI1:AM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E9BC-315C-4210-81D7-94A391E12E7B}">
  <dimension ref="A3:J40"/>
  <sheetViews>
    <sheetView topLeftCell="A18" zoomScale="85" zoomScaleNormal="85" workbookViewId="0">
      <selection activeCell="I24" sqref="I24"/>
    </sheetView>
  </sheetViews>
  <sheetFormatPr defaultRowHeight="14.4" x14ac:dyDescent="0.3"/>
  <cols>
    <col min="1" max="1" width="12.5546875" bestFit="1" customWidth="1"/>
    <col min="2" max="2" width="20.44140625" bestFit="1" customWidth="1"/>
    <col min="3" max="3" width="42" bestFit="1" customWidth="1"/>
    <col min="4" max="4" width="16.21875" bestFit="1" customWidth="1"/>
    <col min="5" max="5" width="32.21875" bestFit="1" customWidth="1"/>
    <col min="6" max="6" width="35.44140625" bestFit="1" customWidth="1"/>
    <col min="7" max="7" width="13.77734375" bestFit="1" customWidth="1"/>
    <col min="8" max="8" width="28.33203125" bestFit="1" customWidth="1"/>
    <col min="9" max="12" width="22.77734375" bestFit="1" customWidth="1"/>
    <col min="13" max="13" width="22.44140625" bestFit="1" customWidth="1"/>
    <col min="14" max="14" width="23.77734375" bestFit="1" customWidth="1"/>
  </cols>
  <sheetData>
    <row r="3" spans="1:2" x14ac:dyDescent="0.3">
      <c r="A3" s="4" t="s">
        <v>56</v>
      </c>
      <c r="B3" t="s">
        <v>58</v>
      </c>
    </row>
    <row r="4" spans="1:2" x14ac:dyDescent="0.3">
      <c r="A4" s="5">
        <v>2022</v>
      </c>
      <c r="B4" s="1">
        <v>174.44226190476195</v>
      </c>
    </row>
    <row r="5" spans="1:2" hidden="1" x14ac:dyDescent="0.3">
      <c r="A5" s="9" t="s">
        <v>31</v>
      </c>
      <c r="B5" s="1">
        <v>168.64761904761903</v>
      </c>
    </row>
    <row r="6" spans="1:2" hidden="1" x14ac:dyDescent="0.3">
      <c r="A6" s="9" t="s">
        <v>35</v>
      </c>
      <c r="B6" s="1">
        <v>168.47380952380954</v>
      </c>
    </row>
    <row r="7" spans="1:2" hidden="1" x14ac:dyDescent="0.3">
      <c r="A7" s="9" t="s">
        <v>36</v>
      </c>
      <c r="B7" s="1">
        <v>170.07380952380956</v>
      </c>
    </row>
    <row r="8" spans="1:2" hidden="1" x14ac:dyDescent="0.3">
      <c r="A8" s="9" t="s">
        <v>37</v>
      </c>
      <c r="B8" s="1">
        <v>172.26428571428573</v>
      </c>
    </row>
    <row r="9" spans="1:2" x14ac:dyDescent="0.3">
      <c r="A9" s="9" t="s">
        <v>38</v>
      </c>
      <c r="B9" s="1">
        <v>174.10476190476194</v>
      </c>
    </row>
    <row r="10" spans="1:2" x14ac:dyDescent="0.3">
      <c r="A10" s="9" t="s">
        <v>39</v>
      </c>
      <c r="B10" s="1">
        <v>175.7904761904762</v>
      </c>
    </row>
    <row r="11" spans="1:2" x14ac:dyDescent="0.3">
      <c r="A11" s="9" t="s">
        <v>40</v>
      </c>
      <c r="B11" s="1">
        <v>176.11428571428573</v>
      </c>
    </row>
    <row r="12" spans="1:2" x14ac:dyDescent="0.3">
      <c r="A12" s="9" t="s">
        <v>41</v>
      </c>
      <c r="B12" s="1">
        <v>176.33571428571429</v>
      </c>
    </row>
    <row r="13" spans="1:2" x14ac:dyDescent="0.3">
      <c r="A13" s="9" t="s">
        <v>42</v>
      </c>
      <c r="B13" s="1">
        <v>177.26666666666665</v>
      </c>
    </row>
    <row r="14" spans="1:2" x14ac:dyDescent="0.3">
      <c r="A14" s="9" t="s">
        <v>43</v>
      </c>
      <c r="B14" s="1">
        <v>178.46190476190478</v>
      </c>
    </row>
    <row r="15" spans="1:2" x14ac:dyDescent="0.3">
      <c r="A15" s="9" t="s">
        <v>45</v>
      </c>
      <c r="B15" s="1">
        <v>178.37857142857146</v>
      </c>
    </row>
    <row r="16" spans="1:2" x14ac:dyDescent="0.3">
      <c r="A16" s="9" t="s">
        <v>46</v>
      </c>
      <c r="B16" s="1">
        <v>177.39523809523806</v>
      </c>
    </row>
    <row r="17" spans="1:10" x14ac:dyDescent="0.3">
      <c r="A17" s="5">
        <v>2023</v>
      </c>
      <c r="B17" s="1">
        <v>178.11047619047619</v>
      </c>
    </row>
    <row r="18" spans="1:10" ht="14.4" customHeight="1" x14ac:dyDescent="0.3">
      <c r="A18" s="9" t="s">
        <v>31</v>
      </c>
      <c r="B18" s="1">
        <v>178.16190476190476</v>
      </c>
      <c r="D18" s="36" t="s">
        <v>73</v>
      </c>
      <c r="E18" s="36"/>
      <c r="F18" s="36"/>
      <c r="G18" s="36"/>
      <c r="H18" s="36"/>
      <c r="I18" s="37" t="s">
        <v>74</v>
      </c>
      <c r="J18" s="37"/>
    </row>
    <row r="19" spans="1:10" ht="14.4" customHeight="1" x14ac:dyDescent="0.3">
      <c r="A19" s="9" t="s">
        <v>35</v>
      </c>
      <c r="B19" s="1">
        <v>177.34523809523807</v>
      </c>
      <c r="D19" s="36"/>
      <c r="E19" s="36"/>
      <c r="F19" s="36"/>
      <c r="G19" s="36"/>
      <c r="H19" s="36"/>
      <c r="I19" s="37"/>
      <c r="J19" s="37"/>
    </row>
    <row r="20" spans="1:10" ht="14.4" customHeight="1" x14ac:dyDescent="0.3">
      <c r="A20" s="9" t="s">
        <v>36</v>
      </c>
      <c r="B20" s="1">
        <v>177.35714285714286</v>
      </c>
      <c r="D20" s="36"/>
      <c r="E20" s="36"/>
      <c r="F20" s="36"/>
      <c r="G20" s="36"/>
      <c r="H20" s="36"/>
      <c r="I20" s="37"/>
      <c r="J20" s="37"/>
    </row>
    <row r="21" spans="1:10" ht="14.4" customHeight="1" x14ac:dyDescent="0.3">
      <c r="A21" s="9" t="s">
        <v>37</v>
      </c>
      <c r="B21" s="1">
        <v>178.2166666666667</v>
      </c>
      <c r="D21" s="36"/>
      <c r="E21" s="36"/>
      <c r="F21" s="36"/>
      <c r="G21" s="36"/>
      <c r="H21" s="36"/>
      <c r="I21" s="37"/>
      <c r="J21" s="37"/>
    </row>
    <row r="22" spans="1:10" ht="14.4" customHeight="1" x14ac:dyDescent="0.3">
      <c r="A22" s="9" t="s">
        <v>38</v>
      </c>
      <c r="B22" s="1">
        <v>179.47142857142862</v>
      </c>
      <c r="D22" s="36"/>
      <c r="E22" s="36"/>
      <c r="F22" s="36"/>
      <c r="G22" s="36"/>
      <c r="H22" s="36"/>
      <c r="I22" s="37"/>
      <c r="J22" s="37"/>
    </row>
    <row r="23" spans="1:10" ht="14.4" customHeight="1" x14ac:dyDescent="0.3">
      <c r="A23" s="5" t="s">
        <v>57</v>
      </c>
      <c r="B23" s="1">
        <v>175.5211484593838</v>
      </c>
      <c r="D23" s="36"/>
      <c r="E23" s="36"/>
      <c r="F23" s="36"/>
      <c r="G23" s="36"/>
      <c r="H23" s="36"/>
      <c r="I23" s="37"/>
      <c r="J23" s="37"/>
    </row>
    <row r="24" spans="1:10" x14ac:dyDescent="0.3">
      <c r="D24" s="36"/>
      <c r="E24" s="36"/>
      <c r="F24" s="36"/>
      <c r="G24" s="36"/>
      <c r="H24" s="36"/>
    </row>
    <row r="25" spans="1:10" x14ac:dyDescent="0.3">
      <c r="A25" s="4" t="s">
        <v>1</v>
      </c>
      <c r="B25" t="s">
        <v>64</v>
      </c>
    </row>
    <row r="27" spans="1:10" x14ac:dyDescent="0.3">
      <c r="A27" s="4" t="s">
        <v>56</v>
      </c>
      <c r="B27" t="s">
        <v>65</v>
      </c>
      <c r="C27" t="s">
        <v>72</v>
      </c>
      <c r="D27" t="s">
        <v>71</v>
      </c>
      <c r="E27" t="s">
        <v>69</v>
      </c>
      <c r="F27" t="s">
        <v>70</v>
      </c>
      <c r="G27" t="s">
        <v>68</v>
      </c>
      <c r="H27" t="s">
        <v>66</v>
      </c>
      <c r="I27" t="s">
        <v>67</v>
      </c>
    </row>
    <row r="28" spans="1:10" x14ac:dyDescent="0.3">
      <c r="A28" s="5" t="s">
        <v>31</v>
      </c>
      <c r="B28">
        <v>168.20000000000002</v>
      </c>
      <c r="C28">
        <v>184.35</v>
      </c>
      <c r="D28">
        <v>189.73333333333335</v>
      </c>
      <c r="E28">
        <v>120.78333333333332</v>
      </c>
      <c r="F28">
        <v>195.99999999999997</v>
      </c>
      <c r="G28">
        <v>186.88333333333335</v>
      </c>
      <c r="H28">
        <v>172</v>
      </c>
      <c r="I28">
        <v>205.31666666666669</v>
      </c>
    </row>
    <row r="29" spans="1:10" x14ac:dyDescent="0.3">
      <c r="A29" s="5" t="s">
        <v>35</v>
      </c>
      <c r="B29">
        <v>165.38333333333333</v>
      </c>
      <c r="C29">
        <v>185.63333333333333</v>
      </c>
      <c r="D29">
        <v>191.41666666666671</v>
      </c>
      <c r="E29">
        <v>119.76666666666667</v>
      </c>
      <c r="F29">
        <v>196.88333333333333</v>
      </c>
      <c r="G29">
        <v>175.66666666666666</v>
      </c>
      <c r="H29">
        <v>172.13333333333335</v>
      </c>
      <c r="I29">
        <v>204.83333333333329</v>
      </c>
    </row>
    <row r="30" spans="1:10" x14ac:dyDescent="0.3">
      <c r="A30" s="5" t="s">
        <v>36</v>
      </c>
      <c r="B30">
        <v>163.45000000000002</v>
      </c>
      <c r="C30">
        <v>186.28333333333333</v>
      </c>
      <c r="D30">
        <v>192.9</v>
      </c>
      <c r="E30">
        <v>119.7</v>
      </c>
      <c r="F30">
        <v>197.35</v>
      </c>
      <c r="G30">
        <v>171.61666666666667</v>
      </c>
      <c r="H30">
        <v>173.18333333333331</v>
      </c>
      <c r="I30">
        <v>209.93333333333331</v>
      </c>
    </row>
    <row r="31" spans="1:10" x14ac:dyDescent="0.3">
      <c r="A31" s="5" t="s">
        <v>37</v>
      </c>
      <c r="B31">
        <v>164.76666666666668</v>
      </c>
      <c r="C31">
        <v>187.35000000000002</v>
      </c>
      <c r="D31">
        <v>196.4</v>
      </c>
      <c r="E31">
        <v>120.41666666666667</v>
      </c>
      <c r="F31">
        <v>197.9</v>
      </c>
      <c r="G31">
        <v>167.25</v>
      </c>
      <c r="H31">
        <v>174.89999999999998</v>
      </c>
      <c r="I31">
        <v>211.20000000000002</v>
      </c>
    </row>
    <row r="32" spans="1:10" x14ac:dyDescent="0.3">
      <c r="A32" s="5" t="s">
        <v>38</v>
      </c>
      <c r="B32">
        <v>172.20000000000002</v>
      </c>
      <c r="C32">
        <v>188.46666666666667</v>
      </c>
      <c r="D32">
        <v>200.63333333333333</v>
      </c>
      <c r="E32">
        <v>121.43333333333334</v>
      </c>
      <c r="F32">
        <v>198.26666666666668</v>
      </c>
      <c r="G32">
        <v>168.13333333333333</v>
      </c>
      <c r="H32">
        <v>176.76666666666665</v>
      </c>
      <c r="I32">
        <v>216.35000000000002</v>
      </c>
    </row>
    <row r="33" spans="1:9" x14ac:dyDescent="0.3">
      <c r="A33" s="5" t="s">
        <v>39</v>
      </c>
      <c r="B33">
        <v>187.03333333333333</v>
      </c>
      <c r="C33">
        <v>184.03333333333333</v>
      </c>
      <c r="D33">
        <v>186.5</v>
      </c>
      <c r="E33">
        <v>120.13333333333333</v>
      </c>
      <c r="F33">
        <v>195.16666666666666</v>
      </c>
      <c r="G33">
        <v>171.06666666666669</v>
      </c>
      <c r="H33">
        <v>175.53333333333333</v>
      </c>
      <c r="I33">
        <v>220</v>
      </c>
    </row>
    <row r="34" spans="1:9" x14ac:dyDescent="0.3">
      <c r="A34" s="5" t="s">
        <v>40</v>
      </c>
      <c r="B34">
        <v>186.4</v>
      </c>
      <c r="C34">
        <v>185.33333333333334</v>
      </c>
      <c r="D34">
        <v>189.36666666666667</v>
      </c>
      <c r="E34">
        <v>120.23333333333333</v>
      </c>
      <c r="F34">
        <v>195.46666666666667</v>
      </c>
      <c r="G34">
        <v>175.36666666666665</v>
      </c>
      <c r="H34">
        <v>175.63333333333333</v>
      </c>
      <c r="I34">
        <v>213.63333333333335</v>
      </c>
    </row>
    <row r="35" spans="1:9" x14ac:dyDescent="0.3">
      <c r="A35" s="5" t="s">
        <v>41</v>
      </c>
      <c r="B35">
        <v>190.96666666666667</v>
      </c>
      <c r="C35">
        <v>186.4</v>
      </c>
      <c r="D35">
        <v>192.96666666666667</v>
      </c>
      <c r="E35">
        <v>121.10000000000001</v>
      </c>
      <c r="F35">
        <v>195.79999999999998</v>
      </c>
      <c r="G35">
        <v>169.36666666666665</v>
      </c>
      <c r="H35">
        <v>176.86666666666667</v>
      </c>
      <c r="I35">
        <v>207.16666666666666</v>
      </c>
    </row>
    <row r="36" spans="1:9" x14ac:dyDescent="0.3">
      <c r="A36" s="5" t="s">
        <v>42</v>
      </c>
      <c r="B36">
        <v>196.5</v>
      </c>
      <c r="C36">
        <v>187.53333333333333</v>
      </c>
      <c r="D36">
        <v>196.66666666666666</v>
      </c>
      <c r="E36">
        <v>121.83333333333333</v>
      </c>
      <c r="F36">
        <v>196.70000000000002</v>
      </c>
      <c r="G36">
        <v>169.86666666666667</v>
      </c>
      <c r="H36">
        <v>178.36666666666667</v>
      </c>
      <c r="I36">
        <v>209.86666666666665</v>
      </c>
    </row>
    <row r="37" spans="1:9" x14ac:dyDescent="0.3">
      <c r="A37" s="5" t="s">
        <v>43</v>
      </c>
      <c r="B37">
        <v>204.36666666666665</v>
      </c>
      <c r="C37">
        <v>188.46666666666667</v>
      </c>
      <c r="D37">
        <v>199.29999999999998</v>
      </c>
      <c r="E37">
        <v>122.13333333333333</v>
      </c>
      <c r="F37">
        <v>197.1</v>
      </c>
      <c r="G37">
        <v>171.03333333333333</v>
      </c>
      <c r="H37">
        <v>180.1</v>
      </c>
      <c r="I37">
        <v>211.53333333333333</v>
      </c>
    </row>
    <row r="38" spans="1:9" x14ac:dyDescent="0.3">
      <c r="A38" s="5" t="s">
        <v>45</v>
      </c>
      <c r="B38">
        <v>186.73333333333335</v>
      </c>
      <c r="C38">
        <v>189.6</v>
      </c>
      <c r="D38">
        <v>202.13333333333335</v>
      </c>
      <c r="E38">
        <v>122.33333333333333</v>
      </c>
      <c r="F38">
        <v>197.66666666666666</v>
      </c>
      <c r="G38">
        <v>181.6</v>
      </c>
      <c r="H38">
        <v>178.73333333333335</v>
      </c>
      <c r="I38">
        <v>210</v>
      </c>
    </row>
    <row r="39" spans="1:9" x14ac:dyDescent="0.3">
      <c r="A39" s="5" t="s">
        <v>46</v>
      </c>
      <c r="B39">
        <v>162.93333333333334</v>
      </c>
      <c r="C39">
        <v>190.43333333333331</v>
      </c>
      <c r="D39">
        <v>204.4</v>
      </c>
      <c r="E39">
        <v>122.03333333333332</v>
      </c>
      <c r="F39">
        <v>198.1</v>
      </c>
      <c r="G39">
        <v>190.4</v>
      </c>
      <c r="H39">
        <v>176.29999999999998</v>
      </c>
      <c r="I39">
        <v>209.6</v>
      </c>
    </row>
    <row r="40" spans="1:9" x14ac:dyDescent="0.3">
      <c r="A40" s="5" t="s">
        <v>57</v>
      </c>
      <c r="B40">
        <v>175.46666666666673</v>
      </c>
      <c r="C40">
        <v>186.82156862745092</v>
      </c>
      <c r="D40">
        <v>194.91176470588235</v>
      </c>
      <c r="E40">
        <v>120.82352941176468</v>
      </c>
      <c r="F40">
        <v>196.9882352941176</v>
      </c>
      <c r="G40">
        <v>174.57647058823528</v>
      </c>
      <c r="H40">
        <v>175.26470588235298</v>
      </c>
      <c r="I40">
        <v>210.4156862745098</v>
      </c>
    </row>
  </sheetData>
  <mergeCells count="2">
    <mergeCell ref="D18:H24"/>
    <mergeCell ref="I18:J23"/>
  </mergeCells>
  <pageMargins left="0.7" right="0.7" top="0.75" bottom="0.75" header="0.3" footer="0.3"/>
  <pageSetup paperSize="9" orientation="portrait" horizontalDpi="0" verticalDpi="0" r:id="rId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BA44-F57F-4B97-AD17-B0E4F79154E6}">
  <dimension ref="A1:V50"/>
  <sheetViews>
    <sheetView zoomScaleNormal="100" workbookViewId="0">
      <selection activeCell="N39" sqref="N39"/>
    </sheetView>
  </sheetViews>
  <sheetFormatPr defaultRowHeight="14.4" x14ac:dyDescent="0.3"/>
  <cols>
    <col min="1" max="1" width="13.77734375" bestFit="1" customWidth="1"/>
    <col min="2" max="2" width="12.33203125" bestFit="1" customWidth="1"/>
    <col min="3" max="3" width="6" bestFit="1" customWidth="1"/>
    <col min="4" max="4" width="10.5546875" bestFit="1" customWidth="1"/>
    <col min="6" max="6" width="13.77734375" bestFit="1" customWidth="1"/>
    <col min="7" max="7" width="28.33203125" bestFit="1" customWidth="1"/>
    <col min="8" max="8" width="6" bestFit="1" customWidth="1"/>
    <col min="9" max="10" width="12" customWidth="1"/>
    <col min="11" max="11" width="13.77734375" bestFit="1" customWidth="1"/>
    <col min="12" max="12" width="11.109375" bestFit="1" customWidth="1"/>
    <col min="13" max="13" width="5.5546875" bestFit="1" customWidth="1"/>
    <col min="14" max="14" width="10.5546875" bestFit="1" customWidth="1"/>
    <col min="15" max="15" width="10.5546875" customWidth="1"/>
    <col min="16" max="16" width="13.77734375" bestFit="1" customWidth="1"/>
    <col min="17" max="17" width="15.44140625" bestFit="1" customWidth="1"/>
    <col min="18" max="18" width="6" bestFit="1" customWidth="1"/>
    <col min="19" max="19" width="10.5546875" bestFit="1" customWidth="1"/>
    <col min="20" max="20" width="10.5546875" customWidth="1"/>
    <col min="21" max="21" width="10.21875" bestFit="1" customWidth="1"/>
    <col min="22" max="35" width="12" bestFit="1" customWidth="1"/>
    <col min="36" max="36" width="13.21875" bestFit="1" customWidth="1"/>
    <col min="37" max="52" width="12" bestFit="1" customWidth="1"/>
    <col min="53" max="53" width="6" bestFit="1" customWidth="1"/>
    <col min="54" max="63" width="12" bestFit="1" customWidth="1"/>
    <col min="64" max="64" width="6" bestFit="1" customWidth="1"/>
    <col min="65" max="92" width="12" bestFit="1" customWidth="1"/>
    <col min="94" max="104" width="12" bestFit="1" customWidth="1"/>
    <col min="105" max="105" width="12.21875" bestFit="1" customWidth="1"/>
    <col min="106" max="114" width="12" bestFit="1" customWidth="1"/>
    <col min="115" max="115" width="15" bestFit="1" customWidth="1"/>
    <col min="116" max="122" width="12" bestFit="1" customWidth="1"/>
    <col min="123" max="123" width="6" bestFit="1" customWidth="1"/>
    <col min="124" max="125" width="12" bestFit="1" customWidth="1"/>
    <col min="126" max="126" width="12.44140625" bestFit="1" customWidth="1"/>
    <col min="127" max="136" width="12" bestFit="1" customWidth="1"/>
    <col min="137" max="137" width="14.6640625" bestFit="1" customWidth="1"/>
    <col min="138" max="138" width="11.5546875" bestFit="1" customWidth="1"/>
    <col min="139" max="147" width="12" bestFit="1" customWidth="1"/>
    <col min="148" max="148" width="14.33203125" bestFit="1" customWidth="1"/>
    <col min="149" max="149" width="12" bestFit="1" customWidth="1"/>
  </cols>
  <sheetData>
    <row r="1" spans="1:22" ht="14.4" customHeight="1" x14ac:dyDescent="0.3">
      <c r="A1" s="4" t="s">
        <v>56</v>
      </c>
      <c r="B1" t="s">
        <v>76</v>
      </c>
      <c r="D1" s="3" t="s">
        <v>75</v>
      </c>
      <c r="F1" s="4" t="s">
        <v>56</v>
      </c>
      <c r="G1" t="s">
        <v>77</v>
      </c>
      <c r="I1" s="3" t="s">
        <v>75</v>
      </c>
      <c r="K1" s="4" t="s">
        <v>56</v>
      </c>
      <c r="L1" t="s">
        <v>78</v>
      </c>
      <c r="N1" s="3" t="s">
        <v>75</v>
      </c>
      <c r="O1" s="3"/>
      <c r="P1" s="4" t="s">
        <v>56</v>
      </c>
      <c r="Q1" t="s">
        <v>79</v>
      </c>
      <c r="S1" s="3" t="s">
        <v>75</v>
      </c>
      <c r="T1" s="3"/>
      <c r="U1" s="38" t="s">
        <v>80</v>
      </c>
      <c r="V1" s="38"/>
    </row>
    <row r="2" spans="1:22" ht="14.4" customHeight="1" x14ac:dyDescent="0.3">
      <c r="A2" s="5">
        <v>2019</v>
      </c>
      <c r="B2" s="1">
        <v>146.92424242424244</v>
      </c>
      <c r="C2" s="1">
        <v>146.92424242424244</v>
      </c>
      <c r="D2" s="10">
        <f t="shared" ref="D2:D40" si="0">((C2-$C$17)/$C$17)*100</f>
        <v>-2.9134961954345195</v>
      </c>
      <c r="F2" s="5">
        <v>2019</v>
      </c>
      <c r="G2" s="1">
        <v>136.51818181818183</v>
      </c>
      <c r="H2" s="1">
        <v>136.51818181818183</v>
      </c>
      <c r="I2" s="1">
        <f>((H2-$H$17)/$H$17)*100</f>
        <v>-5.9792136238417264</v>
      </c>
      <c r="K2" s="5">
        <v>2019</v>
      </c>
      <c r="L2" s="1">
        <v>142.92965367965374</v>
      </c>
      <c r="M2" s="1">
        <v>142.92965367965374</v>
      </c>
      <c r="N2" s="1">
        <f>((M2-$M$17)/$M$17)*100</f>
        <v>-3.2313137012096753</v>
      </c>
      <c r="O2" s="1"/>
      <c r="P2" s="5">
        <v>2019</v>
      </c>
      <c r="Q2" s="1">
        <v>153.74242424242422</v>
      </c>
      <c r="R2" s="1">
        <v>153.74242424242422</v>
      </c>
      <c r="S2" s="1">
        <f>((R2-$R$17)/$R$17)*100</f>
        <v>-1.8247610201633291</v>
      </c>
      <c r="T2" s="1"/>
      <c r="U2" s="38"/>
      <c r="V2" s="38"/>
    </row>
    <row r="3" spans="1:22" ht="14.4" customHeight="1" x14ac:dyDescent="0.3">
      <c r="A3" s="9" t="s">
        <v>31</v>
      </c>
      <c r="B3" s="1">
        <v>144.16666666666666</v>
      </c>
      <c r="C3" s="1">
        <v>144.16666666666666</v>
      </c>
      <c r="D3" s="10">
        <f t="shared" si="0"/>
        <v>-4.7356828193832721</v>
      </c>
      <c r="F3" s="9" t="s">
        <v>31</v>
      </c>
      <c r="G3" s="1">
        <v>132.66666666666666</v>
      </c>
      <c r="H3" s="1">
        <v>132.66666666666666</v>
      </c>
      <c r="I3" s="1">
        <f t="shared" ref="I3:I40" si="1">((H3-$H$17)/$H$17)*100</f>
        <v>-8.6317722681359221</v>
      </c>
      <c r="K3" s="9" t="s">
        <v>31</v>
      </c>
      <c r="L3" s="1">
        <v>136.85476190476192</v>
      </c>
      <c r="M3" s="1">
        <v>136.85476190476192</v>
      </c>
      <c r="N3" s="1">
        <f t="shared" ref="N3:N40" si="2">((M3-$M$17)/$M$17)*100</f>
        <v>-7.3442411541871335</v>
      </c>
      <c r="O3" s="1"/>
      <c r="P3" s="9" t="s">
        <v>31</v>
      </c>
      <c r="Q3" s="1">
        <v>150.66666666666666</v>
      </c>
      <c r="R3" s="1">
        <v>150.66666666666666</v>
      </c>
      <c r="S3" s="1">
        <f t="shared" ref="S3:S40" si="3">((R3-$R$17)/$R$17)*100</f>
        <v>-3.7888463175819522</v>
      </c>
      <c r="T3" s="1"/>
      <c r="U3" s="38"/>
      <c r="V3" s="38"/>
    </row>
    <row r="4" spans="1:22" ht="14.4" customHeight="1" x14ac:dyDescent="0.3">
      <c r="A4" s="9" t="s">
        <v>35</v>
      </c>
      <c r="B4" s="1">
        <v>144.66666666666666</v>
      </c>
      <c r="C4" s="1">
        <v>144.66666666666666</v>
      </c>
      <c r="D4" s="10">
        <f t="shared" si="0"/>
        <v>-4.4052863436123468</v>
      </c>
      <c r="F4" s="9" t="s">
        <v>35</v>
      </c>
      <c r="G4" s="1">
        <v>134</v>
      </c>
      <c r="H4" s="1">
        <v>134</v>
      </c>
      <c r="I4" s="1">
        <f t="shared" si="1"/>
        <v>-7.713498622589543</v>
      </c>
      <c r="K4" s="9" t="s">
        <v>35</v>
      </c>
      <c r="L4" s="1">
        <v>137.20000000000002</v>
      </c>
      <c r="M4" s="1">
        <v>137.20000000000002</v>
      </c>
      <c r="N4" s="1">
        <f t="shared" si="2"/>
        <v>-7.1105021358910072</v>
      </c>
      <c r="O4" s="1"/>
      <c r="P4" s="9" t="s">
        <v>35</v>
      </c>
      <c r="Q4" s="1">
        <v>150.79999999999998</v>
      </c>
      <c r="R4" s="1">
        <v>150.79999999999998</v>
      </c>
      <c r="S4" s="1">
        <f t="shared" si="3"/>
        <v>-3.7037037037037113</v>
      </c>
      <c r="T4" s="1"/>
      <c r="U4" s="38"/>
      <c r="V4" s="38"/>
    </row>
    <row r="5" spans="1:22" ht="14.4" customHeight="1" x14ac:dyDescent="0.3">
      <c r="A5" s="9" t="s">
        <v>36</v>
      </c>
      <c r="B5" s="1">
        <v>145.26666666666665</v>
      </c>
      <c r="C5" s="1">
        <v>145.26666666666665</v>
      </c>
      <c r="D5" s="10">
        <f t="shared" si="0"/>
        <v>-4.0088105726872412</v>
      </c>
      <c r="F5" s="9" t="s">
        <v>36</v>
      </c>
      <c r="G5" s="1">
        <v>133.29999999999998</v>
      </c>
      <c r="H5" s="1">
        <v>133.29999999999998</v>
      </c>
      <c r="I5" s="1">
        <f t="shared" si="1"/>
        <v>-8.1955922865013999</v>
      </c>
      <c r="K5" s="9" t="s">
        <v>36</v>
      </c>
      <c r="L5" s="1">
        <v>137.71904761904761</v>
      </c>
      <c r="M5" s="1">
        <v>137.71904761904761</v>
      </c>
      <c r="N5" s="1">
        <f t="shared" si="2"/>
        <v>-6.7590876118320224</v>
      </c>
      <c r="O5" s="1"/>
      <c r="P5" s="9" t="s">
        <v>36</v>
      </c>
      <c r="Q5" s="1">
        <v>150.83333333333334</v>
      </c>
      <c r="R5" s="1">
        <v>150.83333333333334</v>
      </c>
      <c r="S5" s="1">
        <f t="shared" si="3"/>
        <v>-3.6824180502341326</v>
      </c>
      <c r="T5" s="1"/>
      <c r="U5" s="38"/>
      <c r="V5" s="38"/>
    </row>
    <row r="6" spans="1:22" ht="14.4" customHeight="1" x14ac:dyDescent="0.3">
      <c r="A6" s="9" t="s">
        <v>38</v>
      </c>
      <c r="B6" s="1">
        <v>146.00000000000003</v>
      </c>
      <c r="C6" s="1">
        <v>146.00000000000003</v>
      </c>
      <c r="D6" s="10">
        <f t="shared" si="0"/>
        <v>-3.5242290748898548</v>
      </c>
      <c r="F6" s="9" t="s">
        <v>38</v>
      </c>
      <c r="G6" s="1">
        <v>133.29999999999998</v>
      </c>
      <c r="H6" s="1">
        <v>133.29999999999998</v>
      </c>
      <c r="I6" s="1">
        <f t="shared" si="1"/>
        <v>-8.1955922865013999</v>
      </c>
      <c r="K6" s="9" t="s">
        <v>38</v>
      </c>
      <c r="L6" s="1">
        <v>139.97857142857143</v>
      </c>
      <c r="M6" s="1">
        <v>139.97857142857143</v>
      </c>
      <c r="N6" s="1">
        <f t="shared" si="2"/>
        <v>-5.2293060369146342</v>
      </c>
      <c r="O6" s="1"/>
      <c r="P6" s="9" t="s">
        <v>38</v>
      </c>
      <c r="Q6" s="1">
        <v>152.1</v>
      </c>
      <c r="R6" s="1">
        <v>152.1</v>
      </c>
      <c r="S6" s="1">
        <f t="shared" si="3"/>
        <v>-2.8735632183908044</v>
      </c>
      <c r="T6" s="1"/>
      <c r="U6" s="38"/>
      <c r="V6" s="38"/>
    </row>
    <row r="7" spans="1:22" ht="14.4" customHeight="1" x14ac:dyDescent="0.3">
      <c r="A7" s="9" t="s">
        <v>39</v>
      </c>
      <c r="B7" s="1">
        <v>146.46666666666667</v>
      </c>
      <c r="C7" s="1">
        <v>146.46666666666667</v>
      </c>
      <c r="D7" s="10">
        <f t="shared" si="0"/>
        <v>-3.2158590308370094</v>
      </c>
      <c r="F7" s="9" t="s">
        <v>39</v>
      </c>
      <c r="G7" s="1">
        <v>134.26666666666668</v>
      </c>
      <c r="H7" s="1">
        <v>134.26666666666668</v>
      </c>
      <c r="I7" s="1">
        <f t="shared" si="1"/>
        <v>-7.5298438934802592</v>
      </c>
      <c r="K7" s="9" t="s">
        <v>39</v>
      </c>
      <c r="L7" s="1">
        <v>141.60476190476189</v>
      </c>
      <c r="M7" s="1">
        <v>141.60476190476189</v>
      </c>
      <c r="N7" s="1">
        <f t="shared" si="2"/>
        <v>-4.1283146610784245</v>
      </c>
      <c r="O7" s="1"/>
      <c r="P7" s="9" t="s">
        <v>39</v>
      </c>
      <c r="Q7" s="1">
        <v>153.03333333333333</v>
      </c>
      <c r="R7" s="1">
        <v>153.03333333333333</v>
      </c>
      <c r="S7" s="1">
        <f t="shared" si="3"/>
        <v>-2.2775649212430795</v>
      </c>
      <c r="T7" s="1"/>
      <c r="U7" s="38"/>
      <c r="V7" s="38"/>
    </row>
    <row r="8" spans="1:22" ht="14.4" customHeight="1" x14ac:dyDescent="0.3">
      <c r="A8" s="9" t="s">
        <v>40</v>
      </c>
      <c r="B8" s="1">
        <v>146.96666666666667</v>
      </c>
      <c r="C8" s="1">
        <v>146.96666666666667</v>
      </c>
      <c r="D8" s="10">
        <f t="shared" si="0"/>
        <v>-2.8854625550660842</v>
      </c>
      <c r="F8" s="9" t="s">
        <v>40</v>
      </c>
      <c r="G8" s="1">
        <v>135.63333333333333</v>
      </c>
      <c r="H8" s="1">
        <v>135.63333333333333</v>
      </c>
      <c r="I8" s="1">
        <f t="shared" si="1"/>
        <v>-6.5886134067952407</v>
      </c>
      <c r="K8" s="9" t="s">
        <v>40</v>
      </c>
      <c r="L8" s="1">
        <v>143.30238095238096</v>
      </c>
      <c r="M8" s="1">
        <v>143.30238095238096</v>
      </c>
      <c r="N8" s="1">
        <f t="shared" si="2"/>
        <v>-2.978963488353334</v>
      </c>
      <c r="O8" s="1"/>
      <c r="P8" s="9" t="s">
        <v>40</v>
      </c>
      <c r="Q8" s="1">
        <v>154.5</v>
      </c>
      <c r="R8" s="1">
        <v>154.5</v>
      </c>
      <c r="S8" s="1">
        <f t="shared" si="3"/>
        <v>-1.3409961685823719</v>
      </c>
      <c r="T8" s="1"/>
      <c r="U8" s="38"/>
      <c r="V8" s="38"/>
    </row>
    <row r="9" spans="1:22" ht="14.4" customHeight="1" x14ac:dyDescent="0.3">
      <c r="A9" s="9" t="s">
        <v>41</v>
      </c>
      <c r="B9" s="1">
        <v>147.56666666666666</v>
      </c>
      <c r="C9" s="1">
        <v>147.56666666666666</v>
      </c>
      <c r="D9" s="10">
        <f t="shared" si="0"/>
        <v>-2.4889867841409776</v>
      </c>
      <c r="F9" s="9" t="s">
        <v>41</v>
      </c>
      <c r="G9" s="1">
        <v>138.33333333333334</v>
      </c>
      <c r="H9" s="1">
        <v>138.33333333333334</v>
      </c>
      <c r="I9" s="1">
        <f t="shared" si="1"/>
        <v>-4.7291092745638243</v>
      </c>
      <c r="K9" s="9" t="s">
        <v>41</v>
      </c>
      <c r="L9" s="1">
        <v>144.02142857142857</v>
      </c>
      <c r="M9" s="1">
        <v>144.02142857142857</v>
      </c>
      <c r="N9" s="1">
        <f t="shared" si="2"/>
        <v>-2.4921415330055492</v>
      </c>
      <c r="O9" s="1"/>
      <c r="P9" s="9" t="s">
        <v>41</v>
      </c>
      <c r="Q9" s="1">
        <v>155.36666666666665</v>
      </c>
      <c r="R9" s="1">
        <v>155.36666666666665</v>
      </c>
      <c r="S9" s="1">
        <f t="shared" si="3"/>
        <v>-0.78756917837378582</v>
      </c>
      <c r="T9" s="1"/>
      <c r="U9" s="38"/>
      <c r="V9" s="38"/>
    </row>
    <row r="10" spans="1:22" ht="14.4" customHeight="1" x14ac:dyDescent="0.3">
      <c r="A10" s="9" t="s">
        <v>42</v>
      </c>
      <c r="B10" s="1">
        <v>148.1</v>
      </c>
      <c r="C10" s="1">
        <v>148.1</v>
      </c>
      <c r="D10" s="10">
        <f t="shared" si="0"/>
        <v>-2.1365638766519925</v>
      </c>
      <c r="F10" s="9" t="s">
        <v>42</v>
      </c>
      <c r="G10" s="1">
        <v>139.63333333333333</v>
      </c>
      <c r="H10" s="1">
        <v>139.63333333333333</v>
      </c>
      <c r="I10" s="1">
        <f t="shared" si="1"/>
        <v>-3.8337924701561228</v>
      </c>
      <c r="K10" s="9" t="s">
        <v>42</v>
      </c>
      <c r="L10" s="1">
        <v>144.81190476190474</v>
      </c>
      <c r="M10" s="1">
        <v>144.81190476190474</v>
      </c>
      <c r="N10" s="1">
        <f t="shared" si="2"/>
        <v>-1.9569597807689225</v>
      </c>
      <c r="O10" s="1"/>
      <c r="P10" s="9" t="s">
        <v>42</v>
      </c>
      <c r="Q10" s="1">
        <v>155.66666666666666</v>
      </c>
      <c r="R10" s="1">
        <v>155.66666666666666</v>
      </c>
      <c r="S10" s="1">
        <f t="shared" si="3"/>
        <v>-0.5959982971477249</v>
      </c>
      <c r="T10" s="1"/>
      <c r="U10" s="38"/>
      <c r="V10" s="38"/>
    </row>
    <row r="11" spans="1:22" ht="14.4" customHeight="1" x14ac:dyDescent="0.3">
      <c r="A11" s="9" t="s">
        <v>43</v>
      </c>
      <c r="B11" s="1">
        <v>148.5</v>
      </c>
      <c r="C11" s="1">
        <v>148.5</v>
      </c>
      <c r="D11" s="10">
        <f t="shared" si="0"/>
        <v>-1.8722466960352486</v>
      </c>
      <c r="F11" s="9" t="s">
        <v>43</v>
      </c>
      <c r="G11" s="1">
        <v>139.93333333333334</v>
      </c>
      <c r="H11" s="1">
        <v>139.93333333333334</v>
      </c>
      <c r="I11" s="1">
        <f t="shared" si="1"/>
        <v>-3.6271808999081814</v>
      </c>
      <c r="K11" s="9" t="s">
        <v>43</v>
      </c>
      <c r="L11" s="1">
        <v>146.85238095238097</v>
      </c>
      <c r="M11" s="1">
        <v>146.85238095238097</v>
      </c>
      <c r="N11" s="1">
        <f t="shared" si="2"/>
        <v>-0.57548158297732843</v>
      </c>
      <c r="O11" s="1"/>
      <c r="P11" s="9" t="s">
        <v>43</v>
      </c>
      <c r="Q11" s="1">
        <v>155.93333333333334</v>
      </c>
      <c r="R11" s="1">
        <v>155.93333333333334</v>
      </c>
      <c r="S11" s="1">
        <f t="shared" si="3"/>
        <v>-0.42571306939122422</v>
      </c>
      <c r="T11" s="1"/>
      <c r="U11" s="38"/>
      <c r="V11" s="38"/>
    </row>
    <row r="12" spans="1:22" ht="14.4" customHeight="1" x14ac:dyDescent="0.3">
      <c r="A12" s="9" t="s">
        <v>45</v>
      </c>
      <c r="B12" s="1">
        <v>149.00000000000003</v>
      </c>
      <c r="C12" s="1">
        <v>149.00000000000003</v>
      </c>
      <c r="D12" s="10">
        <f t="shared" si="0"/>
        <v>-1.5418502202643045</v>
      </c>
      <c r="F12" s="9" t="s">
        <v>45</v>
      </c>
      <c r="G12" s="1">
        <v>140.23333333333335</v>
      </c>
      <c r="H12" s="1">
        <v>140.23333333333335</v>
      </c>
      <c r="I12" s="1">
        <f t="shared" si="1"/>
        <v>-3.42056932966024</v>
      </c>
      <c r="K12" s="9" t="s">
        <v>45</v>
      </c>
      <c r="L12" s="1">
        <v>148.67857142857142</v>
      </c>
      <c r="M12" s="1">
        <v>148.67857142857142</v>
      </c>
      <c r="N12" s="1">
        <f t="shared" si="2"/>
        <v>0.6609172241476623</v>
      </c>
      <c r="O12" s="1"/>
      <c r="P12" s="9" t="s">
        <v>45</v>
      </c>
      <c r="Q12" s="1">
        <v>156.03333333333333</v>
      </c>
      <c r="R12" s="1">
        <v>156.03333333333333</v>
      </c>
      <c r="S12" s="1">
        <f t="shared" si="3"/>
        <v>-0.36185610898254339</v>
      </c>
      <c r="T12" s="1"/>
      <c r="U12" s="38"/>
      <c r="V12" s="38"/>
    </row>
    <row r="13" spans="1:22" ht="14.4" customHeight="1" x14ac:dyDescent="0.3">
      <c r="A13" s="9" t="s">
        <v>46</v>
      </c>
      <c r="B13" s="1">
        <v>149.46666666666667</v>
      </c>
      <c r="C13" s="1">
        <v>149.46666666666667</v>
      </c>
      <c r="D13" s="10">
        <f t="shared" si="0"/>
        <v>-1.2334801762114587</v>
      </c>
      <c r="F13" s="9" t="s">
        <v>46</v>
      </c>
      <c r="G13" s="1">
        <v>140.4</v>
      </c>
      <c r="H13" s="1">
        <v>140.4</v>
      </c>
      <c r="I13" s="1">
        <f t="shared" si="1"/>
        <v>-3.3057851239669498</v>
      </c>
      <c r="K13" s="9" t="s">
        <v>46</v>
      </c>
      <c r="L13" s="1">
        <v>151.20238095238096</v>
      </c>
      <c r="M13" s="1">
        <v>151.20238095238096</v>
      </c>
      <c r="N13" s="1">
        <f t="shared" si="2"/>
        <v>2.3696300475538199</v>
      </c>
      <c r="O13" s="1"/>
      <c r="P13" s="9" t="s">
        <v>46</v>
      </c>
      <c r="Q13" s="1">
        <v>156.23333333333335</v>
      </c>
      <c r="R13" s="1">
        <v>156.23333333333335</v>
      </c>
      <c r="S13" s="1">
        <f t="shared" si="3"/>
        <v>-0.23414218816516338</v>
      </c>
      <c r="T13" s="1"/>
      <c r="U13" s="38"/>
      <c r="V13" s="38"/>
    </row>
    <row r="14" spans="1:22" ht="14.4" customHeight="1" x14ac:dyDescent="0.3">
      <c r="A14" s="5">
        <v>2020</v>
      </c>
      <c r="B14" s="1">
        <v>153.3685185185185</v>
      </c>
      <c r="C14" s="1">
        <v>153.3685185185185</v>
      </c>
      <c r="D14" s="10">
        <f t="shared" si="0"/>
        <v>1.3448360254527465</v>
      </c>
      <c r="F14" s="5">
        <v>2020</v>
      </c>
      <c r="G14" s="1">
        <v>151.19675925925924</v>
      </c>
      <c r="H14" s="1">
        <v>151.19675925925924</v>
      </c>
      <c r="I14" s="1">
        <f t="shared" si="1"/>
        <v>4.1299994898479477</v>
      </c>
      <c r="K14" s="5">
        <v>2020</v>
      </c>
      <c r="L14" s="1">
        <v>155.02371031746029</v>
      </c>
      <c r="M14" s="1">
        <v>155.02371031746029</v>
      </c>
      <c r="N14" s="1">
        <f t="shared" si="2"/>
        <v>4.9568120147228623</v>
      </c>
      <c r="O14" s="1"/>
      <c r="P14" s="5">
        <v>2020</v>
      </c>
      <c r="Q14" s="1">
        <v>157.68333333333331</v>
      </c>
      <c r="R14" s="1">
        <v>157.68333333333331</v>
      </c>
      <c r="S14" s="1">
        <f t="shared" si="3"/>
        <v>0.69178373776073721</v>
      </c>
      <c r="T14" s="1"/>
      <c r="U14" s="38"/>
      <c r="V14" s="38"/>
    </row>
    <row r="15" spans="1:22" x14ac:dyDescent="0.3">
      <c r="A15" s="9" t="s">
        <v>31</v>
      </c>
      <c r="B15" s="1">
        <v>150.23333333333332</v>
      </c>
      <c r="C15" s="1">
        <v>150.23333333333332</v>
      </c>
      <c r="D15" s="10">
        <f t="shared" si="0"/>
        <v>-0.72687224669605022</v>
      </c>
      <c r="F15" s="9" t="s">
        <v>31</v>
      </c>
      <c r="G15" s="1">
        <v>142.29999999999998</v>
      </c>
      <c r="H15" s="1">
        <v>142.29999999999998</v>
      </c>
      <c r="I15" s="1">
        <f t="shared" si="1"/>
        <v>-1.9972451790633843</v>
      </c>
      <c r="K15" s="9" t="s">
        <v>31</v>
      </c>
      <c r="L15" s="1">
        <v>150.78571428571431</v>
      </c>
      <c r="M15" s="1">
        <v>150.78571428571431</v>
      </c>
      <c r="N15" s="1">
        <f t="shared" si="2"/>
        <v>2.0875312323688497</v>
      </c>
      <c r="O15" s="1"/>
      <c r="P15" s="9" t="s">
        <v>31</v>
      </c>
      <c r="Q15" s="1">
        <v>156.63333333333333</v>
      </c>
      <c r="R15" s="1">
        <v>156.63333333333333</v>
      </c>
      <c r="S15" s="1">
        <f t="shared" si="3"/>
        <v>2.1285653469560305E-2</v>
      </c>
      <c r="T15" s="1"/>
      <c r="U15" s="38"/>
      <c r="V15" s="38"/>
    </row>
    <row r="16" spans="1:22" x14ac:dyDescent="0.3">
      <c r="A16" s="9" t="s">
        <v>35</v>
      </c>
      <c r="B16" s="1">
        <v>150.76666666666668</v>
      </c>
      <c r="C16" s="1">
        <v>150.76666666666668</v>
      </c>
      <c r="D16" s="10">
        <f t="shared" si="0"/>
        <v>-0.37444933920704593</v>
      </c>
      <c r="F16" s="9" t="s">
        <v>35</v>
      </c>
      <c r="G16" s="1">
        <v>143.43333333333331</v>
      </c>
      <c r="H16" s="1">
        <v>143.43333333333331</v>
      </c>
      <c r="I16" s="1">
        <f t="shared" si="1"/>
        <v>-1.2167125803489725</v>
      </c>
      <c r="K16" s="9" t="s">
        <v>35</v>
      </c>
      <c r="L16" s="1">
        <v>148.79761904761904</v>
      </c>
      <c r="M16" s="1">
        <v>148.79761904761904</v>
      </c>
      <c r="N16" s="1">
        <f t="shared" si="2"/>
        <v>0.74151688562908502</v>
      </c>
      <c r="O16" s="1"/>
      <c r="P16" s="9" t="s">
        <v>35</v>
      </c>
      <c r="Q16" s="1">
        <v>156.76666666666665</v>
      </c>
      <c r="R16" s="1">
        <v>156.76666666666665</v>
      </c>
      <c r="S16" s="1">
        <f t="shared" si="3"/>
        <v>0.10642826734780153</v>
      </c>
      <c r="T16" s="1"/>
      <c r="U16" s="38"/>
      <c r="V16" s="38"/>
    </row>
    <row r="17" spans="1:22" x14ac:dyDescent="0.3">
      <c r="A17" s="9" t="s">
        <v>36</v>
      </c>
      <c r="B17" s="1">
        <v>151.33333333333334</v>
      </c>
      <c r="C17" s="6">
        <v>151.33333333333334</v>
      </c>
      <c r="D17" s="10">
        <f t="shared" si="0"/>
        <v>0</v>
      </c>
      <c r="F17" s="9" t="s">
        <v>36</v>
      </c>
      <c r="G17" s="1">
        <v>145.20000000000002</v>
      </c>
      <c r="H17" s="6">
        <v>145.20000000000002</v>
      </c>
      <c r="I17" s="1">
        <f t="shared" si="1"/>
        <v>0</v>
      </c>
      <c r="K17" s="9" t="s">
        <v>36</v>
      </c>
      <c r="L17" s="1">
        <v>147.70238095238093</v>
      </c>
      <c r="M17" s="6">
        <v>147.70238095238093</v>
      </c>
      <c r="N17" s="1">
        <f t="shared" si="2"/>
        <v>0</v>
      </c>
      <c r="O17" s="1"/>
      <c r="P17" s="9" t="s">
        <v>36</v>
      </c>
      <c r="Q17" s="1">
        <v>156.6</v>
      </c>
      <c r="R17" s="6">
        <v>156.6</v>
      </c>
      <c r="S17" s="1">
        <f t="shared" si="3"/>
        <v>0</v>
      </c>
      <c r="T17" s="1"/>
      <c r="U17" s="38"/>
      <c r="V17" s="38"/>
    </row>
    <row r="18" spans="1:22" x14ac:dyDescent="0.3">
      <c r="A18" s="9" t="s">
        <v>37</v>
      </c>
      <c r="B18" s="1">
        <v>149.93333333333334</v>
      </c>
      <c r="C18" s="1">
        <v>149.93333333333334</v>
      </c>
      <c r="D18" s="10">
        <f t="shared" si="0"/>
        <v>-0.92511013215859395</v>
      </c>
      <c r="F18" s="9" t="s">
        <v>37</v>
      </c>
      <c r="G18" s="1">
        <v>147.00476190476192</v>
      </c>
      <c r="H18" s="1">
        <v>147.00476190476192</v>
      </c>
      <c r="I18" s="1">
        <f t="shared" si="1"/>
        <v>1.2429489702216965</v>
      </c>
      <c r="K18" s="9" t="s">
        <v>37</v>
      </c>
      <c r="L18" s="1">
        <v>152.78061224489795</v>
      </c>
      <c r="M18" s="1">
        <v>152.78061224489795</v>
      </c>
      <c r="N18" s="1">
        <f t="shared" si="2"/>
        <v>3.4381512740503708</v>
      </c>
      <c r="O18" s="1"/>
      <c r="P18" s="9" t="s">
        <v>37</v>
      </c>
      <c r="Q18" s="1">
        <v>156.99047619047619</v>
      </c>
      <c r="R18" s="1">
        <v>156.99047619047619</v>
      </c>
      <c r="S18" s="1">
        <f t="shared" si="3"/>
        <v>0.249346226357722</v>
      </c>
      <c r="T18" s="1"/>
    </row>
    <row r="19" spans="1:22" x14ac:dyDescent="0.3">
      <c r="A19" s="9" t="s">
        <v>38</v>
      </c>
      <c r="B19" s="1">
        <v>152.2222222222222</v>
      </c>
      <c r="C19" s="1">
        <v>152.2222222222222</v>
      </c>
      <c r="D19" s="10">
        <f t="shared" si="0"/>
        <v>0.58737151248162367</v>
      </c>
      <c r="F19" s="9" t="s">
        <v>38</v>
      </c>
      <c r="G19" s="1">
        <v>148.88968253968255</v>
      </c>
      <c r="H19" s="1">
        <v>148.88968253968255</v>
      </c>
      <c r="I19" s="1">
        <f t="shared" si="1"/>
        <v>2.5411036774673113</v>
      </c>
      <c r="K19" s="9" t="s">
        <v>38</v>
      </c>
      <c r="L19" s="1">
        <v>152.18248299319728</v>
      </c>
      <c r="M19" s="1">
        <v>152.18248299319728</v>
      </c>
      <c r="N19" s="1">
        <f t="shared" si="2"/>
        <v>3.0331955462930065</v>
      </c>
      <c r="O19" s="1"/>
      <c r="P19" s="9" t="s">
        <v>38</v>
      </c>
      <c r="Q19" s="1">
        <v>157.1761904761905</v>
      </c>
      <c r="R19" s="1">
        <v>157.1761904761905</v>
      </c>
      <c r="S19" s="1">
        <f t="shared" si="3"/>
        <v>0.36793772425958132</v>
      </c>
      <c r="T19" s="1"/>
    </row>
    <row r="20" spans="1:22" x14ac:dyDescent="0.3">
      <c r="A20" s="9" t="s">
        <v>39</v>
      </c>
      <c r="B20" s="1">
        <v>153.56666666666666</v>
      </c>
      <c r="C20" s="1">
        <v>153.56666666666666</v>
      </c>
      <c r="D20" s="10">
        <f t="shared" si="0"/>
        <v>1.4757709251101232</v>
      </c>
      <c r="F20" s="9" t="s">
        <v>39</v>
      </c>
      <c r="G20" s="1">
        <v>151.66666666666666</v>
      </c>
      <c r="H20" s="1">
        <v>151.66666666666666</v>
      </c>
      <c r="I20" s="1">
        <f t="shared" si="1"/>
        <v>4.4536271808998888</v>
      </c>
      <c r="K20" s="9" t="s">
        <v>39</v>
      </c>
      <c r="L20" s="1">
        <v>153.93809523809526</v>
      </c>
      <c r="M20" s="1">
        <v>153.93809523809526</v>
      </c>
      <c r="N20" s="1">
        <f t="shared" si="2"/>
        <v>4.221810268396899</v>
      </c>
      <c r="O20" s="1"/>
      <c r="P20" s="9" t="s">
        <v>39</v>
      </c>
      <c r="Q20" s="1">
        <v>156.9</v>
      </c>
      <c r="R20" s="1">
        <v>156.9</v>
      </c>
      <c r="S20" s="1">
        <f t="shared" si="3"/>
        <v>0.19157088122606092</v>
      </c>
      <c r="T20" s="1"/>
    </row>
    <row r="21" spans="1:22" x14ac:dyDescent="0.3">
      <c r="A21" s="9" t="s">
        <v>40</v>
      </c>
      <c r="B21" s="1">
        <v>153.56666666666666</v>
      </c>
      <c r="C21" s="1">
        <v>153.56666666666666</v>
      </c>
      <c r="D21" s="10">
        <f t="shared" si="0"/>
        <v>1.4757709251101232</v>
      </c>
      <c r="F21" s="9" t="s">
        <v>40</v>
      </c>
      <c r="G21" s="1">
        <v>151.66666666666666</v>
      </c>
      <c r="H21" s="1">
        <v>151.66666666666666</v>
      </c>
      <c r="I21" s="1">
        <f t="shared" si="1"/>
        <v>4.4536271808998888</v>
      </c>
      <c r="K21" s="9" t="s">
        <v>40</v>
      </c>
      <c r="L21" s="1">
        <v>153.93809523809526</v>
      </c>
      <c r="M21" s="1">
        <v>153.93809523809526</v>
      </c>
      <c r="N21" s="1">
        <f t="shared" si="2"/>
        <v>4.221810268396899</v>
      </c>
      <c r="O21" s="1"/>
      <c r="P21" s="9" t="s">
        <v>40</v>
      </c>
      <c r="Q21" s="1">
        <v>156.9</v>
      </c>
      <c r="R21" s="1">
        <v>156.9</v>
      </c>
      <c r="S21" s="1">
        <f t="shared" si="3"/>
        <v>0.19157088122606092</v>
      </c>
      <c r="T21" s="1"/>
    </row>
    <row r="22" spans="1:22" x14ac:dyDescent="0.3">
      <c r="A22" s="9" t="s">
        <v>41</v>
      </c>
      <c r="B22" s="1">
        <v>154.16666666666666</v>
      </c>
      <c r="C22" s="1">
        <v>154.16666666666666</v>
      </c>
      <c r="D22" s="10">
        <f t="shared" si="0"/>
        <v>1.8722466960352298</v>
      </c>
      <c r="F22" s="9" t="s">
        <v>41</v>
      </c>
      <c r="G22" s="1">
        <v>154.36666666666667</v>
      </c>
      <c r="H22" s="1">
        <v>154.36666666666667</v>
      </c>
      <c r="I22" s="1">
        <f t="shared" si="1"/>
        <v>6.3131313131313052</v>
      </c>
      <c r="K22" s="9" t="s">
        <v>41</v>
      </c>
      <c r="L22" s="1">
        <v>155.93809523809523</v>
      </c>
      <c r="M22" s="1">
        <v>155.93809523809523</v>
      </c>
      <c r="N22" s="1">
        <f t="shared" si="2"/>
        <v>5.5758845812847655</v>
      </c>
      <c r="O22" s="1"/>
      <c r="P22" s="9" t="s">
        <v>41</v>
      </c>
      <c r="Q22" s="1">
        <v>158.9</v>
      </c>
      <c r="R22" s="1">
        <v>158.9</v>
      </c>
      <c r="S22" s="1">
        <f t="shared" si="3"/>
        <v>1.4687100893997518</v>
      </c>
      <c r="T22" s="1"/>
    </row>
    <row r="23" spans="1:22" x14ac:dyDescent="0.3">
      <c r="A23" s="9" t="s">
        <v>42</v>
      </c>
      <c r="B23" s="1">
        <v>154.9</v>
      </c>
      <c r="C23" s="1">
        <v>154.9</v>
      </c>
      <c r="D23" s="10">
        <f t="shared" si="0"/>
        <v>2.3568281938325963</v>
      </c>
      <c r="F23" s="9" t="s">
        <v>42</v>
      </c>
      <c r="G23" s="1">
        <v>158.53333333333333</v>
      </c>
      <c r="H23" s="1">
        <v>158.53333333333333</v>
      </c>
      <c r="I23" s="1">
        <f t="shared" si="1"/>
        <v>9.1827364554637132</v>
      </c>
      <c r="K23" s="9" t="s">
        <v>42</v>
      </c>
      <c r="L23" s="1">
        <v>156.95238095238093</v>
      </c>
      <c r="M23" s="1">
        <v>156.95238095238093</v>
      </c>
      <c r="N23" s="1">
        <f t="shared" si="2"/>
        <v>6.2625936971064737</v>
      </c>
      <c r="O23" s="1"/>
      <c r="P23" s="9" t="s">
        <v>42</v>
      </c>
      <c r="Q23" s="1">
        <v>157.83333333333334</v>
      </c>
      <c r="R23" s="1">
        <v>157.83333333333334</v>
      </c>
      <c r="S23" s="1">
        <f t="shared" si="3"/>
        <v>0.78756917837378582</v>
      </c>
      <c r="T23" s="1"/>
    </row>
    <row r="24" spans="1:22" x14ac:dyDescent="0.3">
      <c r="A24" s="9" t="s">
        <v>43</v>
      </c>
      <c r="B24" s="1">
        <v>155.6</v>
      </c>
      <c r="C24" s="1">
        <v>155.6</v>
      </c>
      <c r="D24" s="10">
        <f t="shared" si="0"/>
        <v>2.8193832599118842</v>
      </c>
      <c r="F24" s="9" t="s">
        <v>43</v>
      </c>
      <c r="G24" s="1">
        <v>157.1</v>
      </c>
      <c r="H24" s="1">
        <v>157.1</v>
      </c>
      <c r="I24" s="1">
        <f t="shared" si="1"/>
        <v>8.1955922865013608</v>
      </c>
      <c r="K24" s="9" t="s">
        <v>43</v>
      </c>
      <c r="L24" s="1">
        <v>159.89047619047619</v>
      </c>
      <c r="M24" s="1">
        <v>159.89047619047619</v>
      </c>
      <c r="N24" s="1">
        <f t="shared" si="2"/>
        <v>8.2517933424679768</v>
      </c>
      <c r="O24" s="1"/>
      <c r="P24" s="9" t="s">
        <v>43</v>
      </c>
      <c r="Q24" s="1">
        <v>158.9</v>
      </c>
      <c r="R24" s="1">
        <v>158.9</v>
      </c>
      <c r="S24" s="1">
        <f t="shared" si="3"/>
        <v>1.4687100893997518</v>
      </c>
      <c r="T24" s="1"/>
    </row>
    <row r="25" spans="1:22" x14ac:dyDescent="0.3">
      <c r="A25" s="9" t="s">
        <v>45</v>
      </c>
      <c r="B25" s="1">
        <v>156.53333333333333</v>
      </c>
      <c r="C25" s="1">
        <v>156.53333333333333</v>
      </c>
      <c r="D25" s="10">
        <f t="shared" si="0"/>
        <v>3.4361233480176132</v>
      </c>
      <c r="F25" s="9" t="s">
        <v>45</v>
      </c>
      <c r="G25" s="1">
        <v>157</v>
      </c>
      <c r="H25" s="1">
        <v>157</v>
      </c>
      <c r="I25" s="1">
        <f t="shared" si="1"/>
        <v>8.1267217630853867</v>
      </c>
      <c r="K25" s="9" t="s">
        <v>45</v>
      </c>
      <c r="L25" s="1">
        <v>163.2309523809524</v>
      </c>
      <c r="M25" s="1">
        <v>163.2309523809524</v>
      </c>
      <c r="N25" s="1">
        <f t="shared" si="2"/>
        <v>10.513419843636685</v>
      </c>
      <c r="O25" s="1"/>
      <c r="P25" s="9" t="s">
        <v>45</v>
      </c>
      <c r="Q25" s="1">
        <v>158.86666666666667</v>
      </c>
      <c r="R25" s="1">
        <v>158.86666666666667</v>
      </c>
      <c r="S25" s="1">
        <f t="shared" si="3"/>
        <v>1.4474244359301915</v>
      </c>
      <c r="T25" s="1"/>
    </row>
    <row r="26" spans="1:22" x14ac:dyDescent="0.3">
      <c r="A26" s="9" t="s">
        <v>46</v>
      </c>
      <c r="B26" s="1">
        <v>157.60000000000002</v>
      </c>
      <c r="C26" s="1">
        <v>157.60000000000002</v>
      </c>
      <c r="D26" s="10">
        <f t="shared" si="0"/>
        <v>4.1409691629956029</v>
      </c>
      <c r="F26" s="9" t="s">
        <v>46</v>
      </c>
      <c r="G26" s="1">
        <v>157.20000000000002</v>
      </c>
      <c r="H26" s="1">
        <v>157.20000000000002</v>
      </c>
      <c r="I26" s="1">
        <f t="shared" si="1"/>
        <v>8.2644628099173545</v>
      </c>
      <c r="K26" s="9" t="s">
        <v>46</v>
      </c>
      <c r="L26" s="1">
        <v>164.14761904761906</v>
      </c>
      <c r="M26" s="1">
        <v>164.14761904761906</v>
      </c>
      <c r="N26" s="1">
        <f t="shared" si="2"/>
        <v>11.134037237043625</v>
      </c>
      <c r="O26" s="1"/>
      <c r="P26" s="9" t="s">
        <v>46</v>
      </c>
      <c r="Q26" s="1">
        <v>159.73333333333335</v>
      </c>
      <c r="R26" s="1">
        <v>159.73333333333335</v>
      </c>
      <c r="S26" s="1">
        <f t="shared" si="3"/>
        <v>2.0008514261387957</v>
      </c>
      <c r="T26" s="1"/>
    </row>
    <row r="27" spans="1:22" x14ac:dyDescent="0.3">
      <c r="A27" s="5">
        <v>2021</v>
      </c>
      <c r="B27" s="1">
        <v>165.13333333333333</v>
      </c>
      <c r="C27" s="1">
        <v>165.13333333333333</v>
      </c>
      <c r="D27" s="10">
        <f t="shared" si="0"/>
        <v>9.1189427312775209</v>
      </c>
      <c r="F27" s="5">
        <v>2021</v>
      </c>
      <c r="G27" s="1">
        <v>158.73888888888891</v>
      </c>
      <c r="H27" s="1">
        <v>158.73888888888891</v>
      </c>
      <c r="I27" s="1">
        <f t="shared" si="1"/>
        <v>9.3243036424854608</v>
      </c>
      <c r="K27" s="5">
        <v>2021</v>
      </c>
      <c r="L27" s="1">
        <v>165.36170634920634</v>
      </c>
      <c r="M27" s="1">
        <v>165.36170634920634</v>
      </c>
      <c r="N27" s="1">
        <f t="shared" si="2"/>
        <v>11.95601945138498</v>
      </c>
      <c r="O27" s="1"/>
      <c r="P27" s="5">
        <v>2021</v>
      </c>
      <c r="Q27" s="1">
        <v>162.5361111111111</v>
      </c>
      <c r="R27" s="1">
        <v>162.5361111111111</v>
      </c>
      <c r="S27" s="1">
        <f t="shared" si="3"/>
        <v>3.7906201220377413</v>
      </c>
      <c r="T27" s="1"/>
    </row>
    <row r="28" spans="1:22" x14ac:dyDescent="0.3">
      <c r="A28" s="9" t="s">
        <v>31</v>
      </c>
      <c r="B28" s="1">
        <v>158.63333333333333</v>
      </c>
      <c r="C28" s="1">
        <v>158.63333333333333</v>
      </c>
      <c r="D28" s="10">
        <f t="shared" si="0"/>
        <v>4.8237885462554946</v>
      </c>
      <c r="F28" s="9" t="s">
        <v>31</v>
      </c>
      <c r="G28" s="1">
        <v>156.9</v>
      </c>
      <c r="H28" s="1">
        <v>156.9</v>
      </c>
      <c r="I28" s="1">
        <f t="shared" si="1"/>
        <v>8.0578512396694126</v>
      </c>
      <c r="K28" s="9" t="s">
        <v>31</v>
      </c>
      <c r="L28" s="1">
        <v>161.95476190476191</v>
      </c>
      <c r="M28" s="1">
        <v>161.95476190476191</v>
      </c>
      <c r="N28" s="1">
        <f t="shared" si="2"/>
        <v>9.6493914725558305</v>
      </c>
      <c r="O28" s="1"/>
      <c r="P28" s="9" t="s">
        <v>31</v>
      </c>
      <c r="Q28" s="1">
        <v>159.6</v>
      </c>
      <c r="R28" s="1">
        <v>159.6</v>
      </c>
      <c r="S28" s="1">
        <f t="shared" si="3"/>
        <v>1.9157088122605366</v>
      </c>
      <c r="T28" s="1"/>
    </row>
    <row r="29" spans="1:22" x14ac:dyDescent="0.3">
      <c r="A29" s="9" t="s">
        <v>35</v>
      </c>
      <c r="B29" s="1">
        <v>160.63333333333335</v>
      </c>
      <c r="C29" s="1">
        <v>160.63333333333335</v>
      </c>
      <c r="D29" s="10">
        <f t="shared" si="0"/>
        <v>6.1453744493392142</v>
      </c>
      <c r="F29" s="9" t="s">
        <v>35</v>
      </c>
      <c r="G29" s="1">
        <v>155.9</v>
      </c>
      <c r="H29" s="1">
        <v>155.9</v>
      </c>
      <c r="I29" s="1">
        <f t="shared" si="1"/>
        <v>7.3691460055096334</v>
      </c>
      <c r="K29" s="9" t="s">
        <v>35</v>
      </c>
      <c r="L29" s="1">
        <v>159.49285714285713</v>
      </c>
      <c r="M29" s="1">
        <v>159.49285714285713</v>
      </c>
      <c r="N29" s="1">
        <f t="shared" si="2"/>
        <v>7.9825904731200188</v>
      </c>
      <c r="O29" s="1"/>
      <c r="P29" s="9" t="s">
        <v>35</v>
      </c>
      <c r="Q29" s="1">
        <v>159.9</v>
      </c>
      <c r="R29" s="1">
        <v>159.9</v>
      </c>
      <c r="S29" s="1">
        <f t="shared" si="3"/>
        <v>2.1072796934865976</v>
      </c>
      <c r="T29" s="1"/>
    </row>
    <row r="30" spans="1:22" x14ac:dyDescent="0.3">
      <c r="A30" s="9" t="s">
        <v>36</v>
      </c>
      <c r="B30" s="1">
        <v>161.06666666666669</v>
      </c>
      <c r="C30" s="1">
        <v>161.06666666666669</v>
      </c>
      <c r="D30" s="10">
        <f t="shared" si="0"/>
        <v>6.4317180616740188</v>
      </c>
      <c r="F30" s="9" t="s">
        <v>36</v>
      </c>
      <c r="G30" s="1">
        <v>153.93333333333337</v>
      </c>
      <c r="H30" s="1">
        <v>153.93333333333337</v>
      </c>
      <c r="I30" s="1">
        <f t="shared" si="1"/>
        <v>6.0146923783287516</v>
      </c>
      <c r="K30" s="9" t="s">
        <v>36</v>
      </c>
      <c r="L30" s="1">
        <v>159.4595238095238</v>
      </c>
      <c r="M30" s="1">
        <v>159.4595238095238</v>
      </c>
      <c r="N30" s="1">
        <f t="shared" si="2"/>
        <v>7.9600225679052228</v>
      </c>
      <c r="O30" s="1"/>
      <c r="P30" s="9" t="s">
        <v>36</v>
      </c>
      <c r="Q30" s="1">
        <v>160.53333333333333</v>
      </c>
      <c r="R30" s="1">
        <v>160.53333333333333</v>
      </c>
      <c r="S30" s="1">
        <f t="shared" si="3"/>
        <v>2.5117071094082615</v>
      </c>
      <c r="T30" s="1"/>
    </row>
    <row r="31" spans="1:22" x14ac:dyDescent="0.3">
      <c r="A31" s="9" t="s">
        <v>37</v>
      </c>
      <c r="B31" s="1">
        <v>161.70000000000002</v>
      </c>
      <c r="C31" s="1">
        <v>161.70000000000002</v>
      </c>
      <c r="D31" s="10">
        <f t="shared" si="0"/>
        <v>6.8502202643171843</v>
      </c>
      <c r="F31" s="9" t="s">
        <v>37</v>
      </c>
      <c r="G31" s="1">
        <v>155.53333333333333</v>
      </c>
      <c r="H31" s="1">
        <v>155.53333333333333</v>
      </c>
      <c r="I31" s="1">
        <f t="shared" si="1"/>
        <v>7.1166207529843764</v>
      </c>
      <c r="K31" s="9" t="s">
        <v>37</v>
      </c>
      <c r="L31" s="1">
        <v>161.26666666666665</v>
      </c>
      <c r="M31" s="1">
        <v>161.26666666666665</v>
      </c>
      <c r="N31" s="1">
        <f t="shared" si="2"/>
        <v>9.1835254291931996</v>
      </c>
      <c r="O31" s="1"/>
      <c r="P31" s="9" t="s">
        <v>37</v>
      </c>
      <c r="Q31" s="1">
        <v>160.66666666666666</v>
      </c>
      <c r="R31" s="1">
        <v>160.66666666666666</v>
      </c>
      <c r="S31" s="1">
        <f t="shared" si="3"/>
        <v>2.5968497232865024</v>
      </c>
      <c r="T31" s="1"/>
    </row>
    <row r="32" spans="1:22" x14ac:dyDescent="0.3">
      <c r="A32" s="9" t="s">
        <v>38</v>
      </c>
      <c r="B32" s="1">
        <v>165.10000000000002</v>
      </c>
      <c r="C32" s="1">
        <v>165.10000000000002</v>
      </c>
      <c r="D32" s="10">
        <f t="shared" si="0"/>
        <v>9.0969162995594797</v>
      </c>
      <c r="F32" s="9" t="s">
        <v>38</v>
      </c>
      <c r="G32" s="1">
        <v>158.46666666666667</v>
      </c>
      <c r="H32" s="1">
        <v>158.46666666666667</v>
      </c>
      <c r="I32" s="1">
        <f t="shared" si="1"/>
        <v>9.1368227731863989</v>
      </c>
      <c r="K32" s="9" t="s">
        <v>38</v>
      </c>
      <c r="L32" s="1">
        <v>164.41428571428571</v>
      </c>
      <c r="M32" s="1">
        <v>164.41428571428571</v>
      </c>
      <c r="N32" s="1">
        <f t="shared" si="2"/>
        <v>11.314580478762</v>
      </c>
      <c r="O32" s="1"/>
      <c r="P32" s="9" t="s">
        <v>38</v>
      </c>
      <c r="Q32" s="1">
        <v>161.79999999999998</v>
      </c>
      <c r="R32" s="1">
        <v>161.79999999999998</v>
      </c>
      <c r="S32" s="1">
        <f t="shared" si="3"/>
        <v>3.3205619412515897</v>
      </c>
      <c r="T32" s="1"/>
    </row>
    <row r="33" spans="1:20" x14ac:dyDescent="0.3">
      <c r="A33" s="9" t="s">
        <v>39</v>
      </c>
      <c r="B33" s="1">
        <v>165.6</v>
      </c>
      <c r="C33" s="1">
        <v>165.6</v>
      </c>
      <c r="D33" s="10">
        <f t="shared" si="0"/>
        <v>9.4273127753303854</v>
      </c>
      <c r="F33" s="9" t="s">
        <v>39</v>
      </c>
      <c r="G33" s="1">
        <v>158.73333333333335</v>
      </c>
      <c r="H33" s="1">
        <v>158.73333333333335</v>
      </c>
      <c r="I33" s="1">
        <f t="shared" si="1"/>
        <v>9.3204775022956827</v>
      </c>
      <c r="K33" s="9" t="s">
        <v>39</v>
      </c>
      <c r="L33" s="1">
        <v>166.33809523809524</v>
      </c>
      <c r="M33" s="1">
        <v>166.33809523809524</v>
      </c>
      <c r="N33" s="1">
        <f t="shared" si="2"/>
        <v>12.617071008301778</v>
      </c>
      <c r="O33" s="1"/>
      <c r="P33" s="9" t="s">
        <v>39</v>
      </c>
      <c r="Q33" s="1">
        <v>162.19999999999999</v>
      </c>
      <c r="R33" s="1">
        <v>162.19999999999999</v>
      </c>
      <c r="S33" s="1">
        <f t="shared" si="3"/>
        <v>3.5759897828863312</v>
      </c>
      <c r="T33" s="1"/>
    </row>
    <row r="34" spans="1:20" x14ac:dyDescent="0.3">
      <c r="A34" s="9" t="s">
        <v>40</v>
      </c>
      <c r="B34" s="1">
        <v>166.29999999999998</v>
      </c>
      <c r="C34" s="1">
        <v>166.29999999999998</v>
      </c>
      <c r="D34" s="10">
        <f t="shared" si="0"/>
        <v>9.8898678414096732</v>
      </c>
      <c r="F34" s="9" t="s">
        <v>40</v>
      </c>
      <c r="G34" s="1">
        <v>160.03333333333333</v>
      </c>
      <c r="H34" s="1">
        <v>160.03333333333333</v>
      </c>
      <c r="I34" s="1">
        <f t="shared" si="1"/>
        <v>10.215794306703383</v>
      </c>
      <c r="K34" s="9" t="s">
        <v>40</v>
      </c>
      <c r="L34" s="1">
        <v>167.32380952380953</v>
      </c>
      <c r="M34" s="1">
        <v>167.32380952380953</v>
      </c>
      <c r="N34" s="1">
        <f t="shared" si="2"/>
        <v>13.284436205367955</v>
      </c>
      <c r="O34" s="1"/>
      <c r="P34" s="9" t="s">
        <v>40</v>
      </c>
      <c r="Q34" s="1">
        <v>163.56666666666666</v>
      </c>
      <c r="R34" s="1">
        <v>163.56666666666666</v>
      </c>
      <c r="S34" s="1">
        <f t="shared" si="3"/>
        <v>4.4487015751383581</v>
      </c>
      <c r="T34" s="1"/>
    </row>
    <row r="35" spans="1:20" x14ac:dyDescent="0.3">
      <c r="A35" s="9" t="s">
        <v>41</v>
      </c>
      <c r="B35" s="1">
        <v>167.43333333333337</v>
      </c>
      <c r="C35" s="1">
        <v>167.43333333333337</v>
      </c>
      <c r="D35" s="10">
        <f t="shared" si="0"/>
        <v>10.638766519823802</v>
      </c>
      <c r="F35" s="9" t="s">
        <v>41</v>
      </c>
      <c r="G35" s="1">
        <v>159.96666666666667</v>
      </c>
      <c r="H35" s="1">
        <v>159.96666666666667</v>
      </c>
      <c r="I35" s="1">
        <f t="shared" si="1"/>
        <v>10.169880624426067</v>
      </c>
      <c r="K35" s="9" t="s">
        <v>41</v>
      </c>
      <c r="L35" s="1">
        <v>166.89285714285714</v>
      </c>
      <c r="M35" s="1">
        <v>166.89285714285714</v>
      </c>
      <c r="N35" s="1">
        <f t="shared" si="2"/>
        <v>12.9926654308052</v>
      </c>
      <c r="O35" s="1"/>
      <c r="P35" s="9" t="s">
        <v>41</v>
      </c>
      <c r="Q35" s="1">
        <v>163.9</v>
      </c>
      <c r="R35" s="1">
        <v>163.9</v>
      </c>
      <c r="S35" s="1">
        <f t="shared" si="3"/>
        <v>4.6615581098339787</v>
      </c>
      <c r="T35" s="1"/>
    </row>
    <row r="36" spans="1:20" x14ac:dyDescent="0.3">
      <c r="A36" s="9" t="s">
        <v>42</v>
      </c>
      <c r="B36" s="1">
        <v>167.70000000000002</v>
      </c>
      <c r="C36" s="1">
        <v>167.70000000000002</v>
      </c>
      <c r="D36" s="10">
        <f t="shared" si="0"/>
        <v>10.814977973568286</v>
      </c>
      <c r="F36" s="9" t="s">
        <v>42</v>
      </c>
      <c r="G36" s="1">
        <v>159.93333333333334</v>
      </c>
      <c r="H36" s="1">
        <v>159.93333333333334</v>
      </c>
      <c r="I36" s="1">
        <f t="shared" si="1"/>
        <v>10.146923783287409</v>
      </c>
      <c r="K36" s="9" t="s">
        <v>42</v>
      </c>
      <c r="L36" s="1">
        <v>166.96666666666667</v>
      </c>
      <c r="M36" s="1">
        <v>166.96666666666667</v>
      </c>
      <c r="N36" s="1">
        <f t="shared" si="2"/>
        <v>13.042637220923686</v>
      </c>
      <c r="O36" s="1"/>
      <c r="P36" s="9" t="s">
        <v>42</v>
      </c>
      <c r="Q36" s="1">
        <v>164.16666666666666</v>
      </c>
      <c r="R36" s="1">
        <v>164.16666666666666</v>
      </c>
      <c r="S36" s="1">
        <f t="shared" si="3"/>
        <v>4.8318433375904624</v>
      </c>
      <c r="T36" s="1"/>
    </row>
    <row r="37" spans="1:20" x14ac:dyDescent="0.3">
      <c r="A37" s="9" t="s">
        <v>43</v>
      </c>
      <c r="B37" s="1">
        <v>168.36666666666667</v>
      </c>
      <c r="C37" s="1">
        <v>168.36666666666667</v>
      </c>
      <c r="D37" s="10">
        <f t="shared" si="0"/>
        <v>11.255506607929513</v>
      </c>
      <c r="F37" s="9" t="s">
        <v>43</v>
      </c>
      <c r="G37" s="1">
        <v>160.73333333333335</v>
      </c>
      <c r="H37" s="1">
        <v>160.73333333333335</v>
      </c>
      <c r="I37" s="1">
        <f t="shared" si="1"/>
        <v>10.697887970615241</v>
      </c>
      <c r="K37" s="9" t="s">
        <v>43</v>
      </c>
      <c r="L37" s="1">
        <v>169.5</v>
      </c>
      <c r="M37" s="1">
        <v>169.5</v>
      </c>
      <c r="N37" s="1">
        <f t="shared" si="2"/>
        <v>14.757798017248341</v>
      </c>
      <c r="O37" s="1"/>
      <c r="P37" s="9" t="s">
        <v>43</v>
      </c>
      <c r="Q37" s="1">
        <v>164.4</v>
      </c>
      <c r="R37" s="1">
        <v>164.4</v>
      </c>
      <c r="S37" s="1">
        <f t="shared" si="3"/>
        <v>4.980842911877402</v>
      </c>
      <c r="T37" s="1"/>
    </row>
    <row r="38" spans="1:20" x14ac:dyDescent="0.3">
      <c r="A38" s="9" t="s">
        <v>45</v>
      </c>
      <c r="B38" s="1">
        <v>169.16666666666666</v>
      </c>
      <c r="C38" s="1">
        <v>169.16666666666666</v>
      </c>
      <c r="D38" s="10">
        <f t="shared" si="0"/>
        <v>11.784140969162982</v>
      </c>
      <c r="F38" s="9" t="s">
        <v>45</v>
      </c>
      <c r="G38" s="1">
        <v>162.13333333333333</v>
      </c>
      <c r="H38" s="1">
        <v>162.13333333333333</v>
      </c>
      <c r="I38" s="1">
        <f t="shared" si="1"/>
        <v>11.662075298438916</v>
      </c>
      <c r="K38" s="9" t="s">
        <v>45</v>
      </c>
      <c r="L38" s="1">
        <v>170.84047619047621</v>
      </c>
      <c r="M38" s="1">
        <v>170.84047619047621</v>
      </c>
      <c r="N38" s="1">
        <f t="shared" si="2"/>
        <v>15.665350205529164</v>
      </c>
      <c r="O38" s="1"/>
      <c r="P38" s="9" t="s">
        <v>45</v>
      </c>
      <c r="Q38" s="1">
        <v>164.8</v>
      </c>
      <c r="R38" s="1">
        <v>164.8</v>
      </c>
      <c r="S38" s="1">
        <f t="shared" si="3"/>
        <v>5.2362707535121444</v>
      </c>
      <c r="T38" s="1"/>
    </row>
    <row r="39" spans="1:20" x14ac:dyDescent="0.3">
      <c r="A39" s="9" t="s">
        <v>46</v>
      </c>
      <c r="B39" s="1">
        <v>169.9</v>
      </c>
      <c r="C39" s="1">
        <v>169.9</v>
      </c>
      <c r="D39" s="10">
        <f t="shared" si="0"/>
        <v>12.26872246696035</v>
      </c>
      <c r="F39" s="9" t="s">
        <v>46</v>
      </c>
      <c r="G39" s="1">
        <v>162.6</v>
      </c>
      <c r="H39" s="1">
        <v>162.6</v>
      </c>
      <c r="I39" s="1">
        <f t="shared" si="1"/>
        <v>11.983471074380148</v>
      </c>
      <c r="K39" s="9" t="s">
        <v>46</v>
      </c>
      <c r="L39" s="1">
        <v>169.89047619047619</v>
      </c>
      <c r="M39" s="1">
        <v>169.89047619047619</v>
      </c>
      <c r="N39" s="1">
        <f t="shared" si="2"/>
        <v>15.022164906907406</v>
      </c>
      <c r="O39" s="1"/>
      <c r="P39" s="9" t="s">
        <v>46</v>
      </c>
      <c r="Q39" s="1">
        <v>164.9</v>
      </c>
      <c r="R39" s="1">
        <v>164.9</v>
      </c>
      <c r="S39" s="1">
        <f t="shared" si="3"/>
        <v>5.3001277139208245</v>
      </c>
      <c r="T39" s="1"/>
    </row>
    <row r="40" spans="1:20" x14ac:dyDescent="0.3">
      <c r="A40" s="5" t="s">
        <v>57</v>
      </c>
      <c r="B40" s="1">
        <v>155.37682539682532</v>
      </c>
      <c r="C40" s="1">
        <v>155.37682539682532</v>
      </c>
      <c r="D40" s="10">
        <f t="shared" si="0"/>
        <v>2.6719110551709129</v>
      </c>
      <c r="F40" s="5" t="s">
        <v>57</v>
      </c>
      <c r="G40" s="1">
        <v>149.16936507936509</v>
      </c>
      <c r="H40" s="1">
        <v>149.16936507936509</v>
      </c>
      <c r="I40" s="1">
        <f t="shared" si="1"/>
        <v>2.7337225064497765</v>
      </c>
      <c r="K40" s="5" t="s">
        <v>57</v>
      </c>
      <c r="L40" s="1">
        <v>154.76717687074824</v>
      </c>
      <c r="M40" s="1">
        <v>154.76717687074824</v>
      </c>
      <c r="N40" s="1">
        <f t="shared" si="2"/>
        <v>4.7831293394281786</v>
      </c>
      <c r="O40" s="1"/>
      <c r="P40" s="5" t="s">
        <v>57</v>
      </c>
      <c r="Q40" s="1">
        <v>158.10857142857139</v>
      </c>
      <c r="R40" s="1">
        <v>158.10857142857139</v>
      </c>
      <c r="S40" s="1">
        <f t="shared" si="3"/>
        <v>0.96332785987956604</v>
      </c>
      <c r="T40" s="1"/>
    </row>
    <row r="43" spans="1:20" x14ac:dyDescent="0.3">
      <c r="A43" s="39" t="s">
        <v>81</v>
      </c>
      <c r="B43" s="39"/>
      <c r="C43" s="39"/>
      <c r="D43" s="39"/>
      <c r="E43" s="39"/>
      <c r="F43" s="39"/>
      <c r="G43" s="39"/>
    </row>
    <row r="44" spans="1:20" x14ac:dyDescent="0.3">
      <c r="A44" s="39"/>
      <c r="B44" s="39"/>
      <c r="C44" s="39"/>
      <c r="D44" s="39"/>
      <c r="E44" s="39"/>
      <c r="F44" s="39"/>
      <c r="G44" s="39"/>
    </row>
    <row r="45" spans="1:20" x14ac:dyDescent="0.3">
      <c r="A45" s="39"/>
      <c r="B45" s="39"/>
      <c r="C45" s="39"/>
      <c r="D45" s="39"/>
      <c r="E45" s="39"/>
      <c r="F45" s="39"/>
      <c r="G45" s="39"/>
    </row>
    <row r="46" spans="1:20" x14ac:dyDescent="0.3">
      <c r="A46" s="39"/>
      <c r="B46" s="39"/>
      <c r="C46" s="39"/>
      <c r="D46" s="39"/>
      <c r="E46" s="39"/>
      <c r="F46" s="39"/>
      <c r="G46" s="39"/>
    </row>
    <row r="47" spans="1:20" x14ac:dyDescent="0.3">
      <c r="A47" s="39"/>
      <c r="B47" s="39"/>
      <c r="C47" s="39"/>
      <c r="D47" s="39"/>
      <c r="E47" s="39"/>
      <c r="F47" s="39"/>
      <c r="G47" s="39"/>
    </row>
    <row r="48" spans="1:20" x14ac:dyDescent="0.3">
      <c r="A48" s="39"/>
      <c r="B48" s="39"/>
      <c r="C48" s="39"/>
      <c r="D48" s="39"/>
      <c r="E48" s="39"/>
      <c r="F48" s="39"/>
      <c r="G48" s="39"/>
    </row>
    <row r="49" spans="1:7" x14ac:dyDescent="0.3">
      <c r="A49" s="39"/>
      <c r="B49" s="39"/>
      <c r="C49" s="39"/>
      <c r="D49" s="39"/>
      <c r="E49" s="39"/>
      <c r="F49" s="39"/>
      <c r="G49" s="39"/>
    </row>
    <row r="50" spans="1:7" x14ac:dyDescent="0.3">
      <c r="A50" s="39"/>
      <c r="B50" s="39"/>
      <c r="C50" s="39"/>
      <c r="D50" s="39"/>
      <c r="E50" s="39"/>
      <c r="F50" s="39"/>
      <c r="G50" s="39"/>
    </row>
  </sheetData>
  <mergeCells count="2">
    <mergeCell ref="U1:V17"/>
    <mergeCell ref="A43:G50"/>
  </mergeCells>
  <conditionalFormatting sqref="D1:D42 D51:D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I2:I40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2:O40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S2:T4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horizontalDpi="0" verticalDpi="0" r:id="rId5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30490-398F-4F0D-8761-3D52D8C5D9B7}">
  <dimension ref="A1:Q27"/>
  <sheetViews>
    <sheetView workbookViewId="0">
      <selection activeCell="B1" sqref="B1"/>
    </sheetView>
  </sheetViews>
  <sheetFormatPr defaultRowHeight="14.4" x14ac:dyDescent="0.3"/>
  <cols>
    <col min="1" max="1" width="30.44140625" bestFit="1" customWidth="1"/>
    <col min="2" max="2" width="30.6640625" bestFit="1" customWidth="1"/>
    <col min="3" max="5" width="8.88671875" customWidth="1"/>
    <col min="6" max="6" width="22.109375" bestFit="1" customWidth="1"/>
    <col min="7" max="7" width="15.5546875" bestFit="1" customWidth="1"/>
    <col min="8" max="9" width="5.5546875" bestFit="1" customWidth="1"/>
    <col min="10" max="10" width="10.77734375" bestFit="1" customWidth="1"/>
    <col min="11" max="12" width="5.5546875" bestFit="1" customWidth="1"/>
    <col min="13" max="13" width="36.6640625" bestFit="1" customWidth="1"/>
    <col min="14" max="14" width="15.5546875" bestFit="1" customWidth="1"/>
    <col min="15" max="16" width="5.5546875" bestFit="1" customWidth="1"/>
    <col min="17" max="17" width="10.77734375" bestFit="1" customWidth="1"/>
    <col min="18" max="18" width="22.109375" bestFit="1" customWidth="1"/>
    <col min="19" max="19" width="33.44140625" bestFit="1" customWidth="1"/>
    <col min="20" max="20" width="26.88671875" bestFit="1" customWidth="1"/>
    <col min="21" max="21" width="38.33203125" bestFit="1" customWidth="1"/>
    <col min="22" max="282" width="5.5546875" bestFit="1" customWidth="1"/>
    <col min="283" max="283" width="10.77734375" bestFit="1" customWidth="1"/>
  </cols>
  <sheetData>
    <row r="1" spans="1:17" ht="14.4" customHeight="1" x14ac:dyDescent="0.3">
      <c r="B1" s="3" t="s">
        <v>87</v>
      </c>
      <c r="D1" s="40" t="s">
        <v>85</v>
      </c>
      <c r="E1" s="40"/>
      <c r="F1" s="40"/>
      <c r="G1" s="40"/>
      <c r="H1" s="40"/>
      <c r="I1" s="40"/>
      <c r="J1" s="18"/>
      <c r="K1" s="40" t="s">
        <v>86</v>
      </c>
      <c r="L1" s="40"/>
      <c r="M1" s="40"/>
      <c r="N1" s="40"/>
      <c r="O1" s="40"/>
    </row>
    <row r="2" spans="1:17" x14ac:dyDescent="0.3">
      <c r="A2" t="s">
        <v>3</v>
      </c>
      <c r="B2" s="10">
        <f>CORREL('Cleaned Data'!$D$287:$D$373,'Cleaned Data'!$V$287:$V$373)</f>
        <v>0.87946702357139828</v>
      </c>
      <c r="C2" s="10"/>
      <c r="D2" s="40"/>
      <c r="E2" s="40"/>
      <c r="F2" s="40"/>
      <c r="G2" s="40"/>
      <c r="H2" s="40"/>
      <c r="I2" s="40"/>
      <c r="J2" s="11"/>
      <c r="K2" s="40"/>
      <c r="L2" s="40"/>
      <c r="M2" s="40"/>
      <c r="N2" s="40"/>
      <c r="O2" s="40"/>
    </row>
    <row r="3" spans="1:17" x14ac:dyDescent="0.3">
      <c r="A3" t="s">
        <v>4</v>
      </c>
      <c r="B3" s="10">
        <f>CORREL('Cleaned Data'!$E$287:$E$373,'Cleaned Data'!$V$287:$V$373)</f>
        <v>0.72430852308446858</v>
      </c>
      <c r="C3" s="10"/>
      <c r="D3" s="40"/>
      <c r="E3" s="40"/>
      <c r="F3" s="40"/>
      <c r="G3" s="40"/>
      <c r="H3" s="40"/>
      <c r="I3" s="40"/>
      <c r="J3" s="11"/>
      <c r="K3" s="40"/>
      <c r="L3" s="40"/>
      <c r="M3" s="40"/>
      <c r="N3" s="40"/>
      <c r="O3" s="40"/>
    </row>
    <row r="4" spans="1:17" x14ac:dyDescent="0.3">
      <c r="A4" t="s">
        <v>5</v>
      </c>
      <c r="B4" s="10">
        <f>CORREL('Cleaned Data'!$F$287:$F$373,'Cleaned Data'!$V$287:$V$373)</f>
        <v>0.2102774062499933</v>
      </c>
      <c r="C4" s="10"/>
      <c r="D4" s="10"/>
    </row>
    <row r="5" spans="1:17" x14ac:dyDescent="0.3">
      <c r="A5" t="s">
        <v>6</v>
      </c>
      <c r="B5" s="10">
        <f>CORREL('Cleaned Data'!$G$287:$G$373,'Cleaned Data'!$V$287:$V$373)</f>
        <v>0.93179317785189819</v>
      </c>
      <c r="C5" s="10"/>
      <c r="D5" s="10"/>
      <c r="F5" s="4" t="s">
        <v>83</v>
      </c>
      <c r="G5" s="4" t="s">
        <v>82</v>
      </c>
      <c r="M5" s="4" t="s">
        <v>84</v>
      </c>
      <c r="N5" s="4" t="s">
        <v>82</v>
      </c>
    </row>
    <row r="6" spans="1:17" x14ac:dyDescent="0.3">
      <c r="A6" t="s">
        <v>7</v>
      </c>
      <c r="B6" s="10">
        <f>CORREL('Cleaned Data'!$H$287:$H$373,'Cleaned Data'!$V$287:$V$373)</f>
        <v>0.48434046378603834</v>
      </c>
      <c r="C6" s="10"/>
      <c r="D6" s="10"/>
      <c r="F6" s="4" t="s">
        <v>56</v>
      </c>
      <c r="G6" s="2">
        <v>2021</v>
      </c>
      <c r="H6" s="2">
        <v>2022</v>
      </c>
      <c r="I6" s="2">
        <v>2023</v>
      </c>
      <c r="J6" s="2" t="s">
        <v>57</v>
      </c>
      <c r="M6" s="4" t="s">
        <v>56</v>
      </c>
      <c r="N6" s="2">
        <v>2021</v>
      </c>
      <c r="O6" s="2">
        <v>2022</v>
      </c>
      <c r="P6" s="2">
        <v>2023</v>
      </c>
      <c r="Q6" s="2" t="s">
        <v>57</v>
      </c>
    </row>
    <row r="7" spans="1:17" x14ac:dyDescent="0.3">
      <c r="A7" t="s">
        <v>8</v>
      </c>
      <c r="B7" s="10">
        <f>CORREL('Cleaned Data'!$I$287:$I$373,'Cleaned Data'!$V$287:$V$373)</f>
        <v>0.55650650610632679</v>
      </c>
      <c r="C7" s="10"/>
      <c r="D7" s="10"/>
      <c r="F7" s="5" t="s">
        <v>31</v>
      </c>
      <c r="G7" s="1">
        <v>147.23333333333335</v>
      </c>
      <c r="H7" s="1">
        <v>163.86666666666665</v>
      </c>
      <c r="I7" s="1">
        <v>181.76666666666665</v>
      </c>
      <c r="J7" s="1">
        <v>164.28888888888889</v>
      </c>
      <c r="M7" s="5" t="s">
        <v>31</v>
      </c>
      <c r="N7" s="1">
        <v>142.1</v>
      </c>
      <c r="O7" s="1">
        <v>156.66666666666666</v>
      </c>
      <c r="P7" s="1">
        <v>163.76666666666668</v>
      </c>
      <c r="Q7" s="1">
        <v>154.17777777777778</v>
      </c>
    </row>
    <row r="8" spans="1:17" x14ac:dyDescent="0.3">
      <c r="A8" t="s">
        <v>9</v>
      </c>
      <c r="B8" s="10">
        <f>CORREL('Cleaned Data'!$J$287:$J$373,'Cleaned Data'!$V$287:$V$373)</f>
        <v>1.8510929517795132E-2</v>
      </c>
      <c r="C8" s="10"/>
      <c r="D8" s="10"/>
      <c r="F8" s="5" t="s">
        <v>35</v>
      </c>
      <c r="G8" s="1">
        <v>151.96666666666667</v>
      </c>
      <c r="H8" s="1">
        <v>165.36666666666667</v>
      </c>
      <c r="I8" s="1">
        <v>182.16666666666666</v>
      </c>
      <c r="J8" s="1">
        <v>166.49999999999997</v>
      </c>
      <c r="M8" s="5" t="s">
        <v>35</v>
      </c>
      <c r="N8" s="1">
        <v>145.26666666666668</v>
      </c>
      <c r="O8" s="1">
        <v>157.06666666666666</v>
      </c>
      <c r="P8" s="1">
        <v>164.33333333333334</v>
      </c>
      <c r="Q8" s="1">
        <v>155.55555555555554</v>
      </c>
    </row>
    <row r="9" spans="1:17" x14ac:dyDescent="0.3">
      <c r="A9" t="s">
        <v>10</v>
      </c>
      <c r="B9" s="10">
        <f>CORREL('Cleaned Data'!$K$287:$K$373,'Cleaned Data'!$V$287:$V$373)</f>
        <v>0.82159760589547948</v>
      </c>
      <c r="C9" s="10"/>
      <c r="D9" s="10"/>
      <c r="F9" s="5" t="s">
        <v>36</v>
      </c>
      <c r="G9" s="1">
        <v>155.43333333333334</v>
      </c>
      <c r="H9" s="1">
        <v>166.86666666666667</v>
      </c>
      <c r="I9" s="1">
        <v>181.96666666666667</v>
      </c>
      <c r="J9" s="1">
        <v>168.08888888888887</v>
      </c>
      <c r="M9" s="5" t="s">
        <v>36</v>
      </c>
      <c r="N9" s="1">
        <v>146.4</v>
      </c>
      <c r="O9" s="1">
        <v>158.03333333333333</v>
      </c>
      <c r="P9" s="1">
        <v>164.33333333333334</v>
      </c>
      <c r="Q9" s="1">
        <v>156.25555555555556</v>
      </c>
    </row>
    <row r="10" spans="1:17" x14ac:dyDescent="0.3">
      <c r="A10" t="s">
        <v>11</v>
      </c>
      <c r="B10" s="10">
        <f>CORREL('Cleaned Data'!$L$287:$L$373,'Cleaned Data'!$V$287:$V$373)</f>
        <v>0.71753791149290935</v>
      </c>
      <c r="C10" s="10"/>
      <c r="D10" s="10"/>
      <c r="F10" s="5" t="s">
        <v>37</v>
      </c>
      <c r="G10" s="1">
        <v>155.5</v>
      </c>
      <c r="H10" s="1">
        <v>172</v>
      </c>
      <c r="I10" s="1">
        <v>181.76666666666665</v>
      </c>
      <c r="J10" s="1">
        <v>169.75555555555556</v>
      </c>
      <c r="M10" s="5" t="s">
        <v>37</v>
      </c>
      <c r="N10" s="1">
        <v>146.79999999999998</v>
      </c>
      <c r="O10" s="1">
        <v>162.69999999999999</v>
      </c>
      <c r="P10" s="1">
        <v>164.66666666666666</v>
      </c>
      <c r="Q10" s="1">
        <v>158.05555555555554</v>
      </c>
    </row>
    <row r="11" spans="1:17" x14ac:dyDescent="0.3">
      <c r="A11" t="s">
        <v>12</v>
      </c>
      <c r="B11" s="10">
        <f>CORREL('Cleaned Data'!$M$287:$M$373,'Cleaned Data'!$V$287:$V$373)</f>
        <v>0.93239207127597745</v>
      </c>
      <c r="C11" s="10"/>
      <c r="D11" s="10"/>
      <c r="F11" s="5" t="s">
        <v>38</v>
      </c>
      <c r="G11" s="1">
        <v>158.86666666666665</v>
      </c>
      <c r="H11" s="1">
        <v>174.4666666666667</v>
      </c>
      <c r="I11" s="1">
        <v>182.9</v>
      </c>
      <c r="J11" s="1">
        <v>172.07777777777778</v>
      </c>
      <c r="M11" s="5" t="s">
        <v>38</v>
      </c>
      <c r="N11" s="1">
        <v>149.03333333333333</v>
      </c>
      <c r="O11" s="1">
        <v>163.16666666666666</v>
      </c>
      <c r="P11" s="1">
        <v>164.96666666666667</v>
      </c>
      <c r="Q11" s="1">
        <v>159.05555555555554</v>
      </c>
    </row>
    <row r="12" spans="1:17" x14ac:dyDescent="0.3">
      <c r="A12" t="s">
        <v>13</v>
      </c>
      <c r="B12" s="10">
        <f>CORREL('Cleaned Data'!$N$287:$N$373,'Cleaned Data'!$V$287:$V$373)</f>
        <v>0.76000357287501152</v>
      </c>
      <c r="C12" s="10"/>
      <c r="D12" s="10"/>
      <c r="F12" s="5" t="s">
        <v>39</v>
      </c>
      <c r="G12" s="1">
        <v>159.33333333333334</v>
      </c>
      <c r="H12" s="1">
        <v>175.86666666666665</v>
      </c>
      <c r="I12" s="1"/>
      <c r="J12" s="1">
        <v>167.6</v>
      </c>
      <c r="M12" s="5" t="s">
        <v>39</v>
      </c>
      <c r="N12" s="1">
        <v>150.79999999999998</v>
      </c>
      <c r="O12" s="1">
        <v>161.26666666666665</v>
      </c>
      <c r="P12" s="1"/>
      <c r="Q12" s="1">
        <v>156.03333333333333</v>
      </c>
    </row>
    <row r="13" spans="1:17" x14ac:dyDescent="0.3">
      <c r="A13" t="s">
        <v>14</v>
      </c>
      <c r="B13" s="10">
        <f>CORREL('Cleaned Data'!$O$287:$O$373,'Cleaned Data'!$V$287:$V$373)</f>
        <v>0.9398171139924012</v>
      </c>
      <c r="C13" s="10"/>
      <c r="D13" s="10"/>
      <c r="F13" s="5" t="s">
        <v>40</v>
      </c>
      <c r="G13" s="1">
        <v>160.29999999999998</v>
      </c>
      <c r="H13" s="1">
        <v>179.56666666666669</v>
      </c>
      <c r="I13" s="1"/>
      <c r="J13" s="1">
        <v>169.93333333333334</v>
      </c>
      <c r="M13" s="5" t="s">
        <v>40</v>
      </c>
      <c r="N13" s="1">
        <v>153.23333333333335</v>
      </c>
      <c r="O13" s="1">
        <v>161.76666666666668</v>
      </c>
      <c r="P13" s="1"/>
      <c r="Q13" s="1">
        <v>157.5</v>
      </c>
    </row>
    <row r="14" spans="1:17" x14ac:dyDescent="0.3">
      <c r="A14" t="s">
        <v>15</v>
      </c>
      <c r="B14" s="10">
        <f>CORREL('Cleaned Data'!$P$287:$P$373,'Cleaned Data'!$V$287:$V$373)</f>
        <v>0.87665457133280977</v>
      </c>
      <c r="C14" s="10"/>
      <c r="D14" s="10"/>
      <c r="F14" s="5" t="s">
        <v>41</v>
      </c>
      <c r="G14" s="1">
        <v>162.13333333333333</v>
      </c>
      <c r="H14" s="1">
        <v>178.76666666666668</v>
      </c>
      <c r="I14" s="1"/>
      <c r="J14" s="1">
        <v>170.45000000000002</v>
      </c>
      <c r="M14" s="5" t="s">
        <v>41</v>
      </c>
      <c r="N14" s="1">
        <v>154.03333333333333</v>
      </c>
      <c r="O14" s="1">
        <v>162.06666666666669</v>
      </c>
      <c r="P14" s="1"/>
      <c r="Q14" s="1">
        <v>158.05000000000001</v>
      </c>
    </row>
    <row r="15" spans="1:17" x14ac:dyDescent="0.3">
      <c r="A15" t="s">
        <v>16</v>
      </c>
      <c r="B15" s="10">
        <f>CORREL('Cleaned Data'!$Q$287:$Q$373,'Cleaned Data'!$V$287:$V$373)</f>
        <v>0.70827392246269827</v>
      </c>
      <c r="C15" s="10"/>
      <c r="D15" s="10"/>
      <c r="F15" s="5" t="s">
        <v>42</v>
      </c>
      <c r="G15" s="1">
        <v>162.36666666666665</v>
      </c>
      <c r="H15" s="1">
        <v>179.46666666666667</v>
      </c>
      <c r="I15" s="1"/>
      <c r="J15" s="1">
        <v>170.91666666666666</v>
      </c>
      <c r="M15" s="5" t="s">
        <v>42</v>
      </c>
      <c r="N15" s="1">
        <v>154.1</v>
      </c>
      <c r="O15" s="1">
        <v>162.46666666666667</v>
      </c>
      <c r="P15" s="1"/>
      <c r="Q15" s="1">
        <v>158.28333333333333</v>
      </c>
    </row>
    <row r="16" spans="1:17" x14ac:dyDescent="0.3">
      <c r="A16" t="s">
        <v>17</v>
      </c>
      <c r="B16" s="10">
        <f>CORREL('Cleaned Data'!$R$287:$R$373,'Cleaned Data'!$V$287:$V$373)</f>
        <v>0.94848409998688754</v>
      </c>
      <c r="C16" s="10"/>
      <c r="D16" s="10"/>
      <c r="F16" s="5" t="s">
        <v>43</v>
      </c>
      <c r="G16" s="1">
        <v>163.96666666666667</v>
      </c>
      <c r="H16" s="1">
        <v>180.43333333333331</v>
      </c>
      <c r="I16" s="1"/>
      <c r="J16" s="1">
        <v>172.20000000000002</v>
      </c>
      <c r="M16" s="5" t="s">
        <v>43</v>
      </c>
      <c r="N16" s="1">
        <v>155.79999999999998</v>
      </c>
      <c r="O16" s="1">
        <v>163.03333333333333</v>
      </c>
      <c r="P16" s="1"/>
      <c r="Q16" s="1">
        <v>159.41666666666666</v>
      </c>
    </row>
    <row r="17" spans="1:17" x14ac:dyDescent="0.3">
      <c r="A17" t="s">
        <v>18</v>
      </c>
      <c r="B17" s="10">
        <f>CORREL('Cleaned Data'!$S$287:$S$373,'Cleaned Data'!$V$287:$V$373)</f>
        <v>0.84242207826698579</v>
      </c>
      <c r="C17" s="10"/>
      <c r="D17" s="10"/>
      <c r="F17" s="5" t="s">
        <v>45</v>
      </c>
      <c r="G17" s="1">
        <v>163.6</v>
      </c>
      <c r="H17" s="1">
        <v>181.16666666666666</v>
      </c>
      <c r="I17" s="1"/>
      <c r="J17" s="1">
        <v>172.38333333333335</v>
      </c>
      <c r="M17" s="5" t="s">
        <v>45</v>
      </c>
      <c r="N17" s="1">
        <v>154.96666666666667</v>
      </c>
      <c r="O17" s="1">
        <v>163.13333333333333</v>
      </c>
      <c r="P17" s="1"/>
      <c r="Q17" s="1">
        <v>159.04999999999998</v>
      </c>
    </row>
    <row r="18" spans="1:17" x14ac:dyDescent="0.3">
      <c r="A18" t="s">
        <v>19</v>
      </c>
      <c r="B18" s="10">
        <f>CORREL('Cleaned Data'!$T$287:$T$373,'Cleaned Data'!$V$287:$V$373)</f>
        <v>0.93420816721533873</v>
      </c>
      <c r="C18" s="10"/>
      <c r="D18" s="10"/>
      <c r="F18" s="5" t="s">
        <v>46</v>
      </c>
      <c r="G18" s="1">
        <v>163.79999999999998</v>
      </c>
      <c r="H18" s="1">
        <v>181.80000000000004</v>
      </c>
      <c r="I18" s="1"/>
      <c r="J18" s="1">
        <v>172.79999999999998</v>
      </c>
      <c r="M18" s="5" t="s">
        <v>46</v>
      </c>
      <c r="N18" s="1">
        <v>155.86666666666667</v>
      </c>
      <c r="O18" s="1">
        <v>163.53333333333333</v>
      </c>
      <c r="P18" s="1"/>
      <c r="Q18" s="1">
        <v>159.70000000000002</v>
      </c>
    </row>
    <row r="19" spans="1:17" x14ac:dyDescent="0.3">
      <c r="A19" t="s">
        <v>20</v>
      </c>
      <c r="B19" s="10">
        <f>CORREL('Cleaned Data'!$U$287:$U$373,'Cleaned Data'!$V$287:$V$373)</f>
        <v>0.94930892471485462</v>
      </c>
      <c r="C19" s="10"/>
      <c r="D19" s="10"/>
      <c r="F19" s="5" t="s">
        <v>57</v>
      </c>
      <c r="G19" s="1">
        <v>158.70833333333334</v>
      </c>
      <c r="H19" s="1">
        <v>174.96944444444446</v>
      </c>
      <c r="I19" s="1">
        <v>182.11333333333334</v>
      </c>
      <c r="J19" s="1">
        <v>169.47241379310347</v>
      </c>
      <c r="M19" s="5" t="s">
        <v>57</v>
      </c>
      <c r="N19" s="1">
        <v>150.69999999999996</v>
      </c>
      <c r="O19" s="1">
        <v>161.24166666666662</v>
      </c>
      <c r="P19" s="1">
        <v>164.41333333333333</v>
      </c>
      <c r="Q19" s="1">
        <v>157.42643678160917</v>
      </c>
    </row>
    <row r="20" spans="1:17" x14ac:dyDescent="0.3">
      <c r="A20" t="s">
        <v>22</v>
      </c>
      <c r="B20" s="10">
        <f>CORREL('Cleaned Data'!$W$287:$W$373,'Cleaned Data'!$V$287:$V$373)</f>
        <v>0.93013540599248812</v>
      </c>
      <c r="C20" s="10"/>
      <c r="D20" s="10"/>
    </row>
    <row r="21" spans="1:17" x14ac:dyDescent="0.3">
      <c r="A21" t="s">
        <v>23</v>
      </c>
      <c r="B21" s="10">
        <f>CORREL('Cleaned Data'!$X$287:$X$373,'Cleaned Data'!$V$287:$V$373)</f>
        <v>0.92792269704401253</v>
      </c>
      <c r="C21" s="10"/>
      <c r="D21" s="10"/>
    </row>
    <row r="22" spans="1:17" x14ac:dyDescent="0.3">
      <c r="A22" t="s">
        <v>24</v>
      </c>
      <c r="B22" s="10">
        <f>CORREL('Cleaned Data'!$Y$287:$Y$373,'Cleaned Data'!$V$287:$V$373)</f>
        <v>0.89217062133422786</v>
      </c>
      <c r="C22" s="10"/>
      <c r="D22" s="10"/>
    </row>
    <row r="23" spans="1:17" x14ac:dyDescent="0.3">
      <c r="A23" t="s">
        <v>25</v>
      </c>
      <c r="B23" s="10">
        <f>CORREL('Cleaned Data'!$Z$287:$Z$373,'Cleaned Data'!$V$287:$V$373)</f>
        <v>0.93979855839083637</v>
      </c>
      <c r="C23" s="10"/>
      <c r="D23" s="10"/>
    </row>
    <row r="24" spans="1:17" x14ac:dyDescent="0.3">
      <c r="A24" t="s">
        <v>26</v>
      </c>
      <c r="B24" s="10">
        <f>CORREL('Cleaned Data'!$AA$287:$AA$373,'Cleaned Data'!$V$287:$V$373)</f>
        <v>0.90803601619756258</v>
      </c>
      <c r="C24" s="10"/>
      <c r="D24" s="10"/>
    </row>
    <row r="25" spans="1:17" x14ac:dyDescent="0.3">
      <c r="A25" t="s">
        <v>27</v>
      </c>
      <c r="B25" s="10">
        <f>CORREL('Cleaned Data'!$AB$287:$AB$373,'Cleaned Data'!$V$287:$V$373)</f>
        <v>0.92068971000840782</v>
      </c>
      <c r="C25" s="10"/>
      <c r="D25" s="10"/>
    </row>
    <row r="26" spans="1:17" x14ac:dyDescent="0.3">
      <c r="A26" t="s">
        <v>28</v>
      </c>
      <c r="B26" s="10">
        <f>CORREL('Cleaned Data'!$AC$287:$AC$373,'Cleaned Data'!$V$287:$V$373)</f>
        <v>0.92929760968137798</v>
      </c>
      <c r="C26" s="10"/>
      <c r="D26" s="10"/>
    </row>
    <row r="27" spans="1:17" x14ac:dyDescent="0.3">
      <c r="A27" t="s">
        <v>29</v>
      </c>
      <c r="B27" s="10">
        <f>CORREL('Cleaned Data'!$AD$287:$AD$373,'Cleaned Data'!$V$287:$V$373)</f>
        <v>0.98123871515729633</v>
      </c>
      <c r="C27" s="10"/>
      <c r="D27" s="10"/>
    </row>
  </sheetData>
  <mergeCells count="2">
    <mergeCell ref="D1:I3"/>
    <mergeCell ref="K1:O3"/>
  </mergeCells>
  <conditionalFormatting sqref="B4:D27 B2:C3">
    <cfRule type="top10" dxfId="0" priority="5" rank="10"/>
  </conditionalFormatting>
  <pageMargins left="0.7" right="0.7" top="0.75" bottom="0.75" header="0.3" footer="0.3"/>
  <pageSetup paperSize="9" orientation="portrait" horizontalDpi="0" verticalDpi="0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All_India_Index_Upto_April23 (1</vt:lpstr>
      <vt:lpstr>Main Data</vt:lpstr>
      <vt:lpstr>Cleaned Data</vt:lpstr>
      <vt:lpstr>PS1</vt:lpstr>
      <vt:lpstr>PS2</vt:lpstr>
      <vt:lpstr>PS3</vt:lpstr>
      <vt:lpstr>PS4</vt:lpstr>
      <vt:lpstr>PS5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Khote</dc:creator>
  <cp:lastModifiedBy>Sachin Khote</cp:lastModifiedBy>
  <dcterms:created xsi:type="dcterms:W3CDTF">2025-04-27T05:09:38Z</dcterms:created>
  <dcterms:modified xsi:type="dcterms:W3CDTF">2025-05-02T04:03:31Z</dcterms:modified>
</cp:coreProperties>
</file>